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ampymepty-my.sharepoint.com/personal/jtorres_ampyme_gob_pa/Documents/Attachments/"/>
    </mc:Choice>
  </mc:AlternateContent>
  <xr:revisionPtr revIDLastSave="0" documentId="8_{693934CA-BA0A-45A0-91AE-BC2332994E0B}" xr6:coauthVersionLast="47" xr6:coauthVersionMax="47" xr10:uidLastSave="{00000000-0000-0000-0000-000000000000}"/>
  <bookViews>
    <workbookView xWindow="0" yWindow="0" windowWidth="28800" windowHeight="12210" firstSheet="3" activeTab="3" xr2:uid="{00000000-000D-0000-FFFF-FFFF00000000}"/>
  </bookViews>
  <sheets>
    <sheet name="Hoja2" sheetId="2" state="hidden" r:id="rId1"/>
    <sheet name="Hoja3" sheetId="5" state="hidden" r:id="rId2"/>
    <sheet name="RESULTADO " sheetId="3" r:id="rId3"/>
    <sheet name="BASE DE DASTO 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3" l="1"/>
  <c r="A9" i="3" l="1"/>
  <c r="B9" i="3" s="1"/>
  <c r="I32" i="3" s="1"/>
  <c r="I2" i="1" l="1"/>
  <c r="B26" i="3" l="1"/>
  <c r="C15" i="3" l="1"/>
  <c r="C16" i="3"/>
  <c r="C17" i="3"/>
  <c r="C18" i="3"/>
  <c r="C19" i="3"/>
  <c r="C20" i="3"/>
  <c r="B20" i="3" s="1"/>
  <c r="C21" i="3"/>
  <c r="B21" i="3" s="1"/>
  <c r="D21" i="3" s="1"/>
  <c r="E21" i="3" s="1"/>
  <c r="C22" i="3"/>
  <c r="B22" i="3" s="1"/>
  <c r="D22" i="3" s="1"/>
  <c r="E22" i="3" s="1"/>
  <c r="C23" i="3"/>
  <c r="B23" i="3" s="1"/>
  <c r="D23" i="3" s="1"/>
  <c r="E23" i="3" s="1"/>
  <c r="C24" i="3"/>
  <c r="B24" i="3" s="1"/>
  <c r="D24" i="3" s="1"/>
  <c r="E24" i="3" s="1"/>
  <c r="C25" i="3"/>
  <c r="B25" i="3" s="1"/>
  <c r="D25" i="3" s="1"/>
  <c r="E25" i="3" s="1"/>
  <c r="C14" i="3"/>
  <c r="B14" i="3" s="1"/>
  <c r="D20" i="3" l="1"/>
  <c r="E20" i="3" s="1"/>
  <c r="B19" i="3"/>
  <c r="D19" i="3" s="1"/>
  <c r="E19" i="3" s="1"/>
  <c r="B18" i="3"/>
  <c r="D18" i="3" s="1"/>
  <c r="E18" i="3" s="1"/>
  <c r="B17" i="3"/>
  <c r="D17" i="3" s="1"/>
  <c r="E17" i="3" s="1"/>
  <c r="B16" i="3"/>
  <c r="D16" i="3" s="1"/>
  <c r="E16" i="3" s="1"/>
  <c r="B15" i="3"/>
  <c r="D15" i="3" s="1"/>
  <c r="E15" i="3" s="1"/>
  <c r="B1" i="1"/>
  <c r="B10" i="3" l="1"/>
  <c r="H1" i="1" s="1"/>
  <c r="I23" i="3"/>
  <c r="I27" i="3"/>
  <c r="A2" i="3"/>
  <c r="I29" i="3" s="1"/>
  <c r="A3" i="3"/>
  <c r="J25" i="3" s="1"/>
  <c r="A4" i="3"/>
  <c r="A5" i="3"/>
  <c r="A6" i="3"/>
  <c r="A7" i="3"/>
  <c r="A8" i="3"/>
  <c r="A1" i="3"/>
  <c r="I25" i="3" s="1"/>
  <c r="K29" i="3" l="1"/>
  <c r="J29" i="3"/>
  <c r="K27" i="3"/>
  <c r="J27" i="3"/>
  <c r="K25" i="3"/>
  <c r="B6" i="3" l="1"/>
  <c r="H2" i="1" s="1"/>
  <c r="B7" i="3"/>
  <c r="G2" i="1" s="1"/>
  <c r="B8" i="3"/>
  <c r="F2" i="1" s="1"/>
  <c r="I21" i="3"/>
  <c r="D14" i="3" l="1"/>
  <c r="E14" i="3" s="1"/>
  <c r="A3" i="1" s="1"/>
  <c r="K30" i="3"/>
  <c r="J30" i="3"/>
  <c r="K28" i="3"/>
  <c r="B1" i="3" l="1"/>
  <c r="B2" i="3"/>
  <c r="B2" i="1" s="1"/>
  <c r="B3" i="3"/>
  <c r="C2" i="1" s="1"/>
  <c r="B4" i="3"/>
  <c r="E2" i="1" s="1"/>
  <c r="B5" i="3"/>
  <c r="D2" i="1" s="1"/>
  <c r="I28" i="3"/>
  <c r="B11" i="3" l="1"/>
  <c r="A2" i="1"/>
  <c r="K26" i="3"/>
  <c r="J28" i="3"/>
  <c r="J26" i="3"/>
  <c r="I26" i="3"/>
  <c r="I30" i="3"/>
  <c r="E1" i="1" l="1"/>
  <c r="J33" i="3"/>
  <c r="K1" i="1" s="1"/>
  <c r="K23" i="3"/>
</calcChain>
</file>

<file path=xl/sharedStrings.xml><?xml version="1.0" encoding="utf-8"?>
<sst xmlns="http://schemas.openxmlformats.org/spreadsheetml/2006/main" count="25229" uniqueCount="7006">
  <si>
    <t>ESTADO</t>
  </si>
  <si>
    <t>ASISTIRA</t>
  </si>
  <si>
    <t>APAGADO</t>
  </si>
  <si>
    <t>NO PODRA ASISTIR</t>
  </si>
  <si>
    <t>NO LLAMAR</t>
  </si>
  <si>
    <t>VOLVER A LLAMAR</t>
  </si>
  <si>
    <t>NO CONTESTA</t>
  </si>
  <si>
    <t>ENVIAR AL CORREO</t>
  </si>
  <si>
    <t>NO PUEDE CONFIRMAR</t>
  </si>
  <si>
    <t>FUERA DE SERVICIO</t>
  </si>
  <si>
    <t>EQUIVOCADO</t>
  </si>
  <si>
    <t xml:space="preserve"> </t>
  </si>
  <si>
    <t>BOCAS DEL TORO</t>
  </si>
  <si>
    <t>MULTI VENTAS IDALIDES</t>
  </si>
  <si>
    <t>CAFETERIA YAMI</t>
  </si>
  <si>
    <t xml:space="preserve">KIOSKO YARIALYS </t>
  </si>
  <si>
    <t>FONDA BOLICIN</t>
  </si>
  <si>
    <t>FONDA CARMELA</t>
  </si>
  <si>
    <t>FLORISTERIA LA PRIMAVERA</t>
  </si>
  <si>
    <t>FRUTAS Y DESECHABLES CHIRIQUI</t>
  </si>
  <si>
    <t>ABARROTERIA LA SOFI</t>
  </si>
  <si>
    <t xml:space="preserve">ABARROTERIA SABINA 2 </t>
  </si>
  <si>
    <t>ABARROTERIA AVILA</t>
  </si>
  <si>
    <t xml:space="preserve">ABARROTERIA JP STORE </t>
  </si>
  <si>
    <t>ABARROTERIA DON FRANCO</t>
  </si>
  <si>
    <t>DOGGIES PELUQUERIA</t>
  </si>
  <si>
    <t>FRUTAS Y LEGUMBRES LA COMADRE</t>
  </si>
  <si>
    <t>SUNSET BEACH LOUNGE</t>
  </si>
  <si>
    <t>LEGUMBRES Y VERDURAS EDUARDO</t>
  </si>
  <si>
    <t>MINT MAKEUP&amp; BEAUTY SALON</t>
  </si>
  <si>
    <t>FONDA EL ECONOMICO</t>
  </si>
  <si>
    <t>FONDA MARISOL</t>
  </si>
  <si>
    <t>BARBERIA THE FAMILY</t>
  </si>
  <si>
    <t>ABARROTERIA LA VICTORIA</t>
  </si>
  <si>
    <t>ABARROTERIA HEIS-LIM</t>
  </si>
  <si>
    <t>ABARROTERIA JOHANA</t>
  </si>
  <si>
    <t>ABARROTERIA LORENIRI</t>
  </si>
  <si>
    <t>ABARROTERIA HERMANOS LARA</t>
  </si>
  <si>
    <t>ABARROTERIA ELISBETH</t>
  </si>
  <si>
    <t>ASADO EL PATRON</t>
  </si>
  <si>
    <t>REFRESQUERIA JOHANA</t>
  </si>
  <si>
    <t>CAFE BOQUETE BY FOOD GRILL</t>
  </si>
  <si>
    <t>COMPRA Y VENTA DE LEGUMBRES B. Y P.</t>
  </si>
  <si>
    <t>CENTRO DE BELLEZA VERONICA SALON</t>
  </si>
  <si>
    <t>FONDA MAMI DIOSA</t>
  </si>
  <si>
    <t>FONDA ARGENTINA</t>
  </si>
  <si>
    <t>LOCAL S/N BARBERIA</t>
  </si>
  <si>
    <t>ABARROTERIA EL CHAVITO</t>
  </si>
  <si>
    <t>ABARROTERIA SOFIA'S</t>
  </si>
  <si>
    <t>ABARROTERIA CARCHI</t>
  </si>
  <si>
    <t>ABARROTERIA KAY</t>
  </si>
  <si>
    <t xml:space="preserve">ABARROTERIA JEHOVA ES MI GUERRERO </t>
  </si>
  <si>
    <t>TALLER ARTESANIAS MARVELYS</t>
  </si>
  <si>
    <t>PARRILLADA Y RESTAURANTE EL CAMPESINO</t>
  </si>
  <si>
    <t>FONDA DOÑA DORIS</t>
  </si>
  <si>
    <t>CAFETERIA LA CHOLITA</t>
  </si>
  <si>
    <t xml:space="preserve">KIOSKO DON JULIO </t>
  </si>
  <si>
    <t>L&amp;E SALON</t>
  </si>
  <si>
    <t>FONDA AIMAR CASTILLO</t>
  </si>
  <si>
    <t>FONDA DON DEMO</t>
  </si>
  <si>
    <t>BARBERIA B'LION &amp; LEGACY CONFECION</t>
  </si>
  <si>
    <t>ABARROTERIA JEHOVA JIREH</t>
  </si>
  <si>
    <t>ABARROTERIA GUTIERREZ</t>
  </si>
  <si>
    <t>ABARROTERIA LARI</t>
  </si>
  <si>
    <t xml:space="preserve">ABARROTERIA POTRERILLOS </t>
  </si>
  <si>
    <t xml:space="preserve">ABARROTERIA KATHERINE </t>
  </si>
  <si>
    <t xml:space="preserve">LAS TOTUMAS RESTAURANTE </t>
  </si>
  <si>
    <t>DELI PEPPERMINT</t>
  </si>
  <si>
    <t xml:space="preserve">CAFETERIA Y SERVICIOS LA HUERTA </t>
  </si>
  <si>
    <t>LADYS PLACE BEAUTY SALON</t>
  </si>
  <si>
    <t>FONDA JUICY FRUIT</t>
  </si>
  <si>
    <t>FONDA OHANA</t>
  </si>
  <si>
    <t>LAVAMATICO EL PUENTE</t>
  </si>
  <si>
    <t xml:space="preserve">ABARROTERIA NGOBE-BUGLE </t>
  </si>
  <si>
    <t>ABARROTERIA DOS HERMANOS</t>
  </si>
  <si>
    <t>ABARROTERIA MIS BBS</t>
  </si>
  <si>
    <t>ABARROTERIA PABLO</t>
  </si>
  <si>
    <t>ABARROTERIA LA PROFE</t>
  </si>
  <si>
    <t>ABARROTERIA ISAIAS DANIEL</t>
  </si>
  <si>
    <t>REFRI AIRES ARAUZ S A</t>
  </si>
  <si>
    <t>MARISQUERIA Y PARRILLADA LISY</t>
  </si>
  <si>
    <t>POLLO FRESCO</t>
  </si>
  <si>
    <t>CAFE TIA MARIA</t>
  </si>
  <si>
    <t>KIOSKO Y REFRESQUERIA LIZ</t>
  </si>
  <si>
    <t>FONDA ALI</t>
  </si>
  <si>
    <t xml:space="preserve">DOLCE GELATO- HELADERÍA ITALIANA </t>
  </si>
  <si>
    <t>ABARROTERIA KRIZZIA</t>
  </si>
  <si>
    <t>ABARROTERIA LA SIETE</t>
  </si>
  <si>
    <t>ABARROTERIA CRIS CENTER</t>
  </si>
  <si>
    <t>ABARROTERIA GEOVANA</t>
  </si>
  <si>
    <t xml:space="preserve">ABARROTERIA EL ALTO </t>
  </si>
  <si>
    <t>ABARROTERIA LISETH</t>
  </si>
  <si>
    <t>PARRILLADA LOS BAMBOO</t>
  </si>
  <si>
    <t xml:space="preserve">KIOSCO EL SATALITE </t>
  </si>
  <si>
    <t>CAFE LA ESTACION</t>
  </si>
  <si>
    <t>VENTA DE LEGUMBRES DAVIS</t>
  </si>
  <si>
    <t>NYLEN NAILS &amp; BEAUTY SALON</t>
  </si>
  <si>
    <t>FONDA CRIOLLA ELY</t>
  </si>
  <si>
    <t>FONDA AIMET</t>
  </si>
  <si>
    <t>BARBERIA LOS SOCIOS (BARBER SHOP LOS SOCIOS)</t>
  </si>
  <si>
    <t>ABARROTERIA MAYLIN ( COMERCIAL MAYLIN)</t>
  </si>
  <si>
    <t xml:space="preserve">ABARROTERIA LA PLAZA CENTRAL </t>
  </si>
  <si>
    <t>ABARROTERIA JALEIS</t>
  </si>
  <si>
    <t>ABARROTERIA AMELIA</t>
  </si>
  <si>
    <t>ABARROTERIA HNOS MONTENEGRO</t>
  </si>
  <si>
    <t>SASTRERIA LUIS Y MAS</t>
  </si>
  <si>
    <t>FONDA EL PATRON</t>
  </si>
  <si>
    <t>IMPRESORA CENTRAL S A</t>
  </si>
  <si>
    <t>RESTAURANTE CRIOLLOS CAFE (FONDA CRIOLLOS)</t>
  </si>
  <si>
    <t>KIOSKO B-5</t>
  </si>
  <si>
    <t xml:space="preserve">FONDA DON MIGUEL </t>
  </si>
  <si>
    <t>FONDA LOS INTOCABLES</t>
  </si>
  <si>
    <t>HELADOS MARIA</t>
  </si>
  <si>
    <t>BARBERIA Y SALA DE BELLEZA HAIR STYLE</t>
  </si>
  <si>
    <t>ABARROTERIA LA FE (ABARROTERIA CUATRO HERMANOS)</t>
  </si>
  <si>
    <t>ABARROTERIA JOSESITO</t>
  </si>
  <si>
    <t>ABARROTERIA MONTENEGRO</t>
  </si>
  <si>
    <t>ABARROTERIA NAVARRO</t>
  </si>
  <si>
    <t>ABARROTERIA SERRANO</t>
  </si>
  <si>
    <t>COPIAS E IMPRESIONES MADE</t>
  </si>
  <si>
    <t>ESTRATEGIAS Y RESTAURANTES S A</t>
  </si>
  <si>
    <t xml:space="preserve">INFINITO SABORES </t>
  </si>
  <si>
    <t>CAFE EXOTIQUE S.A.</t>
  </si>
  <si>
    <t>ANAYULYS SALONN UNISEX</t>
  </si>
  <si>
    <t>LA FONDA EL NAZARENO HNOS FOOD TRUCK</t>
  </si>
  <si>
    <t>FONDA TIPICA LA NEGRA MARGARITA.</t>
  </si>
  <si>
    <t>LAVANDERIA SPEED</t>
  </si>
  <si>
    <t>ABARROTERIA CHINOL</t>
  </si>
  <si>
    <t>ABARROTERIA GUAYMI</t>
  </si>
  <si>
    <t>ABARROTERIA ESTERSITA</t>
  </si>
  <si>
    <t>ABARROTERIA PRAY</t>
  </si>
  <si>
    <t>ABARROTERIA LA BENDICION #1</t>
  </si>
  <si>
    <t xml:space="preserve">ABARROTERIA DIOS PARA TODOS </t>
  </si>
  <si>
    <t>REFRI PARTES DAVID,S.A.</t>
  </si>
  <si>
    <t>ABARROTERIA DIANA</t>
  </si>
  <si>
    <t>LIANS COFFEE 2</t>
  </si>
  <si>
    <t>FRUTAS Y LEGUMBRES YARILYS</t>
  </si>
  <si>
    <t>BARBERIA Y SALON DE BELLEZA EL QUE FALTABA</t>
  </si>
  <si>
    <t>FONDA LA NEGRITA</t>
  </si>
  <si>
    <t>FONDA LAS PRINCESAS</t>
  </si>
  <si>
    <t>LAVANDERIA LA ESPUMITA</t>
  </si>
  <si>
    <t>ABARROTERIA EMILY</t>
  </si>
  <si>
    <t>ABARROTERIA LOS TRES HERMANOS PINZON</t>
  </si>
  <si>
    <t>ABARROTERIA AMA, PERDONA Y OLVIDA</t>
  </si>
  <si>
    <t>ABARROTERIA SUPER 100</t>
  </si>
  <si>
    <t>ABARROTERIA CARLOS SABDIEL</t>
  </si>
  <si>
    <t xml:space="preserve">ABARROTERIA JORDAN </t>
  </si>
  <si>
    <t>ASADOS DOÑA ENE</t>
  </si>
  <si>
    <t>ABARROTERIA YESI</t>
  </si>
  <si>
    <t>ASOCIACION FUNERARIA DE BARRIO BOLIVAR</t>
  </si>
  <si>
    <t>FRUTAS Y LEGUMBRES ERIKA</t>
  </si>
  <si>
    <t>BANDIDOS SALON BARBER SHOP</t>
  </si>
  <si>
    <t>FONDA KAROLINA</t>
  </si>
  <si>
    <t>FONDA SABORES &amp; CULTURA</t>
  </si>
  <si>
    <t>BARBERIA IMPERIO FLOW</t>
  </si>
  <si>
    <t>ABARROTERIA JHANELIS</t>
  </si>
  <si>
    <t xml:space="preserve">ABARROTERIA ARIMAR </t>
  </si>
  <si>
    <t>ABARROTERIA CRISTINA</t>
  </si>
  <si>
    <t>ABARROTERIA J&amp;C</t>
  </si>
  <si>
    <t>ABARROTERIA IRIS</t>
  </si>
  <si>
    <t>NOVEDADES Y SASTRERIA ESCOBAR</t>
  </si>
  <si>
    <t>FONDA MARGARA</t>
  </si>
  <si>
    <t>PANADERIA Y REFRESQUERIA LIDIA</t>
  </si>
  <si>
    <t>CAFE ROSA</t>
  </si>
  <si>
    <t>LEGUMBRERIA VALERY</t>
  </si>
  <si>
    <t>USBEI'K BEAUTY SALON</t>
  </si>
  <si>
    <t>FONDA MANCHUILA</t>
  </si>
  <si>
    <t xml:space="preserve">FONDA MARIA ULADIA GONZALEZ </t>
  </si>
  <si>
    <t xml:space="preserve">BARBERIA RICHARD </t>
  </si>
  <si>
    <t>ABARROTERIA GISELL</t>
  </si>
  <si>
    <t>ABARROTERIA MELISSA</t>
  </si>
  <si>
    <t>ABARROTERIA VERANERA</t>
  </si>
  <si>
    <t>ABARROTERIA NAIDIN (ABARROTERIA PELON)</t>
  </si>
  <si>
    <t>ABARROTERIA AROSEMENA</t>
  </si>
  <si>
    <t>CARNICERIA BOLIVAR GOMEZ</t>
  </si>
  <si>
    <t xml:space="preserve">CLINICA DENTAL BETANCOURTH </t>
  </si>
  <si>
    <t>CLINICA DOCTOR MIRANDA</t>
  </si>
  <si>
    <t>CLINICA DENTAL DR. FRANKLIN RIVERA MURGAS</t>
  </si>
  <si>
    <t>CLINICA FAMILIAR DENTO SALUD</t>
  </si>
  <si>
    <t>CLINICA DENTAL ANGUIZOLA</t>
  </si>
  <si>
    <t>CLINICA DENTAL FERNANDEZ Y FERNANDEZ</t>
  </si>
  <si>
    <t>CLINICA DENTAL JUAN RAMÓN SPIEGEL T.</t>
  </si>
  <si>
    <t>CLINICA DE LA SALUD</t>
  </si>
  <si>
    <t>CLINICA UROLOGICA- DRA MARTA SANCHEZ</t>
  </si>
  <si>
    <t>CLINICA VETERINARIA DR HARLEY</t>
  </si>
  <si>
    <t>CLINICA INTEGRAL LA VICTORIA</t>
  </si>
  <si>
    <t>KIOSCO EL BUEN SABOR</t>
  </si>
  <si>
    <t>LABORATORIO CLINICO ANALITIK</t>
  </si>
  <si>
    <t>SABORES</t>
  </si>
  <si>
    <t>LABORATORIO DENTAL CROM VENEER</t>
  </si>
  <si>
    <t>LABORATORIO DE ANALISIS CLINICOS HEMOLAB S.A</t>
  </si>
  <si>
    <t>S / N  ( BLANCA BRIONS ABOGADA )</t>
  </si>
  <si>
    <t>MORALES Y MORALES ABOGADOS (TATIANA MORALES)</t>
  </si>
  <si>
    <t>CONSULTORIO MEDICO Y LABORATORIO CLINICO SAN MATEO</t>
  </si>
  <si>
    <t>LA ESQUINA DEL SABOR</t>
  </si>
  <si>
    <t>RESTAURANTE LA CHOZA (RESTAURANTE LA CHOZA PURO SABOR)</t>
  </si>
  <si>
    <t>VENTAS MP</t>
  </si>
  <si>
    <t>VENTAS ROJAS HERRERA</t>
  </si>
  <si>
    <t>VENTAS  EL CAMPESINO</t>
  </si>
  <si>
    <t>VENTAS ANYELINA</t>
  </si>
  <si>
    <t>VENTAS  Y  MUEBLES  DAYANA</t>
  </si>
  <si>
    <t>VENTAS Y SERVICIOS EMMANUEL</t>
  </si>
  <si>
    <t>VENTAS DE MADERA CAZAZOLA</t>
  </si>
  <si>
    <t>MULTI VENTAS ALEXANDRA</t>
  </si>
  <si>
    <t>VENTAS HERMANOS LARA</t>
  </si>
  <si>
    <t>VENTAS DE CELULARES Y ACCESORIOS DIOS ES FIEL</t>
  </si>
  <si>
    <t>VENTAS Y REPARACIONES MV  SOCIEDAD ANONIMA</t>
  </si>
  <si>
    <t xml:space="preserve">SUPERMERCADO LIDER </t>
  </si>
  <si>
    <t>SUPERMERCADO D'MARKET</t>
  </si>
  <si>
    <t>TALLER DE ELECTROMECÁNICA EL FLACO</t>
  </si>
  <si>
    <t>TALLER OLIVER</t>
  </si>
  <si>
    <t>TALLER BERESFORD</t>
  </si>
  <si>
    <t>TALLER MECANICO 10X4 RUEDAS</t>
  </si>
  <si>
    <t>TALLER LUDWIG RIVERA</t>
  </si>
  <si>
    <t>TALLER YEYO</t>
  </si>
  <si>
    <t>TALLER DE REPARACION Y MANTENIMIENTO BILLIN</t>
  </si>
  <si>
    <t>TALLER QUIEL</t>
  </si>
  <si>
    <t>TALLER NOCHO</t>
  </si>
  <si>
    <t>TALLER DE CHAPISTERIA</t>
  </si>
  <si>
    <t>TALLER EBANISTERIA RIGO</t>
  </si>
  <si>
    <t>TALLER TECNIMOTO</t>
  </si>
  <si>
    <t>TALLER DE TAPICERIA CORTES</t>
  </si>
  <si>
    <t>TALLER OMAR</t>
  </si>
  <si>
    <t>TALLER JOSE RAMON</t>
  </si>
  <si>
    <t>TALLER MECANICA ELVIN ZAPATA</t>
  </si>
  <si>
    <t>TONO'S TALLER</t>
  </si>
  <si>
    <t>TALLER XTREME LINE SECURITY</t>
  </si>
  <si>
    <t>TALLER DIAZ</t>
  </si>
  <si>
    <t>TALLER SU AUTO</t>
  </si>
  <si>
    <t xml:space="preserve">SERVICIOS Y TALLER JORGE RODRIGUEZ </t>
  </si>
  <si>
    <t>TALLER MADRID</t>
  </si>
  <si>
    <t xml:space="preserve">TALLER EL CHOLO </t>
  </si>
  <si>
    <t>TALLER LINO</t>
  </si>
  <si>
    <t>TALLER HITO</t>
  </si>
  <si>
    <t>TALLER MANUEL</t>
  </si>
  <si>
    <t>TALLER BIRMIGHAM</t>
  </si>
  <si>
    <t>TALLER DE MECANICA Y CHAPISTERIA SILVERA</t>
  </si>
  <si>
    <t>TALLER ESPINOZA</t>
  </si>
  <si>
    <t>TALLER ORTIZ N°1</t>
  </si>
  <si>
    <t>TALLER JORGITO</t>
  </si>
  <si>
    <t>TALLER RAUL CASTRO</t>
  </si>
  <si>
    <t>TALLER MENENGO ( LA GOTERA)</t>
  </si>
  <si>
    <t>VETERINARIA SAN JOSE</t>
  </si>
  <si>
    <t>AGROVETERINARIA LA VÍA RURAL</t>
  </si>
  <si>
    <t>ROPA AMERICANA Y &amp; R</t>
  </si>
  <si>
    <t>MI LIBRERIA INTERNET</t>
  </si>
  <si>
    <t>VIDRIOS Y VENTANAS CASERE</t>
  </si>
  <si>
    <t>GANADERA DON MANUEL S.A</t>
  </si>
  <si>
    <t>COOPERATIVA DE S/M GANADERA CHIRICANA,S.A.</t>
  </si>
  <si>
    <t>ADMINISTRADORA  AGROGANADERA BOCON  SOCIEDAD ANONIMA</t>
  </si>
  <si>
    <t>DISTRIBUIDORA &amp; LA BENDICION</t>
  </si>
  <si>
    <t>DISTRIBUIDORA LCG</t>
  </si>
  <si>
    <t>DISTRIBUIDORA ANALIS</t>
  </si>
  <si>
    <t>DISTRIBUIDORA POCHO</t>
  </si>
  <si>
    <t>DISTRIBUIDORA JK</t>
  </si>
  <si>
    <t>DISTRIBUIDORA YURY</t>
  </si>
  <si>
    <t>DISTRIBUIDORA CASA CHINA</t>
  </si>
  <si>
    <t>DISTRIBUIDORA  ROQUE NUBLO</t>
  </si>
  <si>
    <t>DISTRIBUIDORA PHANY</t>
  </si>
  <si>
    <t>PROCESADORA Y DISTRIBUIDORA PAPO</t>
  </si>
  <si>
    <t xml:space="preserve">ABARROTERIA 3 HERMANOS #1 </t>
  </si>
  <si>
    <t>BEST TRACK GPS 1</t>
  </si>
  <si>
    <t>LEGUMBRES XAVIER</t>
  </si>
  <si>
    <t>NUEVA IMAGEN: FRANYANI'S SALON</t>
  </si>
  <si>
    <t xml:space="preserve">FONDA SHEILA </t>
  </si>
  <si>
    <t>FONDA CORELLA</t>
  </si>
  <si>
    <t>LAVA AUTOS ECOLIM</t>
  </si>
  <si>
    <t>ABARROTERIA ANLLOLY</t>
  </si>
  <si>
    <t>ABARROTERIA HNOS ROJAS</t>
  </si>
  <si>
    <t>ABARROTERIA KIM</t>
  </si>
  <si>
    <t>ABARROTERIA NUEVA IMAGEN</t>
  </si>
  <si>
    <t>ABARROTERIA LAURY'S</t>
  </si>
  <si>
    <t>ABT. RICARDITO (ABARROTERIA RICARDITO)</t>
  </si>
  <si>
    <t>SERVICIOS DE REFRIGERACION ARROYO</t>
  </si>
  <si>
    <t>FONDA LOS TABURETES</t>
  </si>
  <si>
    <t xml:space="preserve">CAFELINO 2 </t>
  </si>
  <si>
    <t>KIOSKO EL SOL</t>
  </si>
  <si>
    <t xml:space="preserve">J&amp;Y SALON </t>
  </si>
  <si>
    <t>FONDA DELICIAS LIAM</t>
  </si>
  <si>
    <t>FONDA YARINN</t>
  </si>
  <si>
    <t>BARBERIA NEW FAMILY</t>
  </si>
  <si>
    <t>ABARROTERIA VARIEDADES VIVI</t>
  </si>
  <si>
    <t>COCLE</t>
  </si>
  <si>
    <t xml:space="preserve">TALLER DE EBANESTERIA HARMODIO </t>
  </si>
  <si>
    <t>FONDA MARI NOE</t>
  </si>
  <si>
    <t>FLORES DEL VOLCAN</t>
  </si>
  <si>
    <t>CAFE ALICIA</t>
  </si>
  <si>
    <t>KIOSKO JENNYRICO</t>
  </si>
  <si>
    <t>FONDA MARGARITA &amp; HIJAS</t>
  </si>
  <si>
    <t>FONDA PLATILLOS HOGAREÑOS</t>
  </si>
  <si>
    <t>MINI SUPER FLORIDALIA</t>
  </si>
  <si>
    <t>DISFRUTAS CH</t>
  </si>
  <si>
    <t>ABARROTERIA BIANCA</t>
  </si>
  <si>
    <t xml:space="preserve">ABARROTERIA METRO 15 </t>
  </si>
  <si>
    <t>ABARROTERIA TITO</t>
  </si>
  <si>
    <t>ABARROTERIA RICKY</t>
  </si>
  <si>
    <t xml:space="preserve">ABARROTERIA LOS PINOS VOLCAN </t>
  </si>
  <si>
    <t>COPIAS &amp; IMPRESIONES LUVY</t>
  </si>
  <si>
    <t>RESTAURANTE LIANG</t>
  </si>
  <si>
    <t>FABRICA AGRO INDUST DE HELAD Y PAL JAQUE</t>
  </si>
  <si>
    <t>LEGUMBRES Y FRUTAS DONDE EDUARDO G</t>
  </si>
  <si>
    <t>MARISEL SALON</t>
  </si>
  <si>
    <t>FONDA LA ESKINA</t>
  </si>
  <si>
    <t>FONDA DOÑA EIRA</t>
  </si>
  <si>
    <t>LAVAMATICO DOÑA EVIDELIA</t>
  </si>
  <si>
    <t>ABARROTERIA YARELIS</t>
  </si>
  <si>
    <t xml:space="preserve">ABARROTERIA ANDREA </t>
  </si>
  <si>
    <t>ABARROTERIA RAFAEL</t>
  </si>
  <si>
    <t xml:space="preserve">ABARROTERIA LA LEALTAD </t>
  </si>
  <si>
    <t>ABARROTERIA PITTI</t>
  </si>
  <si>
    <t xml:space="preserve">ABARROTERIA CHIN CHIN </t>
  </si>
  <si>
    <t>STEC ELECTRÓNICA Y REFRIGERACIÓN (STEC)</t>
  </si>
  <si>
    <t>ABARROTERIA DON SAMY</t>
  </si>
  <si>
    <t>LAS DELICIAS DE LA CHEF</t>
  </si>
  <si>
    <t>VENTAS DE LEGUMBRE Y FRUTAS GONZALEZ</t>
  </si>
  <si>
    <t>ZAPHIR BEAUTY SALON</t>
  </si>
  <si>
    <t xml:space="preserve"> FONDA FRITURAMA JEYZLY</t>
  </si>
  <si>
    <t>FONDA A TU GUSTO</t>
  </si>
  <si>
    <t>BARBERIA MONROY</t>
  </si>
  <si>
    <t>ABARROTERIA LAS PALMERAS</t>
  </si>
  <si>
    <t>ABARROTERIA JOHANN</t>
  </si>
  <si>
    <t>ABARROTERIA LOLO</t>
  </si>
  <si>
    <t>ABARROTERIA DOÑA ELENA</t>
  </si>
  <si>
    <t>ABARROTERIA MILENA( VENTA DE VIVERES MULENA)</t>
  </si>
  <si>
    <t>ABARROTERIA KATIANA ALVAREZ NUÑEZ</t>
  </si>
  <si>
    <t xml:space="preserve">PARRILLADA ALEXANDER </t>
  </si>
  <si>
    <t>ABARROTERIA KRISTEL</t>
  </si>
  <si>
    <t>SERVICIOS CONTABLES Y ADMINISTRATIVOS SERCOAD</t>
  </si>
  <si>
    <t>VENTA DE LEGUMBRES LOS INTOCABLES 2</t>
  </si>
  <si>
    <t xml:space="preserve">MARY SALON DE BELLEZA </t>
  </si>
  <si>
    <t>FONDA MARY</t>
  </si>
  <si>
    <t>FONDA DOÑA OMAIRA</t>
  </si>
  <si>
    <t>BARBERIA PIZANO</t>
  </si>
  <si>
    <t>ABARROTERIA EL SABER</t>
  </si>
  <si>
    <t>ABARROTERIA MACIELL</t>
  </si>
  <si>
    <t xml:space="preserve">ABARROTERIA SABANA BONITA </t>
  </si>
  <si>
    <t>ABARROTERIA JASU YANETH</t>
  </si>
  <si>
    <t xml:space="preserve">ABARROTERIA BENDICION DE DIOS </t>
  </si>
  <si>
    <t>SASTRERIA TIMOROGO</t>
  </si>
  <si>
    <t>FONDA LALA</t>
  </si>
  <si>
    <t>REFRESQUERIA SNOOPY CENTER</t>
  </si>
  <si>
    <t>CAFE EL GRANITO DE ORO</t>
  </si>
  <si>
    <t>CRISTEL E CABALLERO S / VENTAS DE LEGUMBRES Y TRANSPORTE</t>
  </si>
  <si>
    <t>SHAILIN SALON</t>
  </si>
  <si>
    <t>FONDA EL BUEN SASON</t>
  </si>
  <si>
    <t>FONDA QUINTERO</t>
  </si>
  <si>
    <t>BARBERIA IBM</t>
  </si>
  <si>
    <t xml:space="preserve">ABARROTERIA KENY </t>
  </si>
  <si>
    <t>ABARROTERIA KEYLOR</t>
  </si>
  <si>
    <t>ABARROTERIA ALTAMIRANO</t>
  </si>
  <si>
    <t>ABARROTERIA LUCKY</t>
  </si>
  <si>
    <t>ABARROTERIA DORIMAR</t>
  </si>
  <si>
    <t>PELUQUERIA CANINA MARITA</t>
  </si>
  <si>
    <t>LABORATORIO &amp; CLINICA DENTAL JAIME</t>
  </si>
  <si>
    <t>CLINICA ATENCIO</t>
  </si>
  <si>
    <t>CLINICA MEDICO DENTAL / LABORATORIO CLINICO ESPECIALIZADO</t>
  </si>
  <si>
    <t>CLINICA ROSAN</t>
  </si>
  <si>
    <t>CLINICA DENTAL CHIRIQUI</t>
  </si>
  <si>
    <t>CLINICA  DRES.  ALFREDO SPIEGEL</t>
  </si>
  <si>
    <t>CLINICA DOCTOR TEST</t>
  </si>
  <si>
    <t>CLINICA GLADYS D'LASSER</t>
  </si>
  <si>
    <t>CLINICA INTEGRAL SALUD Y MUJER</t>
  </si>
  <si>
    <t xml:space="preserve">MEGA SMILE CLINICA DENTAL </t>
  </si>
  <si>
    <t>CLINICA DENTAL DRA. ELSA HERRERA</t>
  </si>
  <si>
    <t>DELICIAS DEL SABOR</t>
  </si>
  <si>
    <t>EL RINCONCITO DEL SABOR J Y L</t>
  </si>
  <si>
    <t>BAR DON GABO</t>
  </si>
  <si>
    <t>DANUVIS ACOSTA ABOGADA</t>
  </si>
  <si>
    <t>LABORATORIO GUADALUPE</t>
  </si>
  <si>
    <t>ADMINISTRACIONDE OFICINAS DE ABOGADOS S</t>
  </si>
  <si>
    <t>VIRNA LISSY ABOGADA</t>
  </si>
  <si>
    <t>CORPORACION DE ABOGADOS ALVAREZ Y ALVAREZ</t>
  </si>
  <si>
    <t>LIMABO,S.A</t>
  </si>
  <si>
    <t>TALLER Y VENTAS EDM</t>
  </si>
  <si>
    <t>VENTAS GLORIALE</t>
  </si>
  <si>
    <t xml:space="preserve">VENTAS BENJAMIN ATENCIO </t>
  </si>
  <si>
    <t>VENTAS Y NOVEDADES D.S.C</t>
  </si>
  <si>
    <t>VENTAS NATHALY</t>
  </si>
  <si>
    <t>VENTAS JAIME</t>
  </si>
  <si>
    <t>MULTISERVICIOS  Y  VENTAS   HALAM</t>
  </si>
  <si>
    <t xml:space="preserve">ASESORIA Y CONSULTORIA IMPULSADORES DE VENTAS Y NEGOCIACIONES ESPINOSA </t>
  </si>
  <si>
    <t>VENTAS RONY</t>
  </si>
  <si>
    <t>VENTAS Y SERVICIOS DE AUTOMÓVILES</t>
  </si>
  <si>
    <t xml:space="preserve">AGRO VENTAS DON GA </t>
  </si>
  <si>
    <t>VENTAS DONATILA</t>
  </si>
  <si>
    <t>SUPERMARKET SELINA</t>
  </si>
  <si>
    <t>SUPERMERCADO NUEVO BAMBITO</t>
  </si>
  <si>
    <t>TALLER DE MECANICA MAYELIN</t>
  </si>
  <si>
    <t>TALLER JIPI</t>
  </si>
  <si>
    <t>TALLER DE EBANISTERIA</t>
  </si>
  <si>
    <t>TALLER LOD BOAS</t>
  </si>
  <si>
    <t>TALLER DE REPARACION DE CALZADOS EDIL</t>
  </si>
  <si>
    <t>TALLER D &amp; D SERVICIOS MECANICOS Y ELECTROMECANICOS</t>
  </si>
  <si>
    <t>TALLER JATNIEL 1</t>
  </si>
  <si>
    <t xml:space="preserve">TALLER  DONY </t>
  </si>
  <si>
    <t>TALLER EL NEGRO</t>
  </si>
  <si>
    <t>TALLER ALIANYS ESCARTIN</t>
  </si>
  <si>
    <t>TALLER EFRAIN HERNANDEZ</t>
  </si>
  <si>
    <t>TALLER DE RADIADORES EL PATRON</t>
  </si>
  <si>
    <t>TALLER RAMOS</t>
  </si>
  <si>
    <t>TALLER EL TICO ALBERS</t>
  </si>
  <si>
    <t>TALLER DE EBANISTERIA NAVARRO</t>
  </si>
  <si>
    <t>TALLER GEOVANI</t>
  </si>
  <si>
    <t>TALLER Y JOYERIA MONTENEGRO</t>
  </si>
  <si>
    <t>TALLER DE EBANISTERIA DEL CID</t>
  </si>
  <si>
    <t>TALLER JOSE</t>
  </si>
  <si>
    <t>TALLER DE MECANICA EDUARDO</t>
  </si>
  <si>
    <t>TALLER DE CONEJOS</t>
  </si>
  <si>
    <t>TALLER CHOLO</t>
  </si>
  <si>
    <t>TALLER DE CHAPISTERIA FUGI SERVICE</t>
  </si>
  <si>
    <t>TALLER DE EBANISTERIA OLMEDO VARGAS</t>
  </si>
  <si>
    <t>TALLER JEOVA YIRE</t>
  </si>
  <si>
    <t>TALLER LUIS</t>
  </si>
  <si>
    <t>TALLER GONZALEZ</t>
  </si>
  <si>
    <t>KMS SERVICES TALLER</t>
  </si>
  <si>
    <t>TALLER OFF ROAD VEHICLE CONSTRUCTION</t>
  </si>
  <si>
    <t>TALLER JULIO</t>
  </si>
  <si>
    <t>TALLER RICARDO SALDAÑA</t>
  </si>
  <si>
    <t xml:space="preserve">SIN NOMBRE ( TALLER DE EBANISTERÍA) </t>
  </si>
  <si>
    <t>TALLER EL MERECIDO</t>
  </si>
  <si>
    <t>SAINT FRANCIS VET.</t>
  </si>
  <si>
    <t>AGROVETERINARIA Y FERRETERIA LEZCANO</t>
  </si>
  <si>
    <t>VENTAS DE ROPA AMERICANA</t>
  </si>
  <si>
    <t>PISABEL INTERNET  CAFE</t>
  </si>
  <si>
    <t>VIDRIERAS Y VENTANAS</t>
  </si>
  <si>
    <t>GANADERIA ARENAL S A</t>
  </si>
  <si>
    <t>GANADERA LA YEGUADA</t>
  </si>
  <si>
    <t>ZAROSA GANADERA, S.A.</t>
  </si>
  <si>
    <t>AGRO FERRETERIA Y DISTRIBUIDORA EL GRAN SAMARITANO</t>
  </si>
  <si>
    <t>EMPACADORA Y DISTRIBUIDORA CELCITO</t>
  </si>
  <si>
    <t>DISTRIBUIDORA EL MUECO</t>
  </si>
  <si>
    <t>DISTRIBUIDORA CAMCO S A</t>
  </si>
  <si>
    <t>DISTRIBUIDORA WANG LI</t>
  </si>
  <si>
    <t>DISTRIBUIDORA SANROD</t>
  </si>
  <si>
    <t>DISTRIBUIDORA PANAMA NORTE</t>
  </si>
  <si>
    <t>DISTRIBUIDORA PANADERIA EMY CHEN</t>
  </si>
  <si>
    <t xml:space="preserve">DISTRIBUIDORA BARROSO </t>
  </si>
  <si>
    <t>DISTRIBUDORA DE LEGUMBRES  JUAN CARLOS GONZALEZ SERRACIN</t>
  </si>
  <si>
    <t>RESTAURANTE LAS GEMELAS MORALES</t>
  </si>
  <si>
    <t>PARQUE RECREATIVO BORINQUITO</t>
  </si>
  <si>
    <t>CAFETALES RIO SERENO S.A</t>
  </si>
  <si>
    <t>BARBERIA (STYLOS SALON Y BARBERIA)</t>
  </si>
  <si>
    <t xml:space="preserve">FONDA YEILIM LISSETH </t>
  </si>
  <si>
    <t>FONDA EIRA</t>
  </si>
  <si>
    <t>LAVANDERIA REMOLINOS</t>
  </si>
  <si>
    <t>ABARROTERIA Y REFRESQUERIA AMARILU</t>
  </si>
  <si>
    <t>ABARROTERIA DEIDANIA</t>
  </si>
  <si>
    <t xml:space="preserve">ABARROTERIA HERMANOS LOPEZ </t>
  </si>
  <si>
    <t xml:space="preserve">ABARROTERIA RUBIO </t>
  </si>
  <si>
    <t xml:space="preserve">ABARROTERIA BENDECIDOS POR DIOS </t>
  </si>
  <si>
    <t>ABARROTERIA TEKY</t>
  </si>
  <si>
    <t>TALLER DE REFRIGERACION ARAUZ</t>
  </si>
  <si>
    <t>REFRESQUERIA Y PIZZERIA DELICIAS</t>
  </si>
  <si>
    <t xml:space="preserve">CAFETERIA COOL CREPES </t>
  </si>
  <si>
    <t>LEGUMBRES DE CALIDAD</t>
  </si>
  <si>
    <t>SALON DE BELLEZA "MARIA VICTORIA"</t>
  </si>
  <si>
    <t>FONDA DOÑA TERE</t>
  </si>
  <si>
    <t xml:space="preserve">FONDA DONDE LUIS </t>
  </si>
  <si>
    <t>BARBERIA EL GORDO 2</t>
  </si>
  <si>
    <t>ABARROTERIA LAS ROSAS</t>
  </si>
  <si>
    <t>ABARROTERIA TOTO</t>
  </si>
  <si>
    <t>ABARROTERIA "DONDE PORFI"</t>
  </si>
  <si>
    <t>ABARROTERIA AMINTA</t>
  </si>
  <si>
    <t>COLON</t>
  </si>
  <si>
    <t>RESTA. EL NOVILLO GORDO BOQUETE</t>
  </si>
  <si>
    <t>FARMACIA LA LUPITA</t>
  </si>
  <si>
    <t>ABARROTERIA CAFE DORADO</t>
  </si>
  <si>
    <t>KATHY SALON</t>
  </si>
  <si>
    <t>FONDA GIPSY</t>
  </si>
  <si>
    <t>LAVANDERIA ONE</t>
  </si>
  <si>
    <t>ABARROTERIA BRAY</t>
  </si>
  <si>
    <t>ABARROTERIA SANTOS</t>
  </si>
  <si>
    <t xml:space="preserve">ABARROTERIA DON TITO </t>
  </si>
  <si>
    <t>ABARROTERIA NAYATH</t>
  </si>
  <si>
    <t>ABARROTERIA LA NUEVA ESPERANZA N0.1</t>
  </si>
  <si>
    <t>ARTESANIAS MARIA LUISA</t>
  </si>
  <si>
    <t>PARRILLADA LA FLAKA</t>
  </si>
  <si>
    <t>CAFETERIA MILKA</t>
  </si>
  <si>
    <t>CAFE DON TINO</t>
  </si>
  <si>
    <t>KIOSKO AIZER</t>
  </si>
  <si>
    <t>MODEL BEAUTY SALON</t>
  </si>
  <si>
    <t xml:space="preserve">FONDA YENI </t>
  </si>
  <si>
    <t>FONDA EL JADE</t>
  </si>
  <si>
    <t xml:space="preserve">BARBERIA BENDICION </t>
  </si>
  <si>
    <t xml:space="preserve">ABARROTERIA JAMIR </t>
  </si>
  <si>
    <t>ABARROTERIA HNOS CABALLERO MIRANDA</t>
  </si>
  <si>
    <t>ABARROTERIA ZYCAMIR</t>
  </si>
  <si>
    <t xml:space="preserve">ABARROTERIA GENESIS </t>
  </si>
  <si>
    <t>ABARROTERIA NAZARETH</t>
  </si>
  <si>
    <t>CARNICERIA SAMUDIO</t>
  </si>
  <si>
    <t>RESTAURANTE JARDINES DE BOQUETE</t>
  </si>
  <si>
    <t>7 ISLAS  S A</t>
  </si>
  <si>
    <t>XIOMY, S CAFE</t>
  </si>
  <si>
    <t>KIOSKO MI BENDICIÓN SANTA CLARA</t>
  </si>
  <si>
    <t>FONDA EL ESFUERZO</t>
  </si>
  <si>
    <t>FONDA CRIOLLA E Y R</t>
  </si>
  <si>
    <t>MULTI PLANTAS</t>
  </si>
  <si>
    <t xml:space="preserve">FRUTAS Y VEGETALES XENIA </t>
  </si>
  <si>
    <t>ABARROTERIA 2 HERMANOS</t>
  </si>
  <si>
    <t>ABARROTERIA MATZUY</t>
  </si>
  <si>
    <t>ABARROTERIA CHAPARRO</t>
  </si>
  <si>
    <t>ABARROTERIA MEYBIS</t>
  </si>
  <si>
    <t>ABARROTERIA PILY</t>
  </si>
  <si>
    <t>REFRIGERACION QIU</t>
  </si>
  <si>
    <t>ABARROTERIA DIOSELINA</t>
  </si>
  <si>
    <t xml:space="preserve">TACOOL </t>
  </si>
  <si>
    <t>VENTAS DE GRANOS Y LEGUMBRES GONZALEZ</t>
  </si>
  <si>
    <t>LUISANAS BEAUTY SALON</t>
  </si>
  <si>
    <t>FONDA BIENVENIDA NUMERO 1</t>
  </si>
  <si>
    <t xml:space="preserve">FONDA LA NONA </t>
  </si>
  <si>
    <t>KENNETH'S NEW STYLE BARBERIA</t>
  </si>
  <si>
    <t>ABARROTERIA BERTA</t>
  </si>
  <si>
    <t>ABARROTERIA YAMI</t>
  </si>
  <si>
    <t>ABARROTERIA SINAY</t>
  </si>
  <si>
    <t>ABARROTERIA BETI</t>
  </si>
  <si>
    <t>ABARROTERIA WILLIAN</t>
  </si>
  <si>
    <t>ABARROTERIA RAQUELITA</t>
  </si>
  <si>
    <t>ASADOS SAN PABLO</t>
  </si>
  <si>
    <t>SUPER PAN PANADERIA</t>
  </si>
  <si>
    <t>CAFE XENIA</t>
  </si>
  <si>
    <t xml:space="preserve">TIENDA Y LEGUMBRES IRMA </t>
  </si>
  <si>
    <t>JB SALON</t>
  </si>
  <si>
    <t>FONDA YULIANA</t>
  </si>
  <si>
    <t xml:space="preserve">FONDA EL PARQUE </t>
  </si>
  <si>
    <t>BARBERIA RATY</t>
  </si>
  <si>
    <t xml:space="preserve">ABARROTERIA RAMOS </t>
  </si>
  <si>
    <t>ABARROTERIA TIO MINGO</t>
  </si>
  <si>
    <t>ABARROTERIA MELIN</t>
  </si>
  <si>
    <t>ABARROTERIA CAROLINE</t>
  </si>
  <si>
    <t>ABARROTERIA MABEL</t>
  </si>
  <si>
    <t>ARTESANIAS CAMPO LEMA</t>
  </si>
  <si>
    <t>PARRILLADA LA PASTELERA</t>
  </si>
  <si>
    <t>PANADERIA EL DORADO</t>
  </si>
  <si>
    <t>SCHOOL CAFETERIA</t>
  </si>
  <si>
    <t>VENTA DE FRUTAS Y LEGUMBRES HEMI</t>
  </si>
  <si>
    <t xml:space="preserve">SHERLY'S BEAUTY SALON </t>
  </si>
  <si>
    <t>FONDA SABORES INTERAMERICANA</t>
  </si>
  <si>
    <t>FONDA LA PROMESA DEL CHUMICAL</t>
  </si>
  <si>
    <t>BARBERIA 47</t>
  </si>
  <si>
    <t>ABARROTERIA EVA</t>
  </si>
  <si>
    <t>ABARROTERIA EIBAR 2</t>
  </si>
  <si>
    <t>ABARROTERIA WILLFRIDA</t>
  </si>
  <si>
    <t>VERDURERIA Y ABARROTERIA MAYLIN</t>
  </si>
  <si>
    <t>ABARROTERIA ORLANDO</t>
  </si>
  <si>
    <t>CARNICERIA LUIS</t>
  </si>
  <si>
    <t>FONDA LINETH</t>
  </si>
  <si>
    <t>FONDA BLESS</t>
  </si>
  <si>
    <t>BRANDA CAFE</t>
  </si>
  <si>
    <t>KIOSKO MIYEI</t>
  </si>
  <si>
    <t>MARILENAS HAIR NAILS CARE SALON</t>
  </si>
  <si>
    <t>FONDA  TIPICA DOÑA ILMA</t>
  </si>
  <si>
    <t>FONDA PRADERAS DE FONSECA</t>
  </si>
  <si>
    <t>BARBERIA GENT'S UNISEX</t>
  </si>
  <si>
    <t>ABARROTERIA LOLIN</t>
  </si>
  <si>
    <t xml:space="preserve">ABARROTERIA PIPO </t>
  </si>
  <si>
    <t>ABARROTERIA LUCIO</t>
  </si>
  <si>
    <t>ABARROTERIA LAS GEMELAS</t>
  </si>
  <si>
    <t>ABARROTERIA LA PERLA DOS</t>
  </si>
  <si>
    <t>IMPRESIONES Y COPIAS 3K</t>
  </si>
  <si>
    <t>CLINICA MEDICA FIGUEROA</t>
  </si>
  <si>
    <t>CLINICA MEDICA SHADDAI</t>
  </si>
  <si>
    <t>CLINICA LA SANTE</t>
  </si>
  <si>
    <t>CLINICA SAN FRANCISCO</t>
  </si>
  <si>
    <t>CLINICA DENTAL NUEVA SONRISA</t>
  </si>
  <si>
    <t>CLINICA DENTAL MONTIEL</t>
  </si>
  <si>
    <t>CLINICA AV DR GANTES</t>
  </si>
  <si>
    <t>CLINICA VETERINARIA DOGS-CATS</t>
  </si>
  <si>
    <t>CLINICA DENTAL NAVI</t>
  </si>
  <si>
    <t>CLINICA VETERINARIA, SAN MARTIN DE PORRAS</t>
  </si>
  <si>
    <t xml:space="preserve">CLINICA VIBRA SALUD ( VIBRA SALUD MEDICINA GENERAL Y EMERGENCIAS) </t>
  </si>
  <si>
    <t>DELICIAS Y SABORES DE VALERIA</t>
  </si>
  <si>
    <t>TABOO BAR &amp; LOUNGE</t>
  </si>
  <si>
    <t>LA PARADA DEL SABOR</t>
  </si>
  <si>
    <t>TABOO TATTOO STUDIO</t>
  </si>
  <si>
    <t>INSTITUTO LABORAL NUEVA LUZ</t>
  </si>
  <si>
    <t>LABORATORIO CLINICO JIREH</t>
  </si>
  <si>
    <t>BOLIVAR CANO ABOGADO</t>
  </si>
  <si>
    <t>ABOGADO- JUAN GUERRA</t>
  </si>
  <si>
    <t xml:space="preserve">LABORATORIO CLÍNICO GUADALUPE </t>
  </si>
  <si>
    <t>AGROSERVICIOS Y VENTAS GUARUMAL, SA</t>
  </si>
  <si>
    <t>VENTAS MILAGROS (VENTAS MILAGRO)</t>
  </si>
  <si>
    <t>VENTAS ARTURO</t>
  </si>
  <si>
    <t>SEDERIA Y VENTAS MIRANDA</t>
  </si>
  <si>
    <t>VENTAS VIDAL CARMEN</t>
  </si>
  <si>
    <t>VENTAS LOS 4 HERMANOS</t>
  </si>
  <si>
    <t>VENTAS Y MAS</t>
  </si>
  <si>
    <t xml:space="preserve">VENTAS E INVERSIONES GUERRA </t>
  </si>
  <si>
    <t>VENTAS FANY S</t>
  </si>
  <si>
    <t xml:space="preserve">VENTAS Y DELIVERY MIRANDA </t>
  </si>
  <si>
    <t>FINCA Y AGROVENTAS GUADALUPE</t>
  </si>
  <si>
    <t>VENTAS OFE</t>
  </si>
  <si>
    <t>SUPERMERCADO NUEVO HORIZONTE</t>
  </si>
  <si>
    <t>SUPERMERCADO HNOS HAU</t>
  </si>
  <si>
    <t>TALLER FIDEL RODRIGUEZ</t>
  </si>
  <si>
    <t xml:space="preserve">TALLER LEZCANO </t>
  </si>
  <si>
    <t>TALLER ELIECER</t>
  </si>
  <si>
    <t>TALLER LEVIS METAL</t>
  </si>
  <si>
    <t>TALLER CAR PLACE BOQUETE</t>
  </si>
  <si>
    <t>TALLER Y TRANSPORTE GUTIERREZ</t>
  </si>
  <si>
    <t>TALLER HERMANOS MIRANDA</t>
  </si>
  <si>
    <t>TALLER Y SERVICIOS CHICHO</t>
  </si>
  <si>
    <t>TALLER CENTENO</t>
  </si>
  <si>
    <t>TALLER TECNIAUTO ARAUZ</t>
  </si>
  <si>
    <t>TALLER MONTENEGRO</t>
  </si>
  <si>
    <t>TALLER CACERES</t>
  </si>
  <si>
    <t>TALLER AUTOTAPIZ</t>
  </si>
  <si>
    <t>TALLER DON YEYO</t>
  </si>
  <si>
    <t>TALLER DE REPARACION Y RELOJERIA AQUI ME QUEDO</t>
  </si>
  <si>
    <t>TALLER DE REPARACIÓN IBARRA</t>
  </si>
  <si>
    <t>TALLER JORON BELLO HORIZONTE</t>
  </si>
  <si>
    <t>TALLER AZAEL ARIEL MONTENEGRO CASTILLO</t>
  </si>
  <si>
    <t>TALLER MARQUINEZ</t>
  </si>
  <si>
    <t>TALLER ALBERTO</t>
  </si>
  <si>
    <t xml:space="preserve">TALLER ALEXIS AIZPRUA </t>
  </si>
  <si>
    <t>TALLER ROMERO</t>
  </si>
  <si>
    <t>TALLER TOLE</t>
  </si>
  <si>
    <t>TALLER BATISTA</t>
  </si>
  <si>
    <t>TALLER DE EBANISTERIA ITZA</t>
  </si>
  <si>
    <t>TALLER HERMOSO</t>
  </si>
  <si>
    <t>TALLER FUENTES</t>
  </si>
  <si>
    <t>TALLER MARIBEL</t>
  </si>
  <si>
    <t>EBANISTERIA TALLER LALO</t>
  </si>
  <si>
    <t>TALLER S/N RAMON GIRON</t>
  </si>
  <si>
    <t>TALLER Y REPARACIONES MONTENEGRO</t>
  </si>
  <si>
    <t>TALLER RAFA MECANICA Y SOLDADURA</t>
  </si>
  <si>
    <t xml:space="preserve">TALLER Y GRUAS RODRIGUEZ </t>
  </si>
  <si>
    <t xml:space="preserve">VETCON </t>
  </si>
  <si>
    <t xml:space="preserve">SOLUCIONES AGROVETERINARIAS, S. A. </t>
  </si>
  <si>
    <t>ROPA AMERICANA LURI STORE N 2</t>
  </si>
  <si>
    <t>INTERNET ALIANZA</t>
  </si>
  <si>
    <t>VIDRIOS Y VENTANAS DE CRISTAL</t>
  </si>
  <si>
    <t>AGROGANADERA MARTINEZ, S.A.</t>
  </si>
  <si>
    <t>ASOCIACION DE CRIADORES DE GANADO CEBU EN PANAMÁ</t>
  </si>
  <si>
    <t>AGROGANADERA GIOVA S A</t>
  </si>
  <si>
    <t>DISTRIBUDORA VEGA</t>
  </si>
  <si>
    <t>DISTRIBUIDORA Y CONSTRUCTORA ENEIDA  S A</t>
  </si>
  <si>
    <t>DISTRIBUIDORA MANGO TROPIC</t>
  </si>
  <si>
    <t>DISTRIBUIDORA VILLANOS  S A</t>
  </si>
  <si>
    <t>DISTRIMAT</t>
  </si>
  <si>
    <t>DISTRIBUIDORA FERREHOGAR #1</t>
  </si>
  <si>
    <t xml:space="preserve">DISTRIBUIDORA PINTAS EXPRESS </t>
  </si>
  <si>
    <t>DISTRIBUIDORA BARTOLO</t>
  </si>
  <si>
    <t xml:space="preserve">VENTAS Y DISTRIBUIDORA GONZALEZ </t>
  </si>
  <si>
    <t>DISTRIBUIDORA REM</t>
  </si>
  <si>
    <t>DARIEN</t>
  </si>
  <si>
    <t>FONDA KELLY C P</t>
  </si>
  <si>
    <t>BARBERIA NEW ROOTS (EN SOLICITUD)</t>
  </si>
  <si>
    <t>ABARROTERIA JYK</t>
  </si>
  <si>
    <t>ABARROTERIA MERY</t>
  </si>
  <si>
    <t>ABARROTERIA HERMANOS VALDES</t>
  </si>
  <si>
    <t>ABARROTERIA MAGALI</t>
  </si>
  <si>
    <t>MINI ABARROTERIA KEBEDO</t>
  </si>
  <si>
    <t xml:space="preserve">REFRICENTRO BUGABA </t>
  </si>
  <si>
    <t>CLINICA Y LABORATORIO DENTAL #1</t>
  </si>
  <si>
    <t>CLINICA SOPHYA</t>
  </si>
  <si>
    <t>CLINICA Y LABORATORIO DIVINO NIÑO JESUS</t>
  </si>
  <si>
    <t>CLINICA MEDICA DENTAL EBEN-ESER</t>
  </si>
  <si>
    <t>CLINICA DENTAL DOCTORA PAULETTE HERRERA</t>
  </si>
  <si>
    <t>CLINICA PEDIATRICA OTILIO DIXON</t>
  </si>
  <si>
    <t>CLINICA Y LABORATORIO OBETEC</t>
  </si>
  <si>
    <t>SAN ANTONIO CLINICA DENTAL</t>
  </si>
  <si>
    <t>CLINICA DE LA PIEL Y ESTETICA PENAGOS</t>
  </si>
  <si>
    <t>CLINICA SAN JOSE(CLINICA MEDICO ESTETICA)</t>
  </si>
  <si>
    <t>CLINICA NUEVA LUZ</t>
  </si>
  <si>
    <t>EL SECRETO DEL SABOR</t>
  </si>
  <si>
    <t>GUERRA  ABOGADOS &amp; ASOCIADOS</t>
  </si>
  <si>
    <t>OLMOS Y OLMOS ABOGADOS</t>
  </si>
  <si>
    <t>LABORATORIO DENTAL CERAMICA</t>
  </si>
  <si>
    <t>ITZEL HERNANEZ ABOGADA</t>
  </si>
  <si>
    <t>JPA ABOGADOS</t>
  </si>
  <si>
    <t>LABORATORIO DIESEL BYM</t>
  </si>
  <si>
    <t>SABORE´S</t>
  </si>
  <si>
    <t>PANADERIA Y REFRESQUERIA SABOR CASERO</t>
  </si>
  <si>
    <t>SERVICIOS Y VENTAS DE GRANOS ADAMES</t>
  </si>
  <si>
    <t>VENTAS SEYCHELL Y HEIZELL</t>
  </si>
  <si>
    <t>VENTAS ANGELES</t>
  </si>
  <si>
    <t>VENTAS  MIRANDA S.A.</t>
  </si>
  <si>
    <t>VENTAS JEFER</t>
  </si>
  <si>
    <t>VENTAS CABALLERO BATISTA</t>
  </si>
  <si>
    <t>VENTAS VILLAMAR</t>
  </si>
  <si>
    <t>VENTAS S Y K</t>
  </si>
  <si>
    <t xml:space="preserve">VENTAS Y REPUESTOS RODY </t>
  </si>
  <si>
    <t>AGRO VENTAS GUTIERREZ</t>
  </si>
  <si>
    <t>VENTAS Y TRANSPORTE ATENCIO</t>
  </si>
  <si>
    <t>SUPERMERCADO LA CUCHILLA</t>
  </si>
  <si>
    <t xml:space="preserve">SUPERMERCADO LA PRINCIPAL </t>
  </si>
  <si>
    <t>SUPERMERCADO ROMY</t>
  </si>
  <si>
    <t xml:space="preserve">TALLER ALEXIS </t>
  </si>
  <si>
    <t>TALLER DON CHITO</t>
  </si>
  <si>
    <t>TALLER DE EBANISTERIA LENIN</t>
  </si>
  <si>
    <t>TALLER PITTY</t>
  </si>
  <si>
    <t>TALLER BUCHAHIN</t>
  </si>
  <si>
    <t>TALLER DE REPARACION DE RADIADORES</t>
  </si>
  <si>
    <t>TALLER DE EBANISTERIA MELANIE</t>
  </si>
  <si>
    <t>TALLER JAIRO</t>
  </si>
  <si>
    <t>TALLER EL FLACO</t>
  </si>
  <si>
    <t>TALLER VICTORIA CAR SHOP</t>
  </si>
  <si>
    <t>TALLER PROTECTOR HERRERIA Y MAS</t>
  </si>
  <si>
    <t xml:space="preserve">TALLER EUSEBIO HERNANDEZ </t>
  </si>
  <si>
    <t>TALLER Y SERVICIOS AYALA</t>
  </si>
  <si>
    <t>TALLER DE TORNERIA Y SOLDADURA GENERAL WILLY</t>
  </si>
  <si>
    <t>TALLER SERVICENTRO EL COCHE</t>
  </si>
  <si>
    <t xml:space="preserve">TALLER JOSUE </t>
  </si>
  <si>
    <t>TALLER RAUL CANTO</t>
  </si>
  <si>
    <t>TALLER  DE CHAPISTERIA GAITAN</t>
  </si>
  <si>
    <t>TALLER EL BRUJO</t>
  </si>
  <si>
    <t>TALLER DE MECANICA LUQUE</t>
  </si>
  <si>
    <t>TALLER YIGO</t>
  </si>
  <si>
    <t>TALLER DE EBANISTERÍA GINELLE</t>
  </si>
  <si>
    <t xml:space="preserve">TALLER GUTIERREZ </t>
  </si>
  <si>
    <t xml:space="preserve">TALLER OSMAN CARLOS </t>
  </si>
  <si>
    <t>TALLER NEGRO POLO</t>
  </si>
  <si>
    <t>TALLER DE MECANICA RODROGUEZ</t>
  </si>
  <si>
    <t>TALLER CHILO</t>
  </si>
  <si>
    <t>TALLER Y SERVICIOS TRES FUERZAS</t>
  </si>
  <si>
    <t xml:space="preserve">TALLER CHAVARRIA </t>
  </si>
  <si>
    <t>TALLER NEGRO</t>
  </si>
  <si>
    <t xml:space="preserve">TALLER GUADALUPE JC </t>
  </si>
  <si>
    <t>TALLER DE MECANICA ACOSTA</t>
  </si>
  <si>
    <t>TALLER ABEL</t>
  </si>
  <si>
    <t>VETERINARIA DON HENRY</t>
  </si>
  <si>
    <t>AGROVETERINARIA Y FERRETERIA TOLE</t>
  </si>
  <si>
    <t>THEONE INTERNET</t>
  </si>
  <si>
    <t>TALLER DE VIDRIOS Y VENTANA MIRANDA</t>
  </si>
  <si>
    <t>MULTISERVICIOS VIDRALUM</t>
  </si>
  <si>
    <t>AGROGANADERA MARTINEZ  S A</t>
  </si>
  <si>
    <t>GANADERA CORRENTON, S.A</t>
  </si>
  <si>
    <t>AGROGANADERA BERARD S A</t>
  </si>
  <si>
    <t>DISTRIBUIDORA HNOS PIMENTEL</t>
  </si>
  <si>
    <t>DIGOS DISTRIBUIDOR S.A</t>
  </si>
  <si>
    <t>DISTRIBUIDORA RANCHO GRANDE</t>
  </si>
  <si>
    <t>DISTRIBUIDORA SANTAMARIA</t>
  </si>
  <si>
    <t>COMPAÑIA CHIRICANA DE DISTRIBUCION  S A</t>
  </si>
  <si>
    <t>DISTRIBUIDORA WM S.A.</t>
  </si>
  <si>
    <t>DAVID</t>
  </si>
  <si>
    <t xml:space="preserve">ABARROTERIA YESIBETH </t>
  </si>
  <si>
    <t>ABARROTERIA KISLEV</t>
  </si>
  <si>
    <t>ABARROTERIA GEMELAS</t>
  </si>
  <si>
    <t>ABARROTERIA EDIS</t>
  </si>
  <si>
    <t>ARTESANIAS YANNI</t>
  </si>
  <si>
    <t xml:space="preserve">PARRILLADA RESTAURANTE Y BILLAR CHICHOS </t>
  </si>
  <si>
    <t>FRUTTOPIA PANAMA</t>
  </si>
  <si>
    <t>CAFETERIA MAE LEWIS</t>
  </si>
  <si>
    <t xml:space="preserve">KIOSKO DEL TIO </t>
  </si>
  <si>
    <t>FONDA MINA</t>
  </si>
  <si>
    <t>FONDA NORIS</t>
  </si>
  <si>
    <t>HELADOS LA CASITA BLANCA</t>
  </si>
  <si>
    <t>BARBERIA JHOSNEYBER</t>
  </si>
  <si>
    <t>ABARROTERIA PRISCILA</t>
  </si>
  <si>
    <t>ABARROTERIA HERMANOS PATIÑO</t>
  </si>
  <si>
    <t>ABARROTERIA CARLA</t>
  </si>
  <si>
    <t>ABARROTERIA ORIBE</t>
  </si>
  <si>
    <t xml:space="preserve">ABARROTERIA RODRIGUEZ </t>
  </si>
  <si>
    <t>SERVICIOS DE MODISTERIA ELIZA G.</t>
  </si>
  <si>
    <t>RESTAURANTE MARALUZ</t>
  </si>
  <si>
    <t>REST. BAR Y PARRILLADA EL CRUCE</t>
  </si>
  <si>
    <t xml:space="preserve">ABARROTERIA Y CAFE DOÑA DAISY </t>
  </si>
  <si>
    <t>ABARROTERIA HERMANOS TREJOS</t>
  </si>
  <si>
    <t>CYBER MAX</t>
  </si>
  <si>
    <t>VENTAS DE LEGUMBRES Y FRUTAS F Y D</t>
  </si>
  <si>
    <t>SALON DE BELLEZA ESLY</t>
  </si>
  <si>
    <t>FONDA CASITA DE MARY</t>
  </si>
  <si>
    <t xml:space="preserve">FONDA POLLITO </t>
  </si>
  <si>
    <t>LAVANDERIA RAPILIN</t>
  </si>
  <si>
    <t>ABARROTERIA MORALES</t>
  </si>
  <si>
    <t>ABARROTERIA VANGE</t>
  </si>
  <si>
    <t>ABARROTERIA RICARDO TROESTCH</t>
  </si>
  <si>
    <t>ABARROTERIA MARILYZ</t>
  </si>
  <si>
    <t>ABARROTERIA DIEGO</t>
  </si>
  <si>
    <t>ABARROTERIA BAJO HONDO</t>
  </si>
  <si>
    <t>PARRILLADA ACUARIO</t>
  </si>
  <si>
    <t>FONDA TIPICA LA NEGRA MARGARITA</t>
  </si>
  <si>
    <t>CAFE KERSY</t>
  </si>
  <si>
    <t>KIOSKO NEBLINERA</t>
  </si>
  <si>
    <t>SALON DE CABALLEROS EL VALHALLA</t>
  </si>
  <si>
    <t>FONDA TÍA ESPERANZA</t>
  </si>
  <si>
    <t>FONDA ZULIETH</t>
  </si>
  <si>
    <t>BARBERIA GOKU</t>
  </si>
  <si>
    <t>ABARROTERIA ANTONIO</t>
  </si>
  <si>
    <t>ABARROTERIA GUAYABAL</t>
  </si>
  <si>
    <t>ABARROTERIA LOURDES MARIA</t>
  </si>
  <si>
    <t>ABARROTERIA PAOLA</t>
  </si>
  <si>
    <t xml:space="preserve">ABARROTERIA LA BENDICION </t>
  </si>
  <si>
    <t>SASTRERIA LA NEGRITA #2</t>
  </si>
  <si>
    <t xml:space="preserve">COMIDAS CRIOLLAS PURA CHULADA </t>
  </si>
  <si>
    <t>FUEGOS ARTIFICIALES DE PANAMA</t>
  </si>
  <si>
    <t>BOHEMIAN CAFE 2023</t>
  </si>
  <si>
    <t>KIOSKO CHRISTIAN</t>
  </si>
  <si>
    <t>FONDA DON GOYO</t>
  </si>
  <si>
    <t>FONDA TIA YEYA</t>
  </si>
  <si>
    <t>FLORISTERIA BOUTIQUE V&amp;C</t>
  </si>
  <si>
    <t>REFRESQUERIA EL PODER DE LAS FRUTAS</t>
  </si>
  <si>
    <t>ABARROTERIA FRIT. LOS ANGELES</t>
  </si>
  <si>
    <t>ABARROTERIA ELISA BM</t>
  </si>
  <si>
    <t>ABARROTERIA ERICKA</t>
  </si>
  <si>
    <t>ABARROTERIA EMMANUEL</t>
  </si>
  <si>
    <t>ABARROTERIA CASTILLO</t>
  </si>
  <si>
    <t>CARNICERIA DON ABRAHAM</t>
  </si>
  <si>
    <t>RESTAURANTE DARLENIS</t>
  </si>
  <si>
    <t>COMIDAS Y REFESCOS DALI</t>
  </si>
  <si>
    <t xml:space="preserve">CAFE Y HELADERIA DOÑA CALI </t>
  </si>
  <si>
    <t>KIOSKO KARINA</t>
  </si>
  <si>
    <t>FONDA CABALLERO</t>
  </si>
  <si>
    <t>FONDA NARYELIS</t>
  </si>
  <si>
    <t>AUTO LAVADO KM456</t>
  </si>
  <si>
    <t>BODEGA Y ABARROTERIA NOME</t>
  </si>
  <si>
    <t xml:space="preserve">ABARROTERIA MARY </t>
  </si>
  <si>
    <t>ABARROTERIA CRISTIN</t>
  </si>
  <si>
    <t>ABARROTERIA EL SOL SALE PARA TODOS</t>
  </si>
  <si>
    <t>ABARROTERIA KRISLYN</t>
  </si>
  <si>
    <t>ARTESANIAS FOLKLORICAS PANAMEÑAS</t>
  </si>
  <si>
    <t>REFRESQUERIA Y PANADERIA JOAQUIN 2</t>
  </si>
  <si>
    <t>CAFE LA TERRAZA</t>
  </si>
  <si>
    <t>LEGUMBRES LOS  MAMEYES</t>
  </si>
  <si>
    <t>LORENA SALON</t>
  </si>
  <si>
    <t>FONDA LAS DELICIAS DEL CHEF</t>
  </si>
  <si>
    <t>FONDA DOÑA VILLA</t>
  </si>
  <si>
    <t>SALA DE BELLEZA Y BARBERIA ONE FAMILY BY JULISSA</t>
  </si>
  <si>
    <t>ABARROTERIA CORONADO</t>
  </si>
  <si>
    <t>ABARROTERIA TITO HERMANOS</t>
  </si>
  <si>
    <t>ABARROTERIA LA LLAVE</t>
  </si>
  <si>
    <t>ABARROTERIA PRADERA VERDE</t>
  </si>
  <si>
    <t xml:space="preserve">ABARROTERIA JEHOVA JIREH </t>
  </si>
  <si>
    <t>ARTESANIAS CORY</t>
  </si>
  <si>
    <t>PARRILLADA Y RESTAURANTE LA CASA DE AL LADO</t>
  </si>
  <si>
    <t xml:space="preserve">ABARROTERIA LUIS </t>
  </si>
  <si>
    <t>EUREKA</t>
  </si>
  <si>
    <t>LEGUMBRES EL CRUCE</t>
  </si>
  <si>
    <t>MATTHEW SALON</t>
  </si>
  <si>
    <t xml:space="preserve">FONDA DELICIAS DE JANETH </t>
  </si>
  <si>
    <t xml:space="preserve">BARBERIA JR </t>
  </si>
  <si>
    <t xml:space="preserve">ABARROTERIA UNION </t>
  </si>
  <si>
    <t>ABARROTERIA YARY 26</t>
  </si>
  <si>
    <t xml:space="preserve">ABARROTERIA JUDITH </t>
  </si>
  <si>
    <t>ABARROTERIA YANIN</t>
  </si>
  <si>
    <t>ABARROTERIA VERGARA</t>
  </si>
  <si>
    <t>SASTRERIA DAVID</t>
  </si>
  <si>
    <t>FONDA LA TERRAZA CRIOLLA</t>
  </si>
  <si>
    <t>FINCA LA VIUDA</t>
  </si>
  <si>
    <t>SERVICIO DE CAFETERIA</t>
  </si>
  <si>
    <t>KIOSKO EL BUEN SABOR</t>
  </si>
  <si>
    <t>FONDA AROMAS Y DELEITES</t>
  </si>
  <si>
    <t>FONDA ROSSY</t>
  </si>
  <si>
    <t>FLORISTERIA MARI GABY'S</t>
  </si>
  <si>
    <t>REINA DE LAS FRUTAS CORP.</t>
  </si>
  <si>
    <t>ABARROTERIA NANY #2</t>
  </si>
  <si>
    <t>ABARROTERIA KEREN ALESSA</t>
  </si>
  <si>
    <t>ABARROTERIA NUEVA LUZ N 1</t>
  </si>
  <si>
    <t>ABARROTERIA JJ Y G</t>
  </si>
  <si>
    <t>ABARROTERIA LUDY</t>
  </si>
  <si>
    <t>SERVICIO DE COPIAS</t>
  </si>
  <si>
    <t>RESTAURANTE COUNTRY HILLS</t>
  </si>
  <si>
    <t>EL PANA JUANCHO RESTAURANT</t>
  </si>
  <si>
    <t>CAFE CERRO BRUJO</t>
  </si>
  <si>
    <t>JAE SALON NAILS</t>
  </si>
  <si>
    <t xml:space="preserve"> FONDA EL AJÍ CRIOLLO</t>
  </si>
  <si>
    <t>FONDA SABORES DE GUACA</t>
  </si>
  <si>
    <t>LAVANDERIA IBERIA</t>
  </si>
  <si>
    <t>ABARROTERIA ERIKA MILENA</t>
  </si>
  <si>
    <t>ABARROTERIA BEJERANO Y SANTO</t>
  </si>
  <si>
    <t>ABARROTERIA IRIS JUDITH</t>
  </si>
  <si>
    <t>ABARROTERIA O &amp; G</t>
  </si>
  <si>
    <t>ABARROTERIA HEISHELL</t>
  </si>
  <si>
    <t>ABARROTERIA YANE</t>
  </si>
  <si>
    <t>PRODUCTOS Y ASADOS KATY</t>
  </si>
  <si>
    <t>SALON Y BARBERIA FANY</t>
  </si>
  <si>
    <t>CAFECITO  DOÑA TERE</t>
  </si>
  <si>
    <t>VENTAS DE VERDURAS, FRUTAS Y LEGUMBRES</t>
  </si>
  <si>
    <t>PEOPLE SALON( ART NAIL &amp; LASCG STUDIO SHEKINAH</t>
  </si>
  <si>
    <t>FONDA DOÑA MARIA</t>
  </si>
  <si>
    <t>FONDA LOS DIABLICOS</t>
  </si>
  <si>
    <t>BARBERIA LA SELECTA HNOS MIRANDA</t>
  </si>
  <si>
    <t>ABARROTERIA JUANA</t>
  </si>
  <si>
    <t>ABARROTERIA SALDAÑA MARTINEZ</t>
  </si>
  <si>
    <t>ABARROTERIA EBEN-EZER</t>
  </si>
  <si>
    <t>ABARROTERIA HERMANOS ESPINOZA</t>
  </si>
  <si>
    <t>ABARROTERIA NOEMIP</t>
  </si>
  <si>
    <t>ARTESANIAS WHITE</t>
  </si>
  <si>
    <t>PARRILLADA EL CANGREJO</t>
  </si>
  <si>
    <t>KIOSKO MELANY</t>
  </si>
  <si>
    <t xml:space="preserve">CAFE UNIDO BOQUETE </t>
  </si>
  <si>
    <t>KIOSKO JOSE DANIEL</t>
  </si>
  <si>
    <t>LUNA S BEAUTY SALON</t>
  </si>
  <si>
    <t xml:space="preserve">FONDA LA PECHUGA </t>
  </si>
  <si>
    <t xml:space="preserve">FONDA Y BALNIARIO GAVILLA BEACH </t>
  </si>
  <si>
    <t>BARBERIA FAMILY</t>
  </si>
  <si>
    <t xml:space="preserve">ABARROTERIA FRAGANCIA DE GRATITUD </t>
  </si>
  <si>
    <t>ABARROTERIA WILLIAMS ( MINI SUPER WILLIAM)</t>
  </si>
  <si>
    <t>ABARROTERIA LIAN</t>
  </si>
  <si>
    <t>ABARROTERIAS KIPAY</t>
  </si>
  <si>
    <t>ABARROTERIA SUSAN</t>
  </si>
  <si>
    <t>SASTRERIA ADAMES</t>
  </si>
  <si>
    <t>ABARROTERIA G.M.M.</t>
  </si>
  <si>
    <t>KIOSCO NATALY SIMEIS</t>
  </si>
  <si>
    <t xml:space="preserve">CAFETERÍA ARTE, CAFÉ Y MÁS </t>
  </si>
  <si>
    <t>KIOSKO KATYUSCA</t>
  </si>
  <si>
    <t>MARCELA'S NAILS SALON</t>
  </si>
  <si>
    <t>FONDA LOS MELLOS</t>
  </si>
  <si>
    <t>FONDA LLUVIA DE ESTRELLAS Y LUNA</t>
  </si>
  <si>
    <t>BARBERIA WARRIOR</t>
  </si>
  <si>
    <t>ABARROTERIA IDCEL</t>
  </si>
  <si>
    <t>ABARROTERIA ALEJANDRA Y VIELKA 21</t>
  </si>
  <si>
    <t>ABARROTERIA ALEXA  C</t>
  </si>
  <si>
    <t>ABARROTERIA YEINI</t>
  </si>
  <si>
    <t xml:space="preserve">ABARROTERIA SAFIRA </t>
  </si>
  <si>
    <t>COPIAS Y SERVICIOS ENE</t>
  </si>
  <si>
    <t>FONDA YERAL</t>
  </si>
  <si>
    <t>MERCADITO SÚPER ESTRELLA DE ORO</t>
  </si>
  <si>
    <t>CAFETALES BARU S A</t>
  </si>
  <si>
    <t xml:space="preserve">KIOSKO MELLITA </t>
  </si>
  <si>
    <t>FONDA WALQUIRIA</t>
  </si>
  <si>
    <t>FONDA LA NIÑA</t>
  </si>
  <si>
    <t>FONDA TOLE</t>
  </si>
  <si>
    <t>MAS FLOW - BARBERIA</t>
  </si>
  <si>
    <t>ABARROTERIA ELOHIN YIRE</t>
  </si>
  <si>
    <t>ABARROTERIA GUERRA</t>
  </si>
  <si>
    <t>ABARROTERIA 4 A</t>
  </si>
  <si>
    <t xml:space="preserve">ABARROTERIA LOREICENITH </t>
  </si>
  <si>
    <t>ABARROTERIA ADALIZ</t>
  </si>
  <si>
    <t>SERVICIOS DE REFRIGERACION TORRES</t>
  </si>
  <si>
    <t>CLINICA DENTAL FRONTERA</t>
  </si>
  <si>
    <t>CLINICA BOQUETE</t>
  </si>
  <si>
    <t>CLINICA DENTAL GUERRERO S.A.</t>
  </si>
  <si>
    <t>CLINICA DAVID (CENTRO MEDICO BERNAL)</t>
  </si>
  <si>
    <t>CLINICA MEDICA LA FEDERAL</t>
  </si>
  <si>
    <t>CLINICA HOSPITAL Y HOTEL VETERINARIO DR MOISRS LEZCANO</t>
  </si>
  <si>
    <t>LABORATORIO CLINICA DE CHIRIQUI</t>
  </si>
  <si>
    <t>CLINICA DE ESPECIALIDADES ODONTOLOGICAS</t>
  </si>
  <si>
    <t xml:space="preserve">CLINICA DENTAL DR RICARDO ROJAS </t>
  </si>
  <si>
    <t>CLINICA PSICOLOGICA ELA PALACIOS</t>
  </si>
  <si>
    <t>CLINICA DENTAL</t>
  </si>
  <si>
    <t xml:space="preserve">MUÑOZ Y DE LEON ABOGADOS </t>
  </si>
  <si>
    <t>INSTITUTO LABORAL ADVENTISTA PANAMEÑO</t>
  </si>
  <si>
    <t>FIRMA FORENSE ABOGADOS SISSAG &amp; ASOCIADOS</t>
  </si>
  <si>
    <t>DIEZ ABOGADOS</t>
  </si>
  <si>
    <t>OBALDIA Y BEJARANO ( ABOGADOS)</t>
  </si>
  <si>
    <t>LABORATORIO ESPECIALIZADO EN PRUEBAS E INSPECCIONES DE SUELOS  ASFALTO Y CONCRETO  S A  (LEPISAC  S</t>
  </si>
  <si>
    <t>LABORATORIO DIESEL ARAUZ</t>
  </si>
  <si>
    <t>GISELE DEL CARMEN CABALLERO ABOGADA</t>
  </si>
  <si>
    <t>LA ESQUINITA DEL SABOR MATEÑO</t>
  </si>
  <si>
    <t>VENTAS MIS AMORES</t>
  </si>
  <si>
    <t>ALEXANIA, INVERSIONES Y VENTAS</t>
  </si>
  <si>
    <t>VENTAS AMARILI</t>
  </si>
  <si>
    <t>CREACIONES Y VENTAS ISABELLA</t>
  </si>
  <si>
    <t>INVERSIONES Y VENTAS  DON JULIAN</t>
  </si>
  <si>
    <t>VENTAS Y SERVICIOS DON FELIX</t>
  </si>
  <si>
    <t>TURI  VENTAS DAVID  S A</t>
  </si>
  <si>
    <t>VENTAS QK</t>
  </si>
  <si>
    <t>VENTAS LA FAMILIA</t>
  </si>
  <si>
    <t>VENTAS EBEN-EZER</t>
  </si>
  <si>
    <t>VENTAS Y VARIEDADES DAIRA</t>
  </si>
  <si>
    <t>SUPERMERCADO EL PALMAR</t>
  </si>
  <si>
    <t>SUPERMARKET</t>
  </si>
  <si>
    <t>SUPERMERCADO VOLCAN</t>
  </si>
  <si>
    <t>TALLER DE COSTURA Y TRANSPORTE DE CARGA CIANCA CHAVEZ</t>
  </si>
  <si>
    <t>TALLER S/N</t>
  </si>
  <si>
    <t>TALLER AVENDAÑO</t>
  </si>
  <si>
    <t xml:space="preserve">TALLER TODO MADERA </t>
  </si>
  <si>
    <t xml:space="preserve">TALLER DEL CID </t>
  </si>
  <si>
    <t>TALLER Y SERVICIOS PIPO</t>
  </si>
  <si>
    <t>TALLER DE SERVICENTRO RAFA</t>
  </si>
  <si>
    <t xml:space="preserve">TALLER DE BICICLETAS EL GORDO </t>
  </si>
  <si>
    <t>TALLER NESTOR</t>
  </si>
  <si>
    <t>TALLER  MECANICA EN GENERAL ARIEL</t>
  </si>
  <si>
    <t>COMPRAS YENILCE AUTOPARTES Y TALLER</t>
  </si>
  <si>
    <t>TALLER DE FRENO Y EMBRAGUES JONY</t>
  </si>
  <si>
    <t>TALLER EL EXCELENTE MM</t>
  </si>
  <si>
    <t>TALLER MINGO SILVERA</t>
  </si>
  <si>
    <t>TALLER MENDEZ</t>
  </si>
  <si>
    <t>TALLER JMR</t>
  </si>
  <si>
    <t>TALLER MIGUELITO</t>
  </si>
  <si>
    <t xml:space="preserve">TALLER Y SERVICIOS MIRANDA </t>
  </si>
  <si>
    <t>TALLER JORDAN</t>
  </si>
  <si>
    <t>TALLER AMED</t>
  </si>
  <si>
    <t>TALLER METAL MECANICA  ACUÑA Y ACUÑA</t>
  </si>
  <si>
    <t>TALLER POLO</t>
  </si>
  <si>
    <t>SIN NOMBRE ( ORTEGA TALLER MECÁNICO AUTOMOTRIZ)</t>
  </si>
  <si>
    <t>TALLER JOSE CONCEPCION</t>
  </si>
  <si>
    <t>TALLER DE EBANISTERIA WILBERTO DE GRACIA</t>
  </si>
  <si>
    <t>TALLER DE TAPICERIA VEGA</t>
  </si>
  <si>
    <t>TALLER Y TORNERIA ALEX, S.A.</t>
  </si>
  <si>
    <t>AUTO TALLER MELVIN VEGA</t>
  </si>
  <si>
    <t>TALLER MENDEZ Y MENDEZ CONTRATISTAS</t>
  </si>
  <si>
    <t>TALLER Y AUTOBAÑO AGUILA</t>
  </si>
  <si>
    <t>TALLER NUÑEZ</t>
  </si>
  <si>
    <t>TALLER ROBERTO ALMENGOR</t>
  </si>
  <si>
    <t>AGRO-VETERINARIA Y FERRETERIA HONEY</t>
  </si>
  <si>
    <t>VELVET BISTRO</t>
  </si>
  <si>
    <t>BUHITO</t>
  </si>
  <si>
    <t>EDITH INTERNET CAFE</t>
  </si>
  <si>
    <t>VIDRIOS Y VENTANAS GUERRA</t>
  </si>
  <si>
    <t xml:space="preserve">AGROGANADERA DIVAZUELA S.A </t>
  </si>
  <si>
    <t>AGROGANADERA RAMIREZ RAMIREZ  S A</t>
  </si>
  <si>
    <t>BATIPA GANADERA, S.A.</t>
  </si>
  <si>
    <t>GANADERA MORMAR</t>
  </si>
  <si>
    <t>DISTRIBUIDORA NADGY</t>
  </si>
  <si>
    <t>DISTRIBUIDORA DIPAR</t>
  </si>
  <si>
    <t>DISTRIBUDORA ZULAY</t>
  </si>
  <si>
    <t>DISTRIBUIDORA  EL ENCANTO</t>
  </si>
  <si>
    <t>DISTRIBUIDORA KAIROS</t>
  </si>
  <si>
    <t>DISTRIBUIDORA</t>
  </si>
  <si>
    <t>DISTRIBUIDORA Y FERRETERIA CHACAJO</t>
  </si>
  <si>
    <t>DISTRIBUIDORA NODABY</t>
  </si>
  <si>
    <t>DISTRIBUIDORA DE ALIMENTOS LA UNIÓN</t>
  </si>
  <si>
    <t>DISTRIBUIDORA EL BUEN GUSTO</t>
  </si>
  <si>
    <t>GUNA YALA</t>
  </si>
  <si>
    <t>PARRILLADA CHELOS PLACE</t>
  </si>
  <si>
    <t>ABARROTERIA DON MAURO</t>
  </si>
  <si>
    <t>GANADERAS CORRENTON, S.A</t>
  </si>
  <si>
    <t>LEGUMBRES Y FRUTAS GONZALEZ</t>
  </si>
  <si>
    <t>NATHALY SALON</t>
  </si>
  <si>
    <t>FONDA YAMI</t>
  </si>
  <si>
    <t>BARBERIA FIRST CLASS</t>
  </si>
  <si>
    <t>ABARROTERIA ALE</t>
  </si>
  <si>
    <t>ABARROTERIA YOSHUA</t>
  </si>
  <si>
    <t>ABARROTERIA EDDI</t>
  </si>
  <si>
    <t>ABARROTERIA MI ESCUELA</t>
  </si>
  <si>
    <t xml:space="preserve">ABARROTERIA VICTOR MANUEL </t>
  </si>
  <si>
    <t>MODISTERIA ELENA (SERIGRAFIA)</t>
  </si>
  <si>
    <t>RESTAURANTE VALLE DEL CUSCO</t>
  </si>
  <si>
    <t>ICE CREAM ZONE</t>
  </si>
  <si>
    <t>EL PARAISO PANADERIA Y CAFETERIA</t>
  </si>
  <si>
    <t xml:space="preserve">KIOSKO PINAR DEL RIO </t>
  </si>
  <si>
    <t>FONDA "MI BENDICION ALMA"</t>
  </si>
  <si>
    <t>FONDA DENIA VIGUI</t>
  </si>
  <si>
    <t xml:space="preserve">VENTAS DE PLANTAS Y MAS D&amp;D </t>
  </si>
  <si>
    <t>MINI SUPER FRUTAS Y VERDURAS DE GUALACA</t>
  </si>
  <si>
    <t xml:space="preserve">ABARROTERIA  FIEL&amp; VERDADERO </t>
  </si>
  <si>
    <t xml:space="preserve">ABARROTERIA HERMANOS QUIEL </t>
  </si>
  <si>
    <t>ABARROTERIA ESAUD</t>
  </si>
  <si>
    <t>ABARROTERIA THEMPELL</t>
  </si>
  <si>
    <t>ABARROTERIA M&amp;M(ABARROTERIA ANAMARI)</t>
  </si>
  <si>
    <t>REFRIGERACION DE LA REINA</t>
  </si>
  <si>
    <t>ABARROTERIA NOELIS</t>
  </si>
  <si>
    <t>CHAI CAFE</t>
  </si>
  <si>
    <t>VENTAS DE LEGUMBRES Y FRUTAS OLGA</t>
  </si>
  <si>
    <t>MARY STYLE SALON</t>
  </si>
  <si>
    <t>FONDA SEÑOR TESORO</t>
  </si>
  <si>
    <t>FONDA LOS MIRTOS</t>
  </si>
  <si>
    <t>LAVAMATICO CRYSTEL</t>
  </si>
  <si>
    <t>ABARROTERIA  ELA</t>
  </si>
  <si>
    <t>ABARROTERIA THONY</t>
  </si>
  <si>
    <t xml:space="preserve">ABARROTERIA DIAMANTINA </t>
  </si>
  <si>
    <t>ABARROTERIA CARMEN</t>
  </si>
  <si>
    <t>ABARROTERIA EL PORVENIR</t>
  </si>
  <si>
    <t>ABARROTERIA LUNA (ABARROTERIA LUNA LLENA)</t>
  </si>
  <si>
    <t>PARRILLADA TATY</t>
  </si>
  <si>
    <t>PASTELERIA Y PANADERIA ORTEGA</t>
  </si>
  <si>
    <t>CAFE JESIAH</t>
  </si>
  <si>
    <t>DISTRIBUDORA DE LEGUMBRES JUAN CARLOS GONZALEZ SERRACIN</t>
  </si>
  <si>
    <t>JOSHUA SALON</t>
  </si>
  <si>
    <t>FONDA ESTHER MARIA</t>
  </si>
  <si>
    <t>FONDA ROSE MARIE</t>
  </si>
  <si>
    <t>BARBERIA NEW PEOPLE</t>
  </si>
  <si>
    <t>ABARROTERIA Y VÍVERES MARISOL</t>
  </si>
  <si>
    <t>ABARROTERIA ROSAS</t>
  </si>
  <si>
    <t>ABARROTERIA SANTA FE</t>
  </si>
  <si>
    <t>ABARROTERIA ERAMI</t>
  </si>
  <si>
    <t xml:space="preserve">ABARROTERIA NAZARETH </t>
  </si>
  <si>
    <t>NOVEDADES Y ARTESANIAS YESLEY</t>
  </si>
  <si>
    <t>COMIDAS, REFRESCOS  Y DULCERIA  MARITZA</t>
  </si>
  <si>
    <t>FONDA ENELVA</t>
  </si>
  <si>
    <t>LUIS CAFE</t>
  </si>
  <si>
    <t xml:space="preserve">KIOSKO LA AMIGA </t>
  </si>
  <si>
    <t>SALON EJECUTIVO BLAYERLA</t>
  </si>
  <si>
    <t>FONDA DOÑA ANA</t>
  </si>
  <si>
    <t>FONDA NIKKYS</t>
  </si>
  <si>
    <t xml:space="preserve">BARBERIA TOTI </t>
  </si>
  <si>
    <t>ABARROTERIA LOS NIETOS</t>
  </si>
  <si>
    <t xml:space="preserve">ABARROTERIA ALEISA </t>
  </si>
  <si>
    <t>ABARROTERIA LA PRINCESA</t>
  </si>
  <si>
    <t>ABARROTERIA MAY</t>
  </si>
  <si>
    <t>ABARROTERIA CRISTIAN B.</t>
  </si>
  <si>
    <t>SASTRERIA DEMETRIO</t>
  </si>
  <si>
    <t xml:space="preserve">ABARROTERIA CHACON </t>
  </si>
  <si>
    <t>FONDA GISSEL</t>
  </si>
  <si>
    <t>EL CAFE DE HEAVEN</t>
  </si>
  <si>
    <t>KIOSKO ILI</t>
  </si>
  <si>
    <t>PAULA'S SALON</t>
  </si>
  <si>
    <t>FONDA KRISTEL J.G.</t>
  </si>
  <si>
    <t>HELADOS JTO</t>
  </si>
  <si>
    <t>FRUTERIA, VERDULERIA Y VENTAS ARIAM</t>
  </si>
  <si>
    <t>ABARROTERIA LOS 3 HERMANOS</t>
  </si>
  <si>
    <t>ABARROTERIA ALDANA</t>
  </si>
  <si>
    <t>ABARROTERIA Y MISCELANEOS LA PROSPERIDAD</t>
  </si>
  <si>
    <t>LA TIENDITA (ABARROTERIA ALEJANDRO)</t>
  </si>
  <si>
    <t>ABARROTERIA EDWIN</t>
  </si>
  <si>
    <t>REFRICENTRO JAKEEY</t>
  </si>
  <si>
    <t>FONDA LOPEZ</t>
  </si>
  <si>
    <t>MERCADITO OROCU</t>
  </si>
  <si>
    <t>SLABON CAFE BURGER BISTRO-CHIRIQUI</t>
  </si>
  <si>
    <t xml:space="preserve">KIOSKO EDENIS </t>
  </si>
  <si>
    <t>FONDA 47</t>
  </si>
  <si>
    <t>FONDA JEREMY</t>
  </si>
  <si>
    <t xml:space="preserve">HELADERIA Y DULCERIA ALINA </t>
  </si>
  <si>
    <t>GAIAFRUT</t>
  </si>
  <si>
    <t>ABARROTERIA ROSALIA</t>
  </si>
  <si>
    <t>ABARROTERIA HERMANOS J&amp;J</t>
  </si>
  <si>
    <t xml:space="preserve">ABARROTERIA DELIANYS </t>
  </si>
  <si>
    <t>ABARROTERIA SALDAÑA</t>
  </si>
  <si>
    <t>EL LLANO ABARROTERIA</t>
  </si>
  <si>
    <t>REFRICOING</t>
  </si>
  <si>
    <t>CLINICA MEDICA SANDRA</t>
  </si>
  <si>
    <t>CLINICA ESPECIALIZADA BOQUETE, S.A.</t>
  </si>
  <si>
    <t>CLINICA TORRES</t>
  </si>
  <si>
    <t>CLINICA MEDICA Y ODONTOLOGICA</t>
  </si>
  <si>
    <t>CLINICA HALPHEN (CLINICA M.HALPHEN)</t>
  </si>
  <si>
    <t>CLINICA SAN JOSE</t>
  </si>
  <si>
    <t>CLINICA DE ODONTOLOGIA</t>
  </si>
  <si>
    <t>CLINICA DE ORTOPEDIA</t>
  </si>
  <si>
    <t>CLINICA DENTAL BARRIA</t>
  </si>
  <si>
    <t xml:space="preserve">CLINICA ALBA SURI </t>
  </si>
  <si>
    <t>CLINICA VOLCAN</t>
  </si>
  <si>
    <t>LICENCIADO RUDY EDWIN ESPINOZA MONTENEGRO ABOGADO Y CONTADOR</t>
  </si>
  <si>
    <t>INSTITUTO LABORAL NUEVO HORIZONTE SOCIEDAD ANONIMA</t>
  </si>
  <si>
    <t>OFICINA ABOGADO BOLIVAR JOSE CANO CRUZ</t>
  </si>
  <si>
    <t>LABORATORIO J&amp;C DIAGNOSTIC</t>
  </si>
  <si>
    <t>CENTRO EDUCATIVO LABORAL</t>
  </si>
  <si>
    <t>SEL LAB LABORATORIO CLINICO</t>
  </si>
  <si>
    <t>LA ESQUINITA BOM SABOR</t>
  </si>
  <si>
    <t xml:space="preserve">LABORATORIO DIXON </t>
  </si>
  <si>
    <t>REFRESQUERIA MULTISABORES</t>
  </si>
  <si>
    <t>MULTIVENTAS EPQ</t>
  </si>
  <si>
    <t>AGRO VENTAS Y SERVICIOS SINAI</t>
  </si>
  <si>
    <t>VENTAS KIKO</t>
  </si>
  <si>
    <t>MULTISERVICIOS Y VENTAS MONTERO</t>
  </si>
  <si>
    <t>VENTAS VITELIO</t>
  </si>
  <si>
    <t>FABRICA DE BLOQUES Y VENTAS NEREIDA</t>
  </si>
  <si>
    <t>SERVICIOS Y VENTAS MOVAR, S.A.</t>
  </si>
  <si>
    <t>VENTAS &amp; SERVICIOS SAN MIGUEL</t>
  </si>
  <si>
    <t>VENTAS Y REPARACIONES DE EXTINTORES SAN JOSE</t>
  </si>
  <si>
    <t xml:space="preserve">VENTAS Y DISTRIBUIDORA GONZALE </t>
  </si>
  <si>
    <t xml:space="preserve">CALEL VENTAS Y SERVICIOS </t>
  </si>
  <si>
    <t>SUPERMERCADO CALVO</t>
  </si>
  <si>
    <t>SUPERMERCADO LEE</t>
  </si>
  <si>
    <t>TALLER DE REPARACION DE LLANTAS CESAR QUINTERO</t>
  </si>
  <si>
    <t>TALLER NELSON</t>
  </si>
  <si>
    <t>TALLER APARICIO</t>
  </si>
  <si>
    <t>SERVICIOS Y TALLER LA VICTORIA</t>
  </si>
  <si>
    <t>TALLER TAPIERO</t>
  </si>
  <si>
    <t>TALLER SIN NOMBRE ( RUBEN SAMUDIO)</t>
  </si>
  <si>
    <t>TALLER DE SOLDADURA Y HOJALATERIA DUQUE</t>
  </si>
  <si>
    <t>TALLER ESPINOSA</t>
  </si>
  <si>
    <t>TALLER DE EBANISTERÍA EL DISEÑO</t>
  </si>
  <si>
    <t>TECNI TALLER YASSER</t>
  </si>
  <si>
    <t>TALLER LA NASSA</t>
  </si>
  <si>
    <t>TALLER EL BOHIO</t>
  </si>
  <si>
    <t>TALLER VALDEZ</t>
  </si>
  <si>
    <t>TALLER 2001</t>
  </si>
  <si>
    <t>TALLER DE ELECTROMECANICA CASTILLO</t>
  </si>
  <si>
    <t>TALLER JORGE NIETO</t>
  </si>
  <si>
    <t>TALLER TRUJILLO</t>
  </si>
  <si>
    <t>TALLER DE JOYERIA Y VARIEDADES TIFANY</t>
  </si>
  <si>
    <t>TALLER  TAPIA</t>
  </si>
  <si>
    <t>TALLER ABIGAIL</t>
  </si>
  <si>
    <t>TALLER DE REPARACION MARQUINEZ</t>
  </si>
  <si>
    <t>TALLER ALEX O AUTO REPUESTO</t>
  </si>
  <si>
    <t>TALLER DANILO MOJICA</t>
  </si>
  <si>
    <t>TALLER Y SOLDADURA HERNANDEZ</t>
  </si>
  <si>
    <t>TALLER VICTOR</t>
  </si>
  <si>
    <t>TALLER EL BEBU</t>
  </si>
  <si>
    <t xml:space="preserve">TALLER CORDOBA </t>
  </si>
  <si>
    <t>TALLER RUBEN</t>
  </si>
  <si>
    <t>TALLER CAIMITO</t>
  </si>
  <si>
    <t xml:space="preserve">TALLER LESLIE </t>
  </si>
  <si>
    <t>TALLER EL LEON DE JUDA</t>
  </si>
  <si>
    <t>TALLER Y LLANTERIA DANIEL</t>
  </si>
  <si>
    <t xml:space="preserve">TALLER Y SERVICIO MOJICA </t>
  </si>
  <si>
    <t>AGROVETERINARIA DON MERCE</t>
  </si>
  <si>
    <t>HABITAT VETERINARY</t>
  </si>
  <si>
    <t>BUHONERIA EL MAESTRO</t>
  </si>
  <si>
    <t>VITMARY@INTERNET.</t>
  </si>
  <si>
    <t>VIDRIOS Y ESPEJOS ALAN</t>
  </si>
  <si>
    <t>GANADERA LA BARQUETA   S A</t>
  </si>
  <si>
    <t>GANADERA EL MILAGRO, S.A.</t>
  </si>
  <si>
    <t>AGROGANADERA TORO BRAVO</t>
  </si>
  <si>
    <t>DISTRIBUIDORA GUARITO STORE</t>
  </si>
  <si>
    <t>DISTRIBUIDORA CINTHYA</t>
  </si>
  <si>
    <t>DISTRIBUIDORA J/L</t>
  </si>
  <si>
    <t>DISTRIBUIDORA Y SERVICIOS 3K</t>
  </si>
  <si>
    <t>DISTRIBUIDORA STEPHY  S A</t>
  </si>
  <si>
    <t>MEGADISTRIBUIDORACAMPC</t>
  </si>
  <si>
    <t>DISTRIBUIDORA RIOS DE HIELO</t>
  </si>
  <si>
    <t>DISTRIBUIDORA JHM</t>
  </si>
  <si>
    <t>DISTRIAGUA</t>
  </si>
  <si>
    <t>DISTRIBUIDORA WILLY LA UNIÓN</t>
  </si>
  <si>
    <t>HERRERA</t>
  </si>
  <si>
    <t xml:space="preserve">ABARROTERIA LORENA </t>
  </si>
  <si>
    <t>REFRESQUERIA Y ARTESANIAS YAMI Y FAMILIA BARUENSE</t>
  </si>
  <si>
    <t>PARRILLADA LOS COMPADRES</t>
  </si>
  <si>
    <t>FONDA LORENSS</t>
  </si>
  <si>
    <t>QUICK LAUNDRY CAFE</t>
  </si>
  <si>
    <t>KIOSKO LA BENDCION</t>
  </si>
  <si>
    <t>NIXIA IVETH SALON</t>
  </si>
  <si>
    <t>FONDA AVILES</t>
  </si>
  <si>
    <t>FONDA AIRES DEL VOLCAN</t>
  </si>
  <si>
    <t>BARBERIA EL GATO MALO</t>
  </si>
  <si>
    <t>ABARROTERIA NILKA ANALIDA</t>
  </si>
  <si>
    <t>ABARROTERIA KATTY</t>
  </si>
  <si>
    <t xml:space="preserve">ABARROTERIA MILEIKA </t>
  </si>
  <si>
    <t>ABARROTERIA HNOS BARRIA</t>
  </si>
  <si>
    <t xml:space="preserve">ABARROTERIA BBB </t>
  </si>
  <si>
    <t>SASTRERIA JORGE</t>
  </si>
  <si>
    <t>MR. CHESS BURGER (FONDAS COMIDAS ESPECIALES &amp; ALGO MAS)</t>
  </si>
  <si>
    <t>MERCADITO DEL CARMEN</t>
  </si>
  <si>
    <t>CAFE VALDES</t>
  </si>
  <si>
    <t>KIOSKO NATHY</t>
  </si>
  <si>
    <t xml:space="preserve">FONDA EL RANCHO DEL PARQUE </t>
  </si>
  <si>
    <t>KIOSCO GONZALEZ (FONDA GONZALEZ)</t>
  </si>
  <si>
    <t xml:space="preserve">FLORISTERIA EVENTOS </t>
  </si>
  <si>
    <t>FRUTAS Y VERDURAS REYSHELL</t>
  </si>
  <si>
    <t>ABARROTERIA AINARA</t>
  </si>
  <si>
    <t xml:space="preserve">SOFI ABARROTERIA </t>
  </si>
  <si>
    <t>ABARROTERIA ASHLY</t>
  </si>
  <si>
    <t>ABARROTERIA CALEBSIN</t>
  </si>
  <si>
    <t>ABARROTERIA EL AIRE LIBRE</t>
  </si>
  <si>
    <t>ABARROTERIA JULISSA</t>
  </si>
  <si>
    <t>MAHANAIM FINCA DE DIOS  S A</t>
  </si>
  <si>
    <t>VENTA DE LEGUMBRES</t>
  </si>
  <si>
    <t>HAIR PLUS SALON</t>
  </si>
  <si>
    <t>FONDA LA SAZON CHIRICANA</t>
  </si>
  <si>
    <t>FONDA EL RINCON CRIOLLO</t>
  </si>
  <si>
    <t>LAVANDERIA 89 EXPRESS</t>
  </si>
  <si>
    <t>ABARROTERIA OMAIRA</t>
  </si>
  <si>
    <t xml:space="preserve">ABARROTERIA PASUR </t>
  </si>
  <si>
    <t>ABARROTERIA BENJAMIN GAEL</t>
  </si>
  <si>
    <t xml:space="preserve">ABARROTERIA MURILLO M </t>
  </si>
  <si>
    <t>ABARROTERIA LOURDES VEGA</t>
  </si>
  <si>
    <t>ABARROTERIA CALEB RUBIO</t>
  </si>
  <si>
    <t>RESTAURANTE EL RANCHO DEL ASADO</t>
  </si>
  <si>
    <t>DISTRIBUIDORA CAMILITA</t>
  </si>
  <si>
    <t>DISTRIBUIDORA AINETH</t>
  </si>
  <si>
    <t>DISTRIBUIDORA LOS LANCER</t>
  </si>
  <si>
    <t>DISTRIBUIDORA EXELENTE</t>
  </si>
  <si>
    <t>BARBERIA BLESS</t>
  </si>
  <si>
    <t xml:space="preserve">ABARROTERIA PAOLA </t>
  </si>
  <si>
    <t>ABARROTERIA YONNYBELL</t>
  </si>
  <si>
    <t xml:space="preserve">ABARROTERIA MIAH </t>
  </si>
  <si>
    <t>ABARROTERIA 50</t>
  </si>
  <si>
    <t>ABARROTERIA LA ESCONDIDA</t>
  </si>
  <si>
    <t>PARRILLADA ORIGENES</t>
  </si>
  <si>
    <t>FLORISTERIA Y NOVEDADES DENISSE</t>
  </si>
  <si>
    <t>AROMAS CAFE</t>
  </si>
  <si>
    <t>KIOSKO LA AMISTAD</t>
  </si>
  <si>
    <t>FONDA LA BUENA FE</t>
  </si>
  <si>
    <t>FONDA LA XIXI</t>
  </si>
  <si>
    <t>FONDA DIEGUIN</t>
  </si>
  <si>
    <t>BARBERIA AF ESTUDIO</t>
  </si>
  <si>
    <t>ABARROTERIA CAROLINA</t>
  </si>
  <si>
    <t>ABARROTERIA FIDE</t>
  </si>
  <si>
    <t>ABARROTERIA CAREMY</t>
  </si>
  <si>
    <t>ABARROTERIA ETHEL</t>
  </si>
  <si>
    <t xml:space="preserve">ABARROTERIA EVALWL </t>
  </si>
  <si>
    <t>SASTRERIA Y MODISTERIA YURI JARAMILLO SEWING</t>
  </si>
  <si>
    <t>RESTAURANTE HERMANOS BUSTOS</t>
  </si>
  <si>
    <t>LAS BRASAS PLACE</t>
  </si>
  <si>
    <t xml:space="preserve">EDI CAFE </t>
  </si>
  <si>
    <t>KIOSKO ABARROTERIA DOÑA GLADYS</t>
  </si>
  <si>
    <t>FONDA  IRKELIS</t>
  </si>
  <si>
    <t>FONDA SL.23</t>
  </si>
  <si>
    <t>FLORISTERIA Y NOVEDADES LA AMISTAD</t>
  </si>
  <si>
    <t>FRUTITAS SMOOTHIE BAR</t>
  </si>
  <si>
    <t xml:space="preserve">ABARROTERIA ELIZABETH </t>
  </si>
  <si>
    <t>ABARROTERIA ROBERTO CARLO</t>
  </si>
  <si>
    <t>ABARROTERIA NAZIR (AB. NASSIR)</t>
  </si>
  <si>
    <t xml:space="preserve">ABARROTERIA GLORIETH </t>
  </si>
  <si>
    <t>ABARROTERIA SANTAMARIA 2</t>
  </si>
  <si>
    <t>PELUQUERIA LA FAMILIA</t>
  </si>
  <si>
    <t>RESTAURANTE MELISSA'S PLACE</t>
  </si>
  <si>
    <t>CAFETO ARABICA 1</t>
  </si>
  <si>
    <t>EL CAFECITO DANIELA</t>
  </si>
  <si>
    <t xml:space="preserve">NORIS SALON </t>
  </si>
  <si>
    <t>FONDA JAIME ROUSE</t>
  </si>
  <si>
    <t xml:space="preserve">FONDA LIXA </t>
  </si>
  <si>
    <t>LAVANDERIA SAN JUDAS TADEO</t>
  </si>
  <si>
    <t xml:space="preserve">ABARROTERIA VISTA HERMOSA </t>
  </si>
  <si>
    <t>ABARROTERIA ZAURETH Y SAID</t>
  </si>
  <si>
    <t>ABARROTERIA MARTITA</t>
  </si>
  <si>
    <t>ABARROTERIA JULIAN</t>
  </si>
  <si>
    <t>ABARROTERIA MIRAFLORES</t>
  </si>
  <si>
    <t>SASTRERIA TITO</t>
  </si>
  <si>
    <t>SUPER CENTRO Y REFRESQUERIA LILY</t>
  </si>
  <si>
    <t>LA CASA DEL CAFE - PANAMA</t>
  </si>
  <si>
    <t xml:space="preserve">VENTAS DE LEGUMBRES GONZALEZ QUIROZ </t>
  </si>
  <si>
    <t>ALEXANDRA SALON</t>
  </si>
  <si>
    <t>FONDA LA CHINA</t>
  </si>
  <si>
    <t>FONDA M.C YEHOSHUA ISRAEL</t>
  </si>
  <si>
    <t>LA BARBERIA NEW ERA</t>
  </si>
  <si>
    <t>ABARROTERIA BETY 1</t>
  </si>
  <si>
    <t>ABARROTERIA MELANY</t>
  </si>
  <si>
    <t>ABARROTERIA LIS</t>
  </si>
  <si>
    <t>ABARROTERIA CHELY</t>
  </si>
  <si>
    <t>ABARROTERIA ALTO LA MINA</t>
  </si>
  <si>
    <t>ARTICULOS Y ARTESANIAS CHIRIQUI</t>
  </si>
  <si>
    <t>ABARROTERIA YOR</t>
  </si>
  <si>
    <t>PANADERIA AMALIA</t>
  </si>
  <si>
    <t>CIBERCAFE ZANEIDA</t>
  </si>
  <si>
    <t>TRONKITO DE FRUTAS Y LEGUMBRES</t>
  </si>
  <si>
    <t>ANITA SALON</t>
  </si>
  <si>
    <t>FONDA EBENEZER</t>
  </si>
  <si>
    <t>FONDA EL SHADAI</t>
  </si>
  <si>
    <t>BARBERIA CORTE Y ESTILO</t>
  </si>
  <si>
    <t>ABARROTERIA LA CONFIANZA</t>
  </si>
  <si>
    <t xml:space="preserve">ABARROTERIA NEYELIS </t>
  </si>
  <si>
    <t xml:space="preserve">ABARROTERIA DALYS MOISÉS </t>
  </si>
  <si>
    <t>ABARROTERIA LA BENDECIDA</t>
  </si>
  <si>
    <t>ABARROTERIA TIA MARIA</t>
  </si>
  <si>
    <t>ARTESANIAS SHARLIN</t>
  </si>
  <si>
    <t>PARRILLADA POTOTOS</t>
  </si>
  <si>
    <t>FILTROS Y PARTES, S.A.</t>
  </si>
  <si>
    <t>LAS TOTUMAS CAFE</t>
  </si>
  <si>
    <t xml:space="preserve">KIOSKO DE COMIDA </t>
  </si>
  <si>
    <t>FONDA MELI</t>
  </si>
  <si>
    <t>FONDA ROXA</t>
  </si>
  <si>
    <t>FLORISTERIA MIL DETALLES</t>
  </si>
  <si>
    <t xml:space="preserve">FRUTAS Y VEGETALES FRESCOS GACE </t>
  </si>
  <si>
    <t>ABARROTERIA SANTAMARIA</t>
  </si>
  <si>
    <t>ABARROTERIA LA MISION</t>
  </si>
  <si>
    <t>ABARROTERIA LA PITA</t>
  </si>
  <si>
    <t>ABARROTERIA DIOS PROVEERA</t>
  </si>
  <si>
    <t xml:space="preserve">ABARROTERIA WILSI </t>
  </si>
  <si>
    <t>DELISBETH COMMODITY</t>
  </si>
  <si>
    <t>RESTAURANTE DONG FANG DAVID</t>
  </si>
  <si>
    <t>JUNGLA DE PANAMA</t>
  </si>
  <si>
    <t>BENEFICIOS DE CAFE DE BOQUETE S A</t>
  </si>
  <si>
    <t>KIOSKO IBP</t>
  </si>
  <si>
    <t>FONDA IRMA LORENA</t>
  </si>
  <si>
    <t>FONDA YAHVEH</t>
  </si>
  <si>
    <t>LAVANDERIA LORAINE</t>
  </si>
  <si>
    <t>ABARROTERIA HERMANOS CEDEÑO BATISTA</t>
  </si>
  <si>
    <t>ABARROTERIA PLAZITA LOS ANGELES</t>
  </si>
  <si>
    <t xml:space="preserve">ABARROTERIA ALETZA </t>
  </si>
  <si>
    <t>ABARROTERIA HERMANOS RODRIGUEZ</t>
  </si>
  <si>
    <t>ABARROTERIA MIS TESOROS #1</t>
  </si>
  <si>
    <t>ABARROTERIA HERMANOS FRANCESCHI</t>
  </si>
  <si>
    <t xml:space="preserve">COPIAS ETHELL </t>
  </si>
  <si>
    <t>ABARROTERIA EUFEMIA MELENDEZ</t>
  </si>
  <si>
    <t>MEATS PRIME</t>
  </si>
  <si>
    <t>LEGUMBRES MEMO</t>
  </si>
  <si>
    <t>AYCHELS NAILS BEAUTY SALON</t>
  </si>
  <si>
    <t>FONDA ANAIKA</t>
  </si>
  <si>
    <t>FONDA LA ESQUINA DEL SAZON</t>
  </si>
  <si>
    <t>LAVA AUTOS MIGUEL</t>
  </si>
  <si>
    <t>ABARROTERIA CHILO</t>
  </si>
  <si>
    <t>ABARROTERIA DALYS</t>
  </si>
  <si>
    <t>ABARROTERIA LA AMISTAD M.S.</t>
  </si>
  <si>
    <t>ABARROTERIA CAROL</t>
  </si>
  <si>
    <t>ABARROTERIA OWEN</t>
  </si>
  <si>
    <t xml:space="preserve">NOVEDADES Y SASTRERIA TAPIA </t>
  </si>
  <si>
    <t>FONDA EL MARAÑON</t>
  </si>
  <si>
    <t>FRESAS CAFE</t>
  </si>
  <si>
    <t>KIOSKO SUSPIROS COFFE AND CREAMS</t>
  </si>
  <si>
    <t>PUPIRO SALON</t>
  </si>
  <si>
    <t xml:space="preserve">FONDA D'LICIAS Y MUCHO MAS </t>
  </si>
  <si>
    <t>FONDA YARA</t>
  </si>
  <si>
    <t>BARBERIA STYLE UNISEX</t>
  </si>
  <si>
    <t>ABARROTERIA DHLEACI</t>
  </si>
  <si>
    <t>ABARROTERIA EL BUEN TRATO</t>
  </si>
  <si>
    <t xml:space="preserve">ABARROTERIA HERMANOS ARAUZ </t>
  </si>
  <si>
    <t>ABARROTERIA KARIBELYS</t>
  </si>
  <si>
    <t>ABARROTERIA SULAY</t>
  </si>
  <si>
    <t>SASTRERIA EZEQUIEL</t>
  </si>
  <si>
    <t>ABARROTERIA ROSA CAMARGO</t>
  </si>
  <si>
    <t>HALLANYS SALON &amp; BARBERIA</t>
  </si>
  <si>
    <t>EL MUNDO DE LAS FRESAS</t>
  </si>
  <si>
    <t>LEGUMBRES Y PRODUCTOS ASHLEY</t>
  </si>
  <si>
    <t>ANGEL SALON</t>
  </si>
  <si>
    <t>FONDA MI TRADICION</t>
  </si>
  <si>
    <t>BARBERIA PAPÁ LOCO</t>
  </si>
  <si>
    <t xml:space="preserve">ABARROTERIA ADILYS </t>
  </si>
  <si>
    <t>ABARROTERIA CABALLERO</t>
  </si>
  <si>
    <t>ABARROTERIA AMELIE</t>
  </si>
  <si>
    <t>ABARROTERIA MIMI</t>
  </si>
  <si>
    <t>ABARROTERIA TEJANI</t>
  </si>
  <si>
    <t>CARNICERIA CORTEZ</t>
  </si>
  <si>
    <t>RESTAURANTE DON CHICHARRON</t>
  </si>
  <si>
    <t>CREACIONES FOLKLORICAS DESIRE</t>
  </si>
  <si>
    <t xml:space="preserve">CAFE VISTA HERMOSA </t>
  </si>
  <si>
    <t>SALON DE BELLEZA LILY</t>
  </si>
  <si>
    <t>FONDA NICOLE</t>
  </si>
  <si>
    <t>FONDA LUZ CLARITA</t>
  </si>
  <si>
    <t>LAVAMATICO DANY</t>
  </si>
  <si>
    <t>ABARROTERIA EL AHORRO</t>
  </si>
  <si>
    <t>ABARROTERIA LOS TRES NIETOS</t>
  </si>
  <si>
    <t xml:space="preserve">ABARROTERIA ABDIEL A </t>
  </si>
  <si>
    <t>ABARROTERIA MALICK</t>
  </si>
  <si>
    <t xml:space="preserve">ABARROTERIA EL NARANJAL </t>
  </si>
  <si>
    <t>ABARROTERIA JUNIOR</t>
  </si>
  <si>
    <t>SERVICIOS DE REFRIGERACION JOSE GARCIA</t>
  </si>
  <si>
    <t>ABARROTERIA ANTONIO CASTILLO</t>
  </si>
  <si>
    <t>DONDE EL CHIRI</t>
  </si>
  <si>
    <t>LEGUMBRES Y GRANOS DE CHIRIQUI</t>
  </si>
  <si>
    <t>ANGELIK SALON</t>
  </si>
  <si>
    <t>FONDA JAH</t>
  </si>
  <si>
    <t>FONDA TIPICA DONDE MILY</t>
  </si>
  <si>
    <t>LAVANDERIA JEREMY AMETH</t>
  </si>
  <si>
    <t>ABARROTERIA HERMANAS RODRIGUEZ</t>
  </si>
  <si>
    <t>ABARROTERIA MARQUINEZ</t>
  </si>
  <si>
    <t>ABARROTERIA SHALOM</t>
  </si>
  <si>
    <t>ABARROTERIA LILY A</t>
  </si>
  <si>
    <t xml:space="preserve">ABARROTERIA LA AURORA </t>
  </si>
  <si>
    <t>ARTESANIAS YEINI</t>
  </si>
  <si>
    <t>PARRILLADA DON LUIS</t>
  </si>
  <si>
    <t>KIOSKO PICOSO</t>
  </si>
  <si>
    <t>CAFE ARAUZ</t>
  </si>
  <si>
    <t>KIOSKO MILKY BURGUER BOQUETE</t>
  </si>
  <si>
    <t>SALON DE BELLEZA FATIMA</t>
  </si>
  <si>
    <t>FONDA EL MARQUEZ</t>
  </si>
  <si>
    <t>FONDA  ANTONY</t>
  </si>
  <si>
    <t xml:space="preserve">BARBERIA GHETTO </t>
  </si>
  <si>
    <t>ABARROTERIA DARYLEO</t>
  </si>
  <si>
    <t xml:space="preserve">ABARROTERIA LA TIENDA </t>
  </si>
  <si>
    <t>ABARROTERIA ROSY</t>
  </si>
  <si>
    <t>ABARROTERIA SUGEYS</t>
  </si>
  <si>
    <t>ABARROTERIA YOBY</t>
  </si>
  <si>
    <t>SASTRERIA "J. PALACIOS"</t>
  </si>
  <si>
    <t>FLORISTERIA VANESSA</t>
  </si>
  <si>
    <t>MERCADITO LI</t>
  </si>
  <si>
    <t>TORREFACTORA CAFE BALBOA</t>
  </si>
  <si>
    <t xml:space="preserve">KIOSKO ISABEL </t>
  </si>
  <si>
    <t>FONDA NANCY</t>
  </si>
  <si>
    <t>FONDA ROMA</t>
  </si>
  <si>
    <t>FONDA NATHALY1</t>
  </si>
  <si>
    <t>BARBERIA 59</t>
  </si>
  <si>
    <t>ABARROTERIA DANNA</t>
  </si>
  <si>
    <t>ABARROTERIA DOÑA FINGO</t>
  </si>
  <si>
    <t>ABARROTERIA EL AHORRO DEL PUEBLO</t>
  </si>
  <si>
    <t>ABARROTERIA SEÑOR ISAAC PITTI</t>
  </si>
  <si>
    <t>ABARROTERIA JEILIS</t>
  </si>
  <si>
    <t>CARNICERIA ROBERTO</t>
  </si>
  <si>
    <t xml:space="preserve">ABARROTERIA DON ISAAC </t>
  </si>
  <si>
    <t>MERCADO LA VICTORIA</t>
  </si>
  <si>
    <t>CAFETALES S A</t>
  </si>
  <si>
    <t>KIOSKO MAMYTA</t>
  </si>
  <si>
    <t>FONDA MORALES</t>
  </si>
  <si>
    <t>FONDA ALEIRIS</t>
  </si>
  <si>
    <t>FLORISTERIA ILUSION</t>
  </si>
  <si>
    <t>SE. FRUTAS FRESCAS</t>
  </si>
  <si>
    <t>ABARROTERIA YAHWEH</t>
  </si>
  <si>
    <t>ABARROTERIA CARLITOS(KCO JHON)</t>
  </si>
  <si>
    <t>ABARROTERIA ISABEL</t>
  </si>
  <si>
    <t>ABARROTERIA AMETH</t>
  </si>
  <si>
    <t xml:space="preserve">ABARROTERIA LA NUEVA JERUSALEM </t>
  </si>
  <si>
    <t>REFRIGERACION TECNICENTRO</t>
  </si>
  <si>
    <t>FONDA ITZEL LA NEGRITA</t>
  </si>
  <si>
    <t>LOGO MARCA N.E.</t>
  </si>
  <si>
    <t xml:space="preserve">CAFETERIA JABEK </t>
  </si>
  <si>
    <t>KIOSKO LA ENRAMADA</t>
  </si>
  <si>
    <t>FONDA STEFANY</t>
  </si>
  <si>
    <t xml:space="preserve">FONDA SHEKINA </t>
  </si>
  <si>
    <t>FLORISTERIA LINDA</t>
  </si>
  <si>
    <t>FRUTAS DEL ATLANTICOS S.A.</t>
  </si>
  <si>
    <t>ABARROTERIA FRANCO</t>
  </si>
  <si>
    <t>ABARROTERIA VENTAS ROBERTO</t>
  </si>
  <si>
    <t xml:space="preserve">ABARROTERIA DARWIN </t>
  </si>
  <si>
    <t>ABARROTERIA TREBOL</t>
  </si>
  <si>
    <t xml:space="preserve">ABARROTERIA EMMANUEL </t>
  </si>
  <si>
    <t>ASADOS EL BOSQUE</t>
  </si>
  <si>
    <t>CLINICA DENTAL PARA TODOS (CLINICA DENTAL PARA TODOS (NIÑOS, JOVENES Y ADULTOS)</t>
  </si>
  <si>
    <t>CLINICA DENTAL BOQUETE</t>
  </si>
  <si>
    <t>CLINICA PEDIATRICA JAEN( CONSULTORIO PEDIATRICA JAEN)</t>
  </si>
  <si>
    <t>CLINICA DR. CARLOS GUERRERO</t>
  </si>
  <si>
    <t>CLINICA PIEL SANA CONSULTORIO 2 Y 3</t>
  </si>
  <si>
    <t>CLINICA ESPECIALIZADA DENTAL</t>
  </si>
  <si>
    <t>CLINICA Y LABORATORIO LIC. MONICA RIOS</t>
  </si>
  <si>
    <t>TU SONRISA CLINICA DENTALES</t>
  </si>
  <si>
    <t xml:space="preserve">LABORATORIO Y CLINICA BIO M </t>
  </si>
  <si>
    <t>CLINICA LA BENDICION</t>
  </si>
  <si>
    <t>CLINICA PERLA RUBY</t>
  </si>
  <si>
    <t>LABORATORIO CLINICO SAN JAVIER</t>
  </si>
  <si>
    <t>LABORATORIO CLINICO LAMSER</t>
  </si>
  <si>
    <t>BRAULIO GONZALEZ ABOGADO</t>
  </si>
  <si>
    <t>EYLEN QUINTERO (ABOGADOS)</t>
  </si>
  <si>
    <t>LABORATORIO DIESEL PITTY</t>
  </si>
  <si>
    <t>ACA ABOGADOS Y CONTADORES ASOCIADOS</t>
  </si>
  <si>
    <t>ABOGADO CARLOS ANTONIO GUTIERREZ HERNANDEZ</t>
  </si>
  <si>
    <t>LA ESENCIA DEL SABOR</t>
  </si>
  <si>
    <t>SABORES Y DELICIAS ALEIDA</t>
  </si>
  <si>
    <t>VENTAS CORTEZ #1</t>
  </si>
  <si>
    <t>VENTAS Y ACCESORIOS C.J</t>
  </si>
  <si>
    <t>VENTAS Y PRODUCTOS CASTILLO</t>
  </si>
  <si>
    <t>VENTAS EDWIN</t>
  </si>
  <si>
    <t>VENTAS LA FE</t>
  </si>
  <si>
    <t>VENTAS Y ACCESORIOS SEIR  S A</t>
  </si>
  <si>
    <t xml:space="preserve">VENTAS G Y G </t>
  </si>
  <si>
    <t>MULTIVENTAS CASTILLO</t>
  </si>
  <si>
    <t xml:space="preserve">VENTAS MONTENEGRO BATISTA </t>
  </si>
  <si>
    <t>VENTAS Y PROMOCIONES RIO SERENO</t>
  </si>
  <si>
    <t>COMPRAS Y VENTAS M.V.V.E S.A.</t>
  </si>
  <si>
    <t>SUPERMERCADO MANDARIN</t>
  </si>
  <si>
    <t>SUPERMERCADO 1.2.3</t>
  </si>
  <si>
    <t>TALLER DE MECÁNICA Y SOLDADORA ISAAC</t>
  </si>
  <si>
    <t>TALLER DE MANGUERAS JOSE</t>
  </si>
  <si>
    <t>TALLER ALEXANDER AVILES</t>
  </si>
  <si>
    <t>TALLER URREA</t>
  </si>
  <si>
    <t xml:space="preserve">TALLER E M S </t>
  </si>
  <si>
    <t>TALLER DE EBANISTERIA RODRIQUEZ</t>
  </si>
  <si>
    <t>TALLER CHAVEZ</t>
  </si>
  <si>
    <t xml:space="preserve">TALLER MECANICA JIREH </t>
  </si>
  <si>
    <t>TALLER DE MECANICA Y CHAPISTERIA TOÑIN</t>
  </si>
  <si>
    <t>TALLER EL MIJO</t>
  </si>
  <si>
    <t>TALLER MULTISERVICIO ALVARADO</t>
  </si>
  <si>
    <t>TALLER TONY</t>
  </si>
  <si>
    <t>TALLER DAVID</t>
  </si>
  <si>
    <t>TALLER EL CARMEN</t>
  </si>
  <si>
    <t>TALLER DE EBANISTERIA FREDDY</t>
  </si>
  <si>
    <t>TALLER BUEN PRECIO</t>
  </si>
  <si>
    <t>TALLER SERRACIN</t>
  </si>
  <si>
    <t>TALLER Y SERVICIOS WILLIAM</t>
  </si>
  <si>
    <t xml:space="preserve"> MECANICA Y ELECTRONICA BASICA(TALLER AROSEMENA </t>
  </si>
  <si>
    <t>TALLER RICHY RACING</t>
  </si>
  <si>
    <t>TALLER DE EBANISTERIA RODRIGUEZ</t>
  </si>
  <si>
    <t>TALLER Y ACCESORIO LEZCANO</t>
  </si>
  <si>
    <t>TALLER JFRANCESCHI</t>
  </si>
  <si>
    <t>TALLER DE EBANISTERIA TAPIA</t>
  </si>
  <si>
    <t>TALLER OLAM</t>
  </si>
  <si>
    <t>TALLER VILLA DEL MAR</t>
  </si>
  <si>
    <t>TALLER DE TRANSMISIONES AUTOMATICAS FUENTES</t>
  </si>
  <si>
    <t>TALLER DE MECÁNICA Y SERVICIO DE GRÚA</t>
  </si>
  <si>
    <t>TALLER DE RECTIFICACION DE MOTORES EL VAQUERO</t>
  </si>
  <si>
    <t>TALLER JHURIEL</t>
  </si>
  <si>
    <t>TALLER JAVIER</t>
  </si>
  <si>
    <t>TALLER HILS</t>
  </si>
  <si>
    <t>TALLER GUERRA</t>
  </si>
  <si>
    <t xml:space="preserve">VETZUAM COMPANY </t>
  </si>
  <si>
    <t>CLINIVET</t>
  </si>
  <si>
    <t>BUHONERIA RIO DE BENDICION</t>
  </si>
  <si>
    <t>PLANETA INTERNET</t>
  </si>
  <si>
    <t>VENTA Y VIDRIERA HIDESI</t>
  </si>
  <si>
    <t>GANADERA PALDIVA, SOCIEDAD ANONIMA</t>
  </si>
  <si>
    <t>AGROGANADERA SANTA MARIA  SITTON  S A</t>
  </si>
  <si>
    <t>GANADERA LA PROSPERIDAD</t>
  </si>
  <si>
    <t>VENTAS Y DISTRIBUCIÓN BARU</t>
  </si>
  <si>
    <t>DISTRIBUIDORA VICTOR</t>
  </si>
  <si>
    <t>MOLINO Y DISTRIBUIDORA YINA</t>
  </si>
  <si>
    <t>DISTRIBUDORA DELGADO</t>
  </si>
  <si>
    <t>DISTRIBUIDORA MEGA SOL</t>
  </si>
  <si>
    <t>DISTRIBUIDORA OFFICE CENTER PLUS</t>
  </si>
  <si>
    <t xml:space="preserve">DISTRIBUIDORA D&amp;M S.A </t>
  </si>
  <si>
    <t>DISTRIBUIDORA EDITH</t>
  </si>
  <si>
    <t>DISTRIBUIDORA DON DAN</t>
  </si>
  <si>
    <t>DISTRIBUIDORA WILLY LA UNION</t>
  </si>
  <si>
    <t>LEGUMBRES, GRANOS Y MAS D.D.G</t>
  </si>
  <si>
    <t>SALON BEAUTIFUL BLV</t>
  </si>
  <si>
    <t>FONDA LA PASADITA</t>
  </si>
  <si>
    <t>CAFE DOÑA ELVIRA</t>
  </si>
  <si>
    <t>KIOSKO FANNY</t>
  </si>
  <si>
    <t>SALON DE BELLEZA Y BARBERIA LOS SOCIOS</t>
  </si>
  <si>
    <t xml:space="preserve">FONDA ALYSS </t>
  </si>
  <si>
    <t>FONDA DOÑA DALYS</t>
  </si>
  <si>
    <t>BARBERIA  EL TURBANTE</t>
  </si>
  <si>
    <t xml:space="preserve">ABARROTERIA KENIA DALIS </t>
  </si>
  <si>
    <t>ABARROTERIA KAREN 09</t>
  </si>
  <si>
    <t xml:space="preserve">ABARROTERIA Y CURIOSIDAD JOSE </t>
  </si>
  <si>
    <t>ABARROTERIA AGUA LUNA</t>
  </si>
  <si>
    <t xml:space="preserve">ABARROTERIA LAS 3 Y </t>
  </si>
  <si>
    <t>SASTRE PINEDA</t>
  </si>
  <si>
    <t>NUEVA CHINA RESTAURANTE</t>
  </si>
  <si>
    <t>ITAL AGRO</t>
  </si>
  <si>
    <t>CAFETALERA RIO COCHEA, S. A.</t>
  </si>
  <si>
    <t xml:space="preserve">KIOSKO MELISSA </t>
  </si>
  <si>
    <t xml:space="preserve">FONDA INES </t>
  </si>
  <si>
    <t xml:space="preserve">FONDA MAS DELICIAS </t>
  </si>
  <si>
    <t>LAVANDERIA OASIS Y MAS</t>
  </si>
  <si>
    <t>ABARROTERIA R&amp;R</t>
  </si>
  <si>
    <t>ABARROTERIA Y REFRESQUERIA ISIS NICOL</t>
  </si>
  <si>
    <t>ABARROTERIA ROMADAWI</t>
  </si>
  <si>
    <t>ABARROTERIA CRISTY</t>
  </si>
  <si>
    <t xml:space="preserve">ABARROTERIA MARTINEZ </t>
  </si>
  <si>
    <t>BAR EL SUBMARINO(ABARROTERIA Y JARDIN TROPICAL SUBMARINO)</t>
  </si>
  <si>
    <t>PELUQUERIA MITZI</t>
  </si>
  <si>
    <t>ABARROTERIA EL SASTRE</t>
  </si>
  <si>
    <t>KE VAKAS</t>
  </si>
  <si>
    <t xml:space="preserve">FRUTAS Y LEGUMBRES ABETH </t>
  </si>
  <si>
    <t>DARLING SALON</t>
  </si>
  <si>
    <t>FONDA LA LINEA DEL SABOR</t>
  </si>
  <si>
    <t>FONDA L &amp; C</t>
  </si>
  <si>
    <t>LAVAMATICO RISACUA</t>
  </si>
  <si>
    <t>ABARROTERIA YADI</t>
  </si>
  <si>
    <t xml:space="preserve">ABARROTERIA RIOS </t>
  </si>
  <si>
    <t>ABARROTERIA DOÑA EMILIA</t>
  </si>
  <si>
    <t>ABARROTERIA LEICA</t>
  </si>
  <si>
    <t>ABARROTERIA LEO</t>
  </si>
  <si>
    <t>ABARROTERIA CERRO VIEJO</t>
  </si>
  <si>
    <t>REFRIGERACION COOL SOLUTION</t>
  </si>
  <si>
    <t>SALON DE BELLEZA CRISS</t>
  </si>
  <si>
    <t xml:space="preserve">DEGUSTACIONES CASERAS EMELINDA </t>
  </si>
  <si>
    <t>LEGUMBRES,GRANOS Y FRUTAS CANAAN</t>
  </si>
  <si>
    <t>REBELLE SALON</t>
  </si>
  <si>
    <t>FONDA TIPICA SAN ANDRES EL BUEN SSASSON</t>
  </si>
  <si>
    <t>FONDA / LILY</t>
  </si>
  <si>
    <t>ONE LOVE BARBERIA</t>
  </si>
  <si>
    <t xml:space="preserve">ABARROTERIA PALACIO </t>
  </si>
  <si>
    <t>ABARROTERIA JOCIAS</t>
  </si>
  <si>
    <t>ABARROTERIA ISIRIS</t>
  </si>
  <si>
    <t>ABARROTERIA YARY'S</t>
  </si>
  <si>
    <t>ABARROTERIA LA HUACA ( LA HUACA)</t>
  </si>
  <si>
    <t>CARNICERIA MONCHO Y ANAYANSI</t>
  </si>
  <si>
    <t>MERCADITO ANITA</t>
  </si>
  <si>
    <t>GRUPO CAFELCO S.A.</t>
  </si>
  <si>
    <t>KIOSKO COCA COLA</t>
  </si>
  <si>
    <t>FONDA EL SHADDAI</t>
  </si>
  <si>
    <t>RESTAURANTE DOÑA ANA (FONDA TIPICA CHIRICANA)</t>
  </si>
  <si>
    <t>HELADERIA SAORIS ICE CREAM COMPANY</t>
  </si>
  <si>
    <t>BARBERIA KALETH</t>
  </si>
  <si>
    <t>ABARROTERIA MI BUEN PASTOR</t>
  </si>
  <si>
    <t>ABARROTERIA EL NAZARENO</t>
  </si>
  <si>
    <t>ABARROTERIA</t>
  </si>
  <si>
    <t>ABARROTERIA STORE R &amp; S (AB. STORE R&amp;S)</t>
  </si>
  <si>
    <t>ABARROTERIA SILIMIN</t>
  </si>
  <si>
    <t>MODISTERIA YAYI</t>
  </si>
  <si>
    <t>CRC REFRIPARTES</t>
  </si>
  <si>
    <t xml:space="preserve">KIOSKO MIS DELICIAS </t>
  </si>
  <si>
    <t>FONDA Y CAFE BEBY</t>
  </si>
  <si>
    <t>COMERCIALIZADORA Y LEGUMBRES DAYRA</t>
  </si>
  <si>
    <t>AUTHENTIC SALON</t>
  </si>
  <si>
    <t>FONDA ELCIS</t>
  </si>
  <si>
    <t>BARBERIA FAMILY CREW</t>
  </si>
  <si>
    <t>ABARROTERIA 2 HERMANAS</t>
  </si>
  <si>
    <t>ABARROTERIA PARADISE</t>
  </si>
  <si>
    <t xml:space="preserve">ABARROTERIA DOÑA SOFI </t>
  </si>
  <si>
    <t xml:space="preserve">ABARROTERIA LOS BROTHERS </t>
  </si>
  <si>
    <t xml:space="preserve">ABARROTERIA VIDA NUEVA </t>
  </si>
  <si>
    <t>COPIAS DAVID</t>
  </si>
  <si>
    <t>ABARROTERIA SARAHI JANELLE</t>
  </si>
  <si>
    <t>JAVA JUICE S A</t>
  </si>
  <si>
    <t xml:space="preserve">FRUTAS Y LEGUMBRES CABALLERO </t>
  </si>
  <si>
    <t>NATHYX SALON</t>
  </si>
  <si>
    <t xml:space="preserve">FONDA MARY </t>
  </si>
  <si>
    <t xml:space="preserve">FONDA ROXSY </t>
  </si>
  <si>
    <t>LAVA AUTOS LOS PITS</t>
  </si>
  <si>
    <t>ABARROTERIA KILOMETRO 24</t>
  </si>
  <si>
    <t>ABARROTERIA NELY</t>
  </si>
  <si>
    <t>ABARROTERIA WENDY</t>
  </si>
  <si>
    <t>ABARROTERIA ALISKAIR</t>
  </si>
  <si>
    <t xml:space="preserve">SIN NOMBRE ABARROTERIA </t>
  </si>
  <si>
    <t>ABARROTERIA LA ESPERANZA</t>
  </si>
  <si>
    <t>PARRILLADA ROSSY</t>
  </si>
  <si>
    <t>PANADERIA CERRO PUNTA</t>
  </si>
  <si>
    <t>ASOCIACION DE CAFESES ESPECIALES DE PANAMA</t>
  </si>
  <si>
    <t>LEGUMBRES CHAVARRIA</t>
  </si>
  <si>
    <t>VENTAS Y SALON DE BELLEZA MARCIA</t>
  </si>
  <si>
    <t>FONDA EDI</t>
  </si>
  <si>
    <t>FONDA PAULINA</t>
  </si>
  <si>
    <t>BARBERIA DE BARRIO</t>
  </si>
  <si>
    <t>ABARROTERIA DAYANA S.</t>
  </si>
  <si>
    <t>ABARROTERIA GONZALEZ GONZALEZ</t>
  </si>
  <si>
    <t>ABARROTERIA ELOY</t>
  </si>
  <si>
    <t>ABARROTERIA JOE</t>
  </si>
  <si>
    <t>ABARROTERIA ADANIS</t>
  </si>
  <si>
    <t>SASTRERIA GUTIERREZ</t>
  </si>
  <si>
    <t>COMIDAS CRIOLLAS MIGUELITO</t>
  </si>
  <si>
    <t>FINCA LERIDA COFFEE PLANTATION &amp; BOUTIQUE HOTEL</t>
  </si>
  <si>
    <t xml:space="preserve">FONDA Y CAFE DON OSCAR </t>
  </si>
  <si>
    <t>KIOSKO BETTY PIQUERA LAS LOMAS</t>
  </si>
  <si>
    <t>FONDA AJI PICANTE</t>
  </si>
  <si>
    <t>FONDA DELICIAS LA CASA DE AL LADO</t>
  </si>
  <si>
    <t xml:space="preserve">HELADOS CHELO </t>
  </si>
  <si>
    <t>BARBERIA FOR- LIFE</t>
  </si>
  <si>
    <t>ABARROTERIA ILIANIS (CHUCHUPATE)</t>
  </si>
  <si>
    <t>ABARROTERIA FELICIANO</t>
  </si>
  <si>
    <t>ABARROTERIA W&amp;M</t>
  </si>
  <si>
    <t>ABARROTERIA JEHOVA PROVEERA</t>
  </si>
  <si>
    <t>ABARROTERIA ABNER - KERIN</t>
  </si>
  <si>
    <t>CARNICERIA VILLARREAL S.A.</t>
  </si>
  <si>
    <t>LAVANDERIA LAS BURBUJAS</t>
  </si>
  <si>
    <t>BLUE BAKERY</t>
  </si>
  <si>
    <t xml:space="preserve">LATTE CAFE </t>
  </si>
  <si>
    <t>KIOSKO ENEDY</t>
  </si>
  <si>
    <t>FONDA TRES DRAGONES</t>
  </si>
  <si>
    <t>FONDA SHADAY HOUSE</t>
  </si>
  <si>
    <t>FLORISTERIA EL CARMEN</t>
  </si>
  <si>
    <t>FRUTERIA Y VEGETALES LA FAMILIA</t>
  </si>
  <si>
    <t>ABARROTERIA DORITA</t>
  </si>
  <si>
    <t>ABARROTERIA ALEX N° 1</t>
  </si>
  <si>
    <t>ABARROTERIA ELIANNYS</t>
  </si>
  <si>
    <t>ABARROTERIA E Y O</t>
  </si>
  <si>
    <t>ABARROTERIA CASES</t>
  </si>
  <si>
    <t>COPIAS Y MAS ZULY Y FRANCI</t>
  </si>
  <si>
    <t>ABARROTERIA ABRAHAN</t>
  </si>
  <si>
    <t>MAGIC, PIZZA &amp; RESTAURANT</t>
  </si>
  <si>
    <t xml:space="preserve">ADELINA'S CAFE &amp; PASTELERIA </t>
  </si>
  <si>
    <t>KIOSKO NARAZARETH</t>
  </si>
  <si>
    <t>FONDA MIGDALIA RIVERA</t>
  </si>
  <si>
    <t>FONDA  ANGELES</t>
  </si>
  <si>
    <t>LAVA AUTO MAIKEL 507</t>
  </si>
  <si>
    <t xml:space="preserve">ABARROTERIA BARTOLO </t>
  </si>
  <si>
    <t>ABARROTERIA SILVIA</t>
  </si>
  <si>
    <t>SIN NOMBRE( ABARROTERIA SALDAÑA- LAS TRANCAS)</t>
  </si>
  <si>
    <t>ABARROTERIA EMANUEL YIRE</t>
  </si>
  <si>
    <t>ABARROTERIA SEBASTIAN</t>
  </si>
  <si>
    <t>ABARROTERIA MARANATA</t>
  </si>
  <si>
    <t xml:space="preserve">ASADOS WYNTER </t>
  </si>
  <si>
    <t>RESTAURANTE LA PERLA NEGRA</t>
  </si>
  <si>
    <t>STREET GRILL</t>
  </si>
  <si>
    <t>SPOT CAFE</t>
  </si>
  <si>
    <t>MIGDY SALON Y GYM</t>
  </si>
  <si>
    <t>FONDA NANA</t>
  </si>
  <si>
    <t>FONDA ANYELINA</t>
  </si>
  <si>
    <t>LAVANDERIA DOCTOR CLEAN</t>
  </si>
  <si>
    <t>ABARROTERIA DANYLUZ</t>
  </si>
  <si>
    <t>ABARROTERIA SARITA</t>
  </si>
  <si>
    <t>ABARROTERIA REBECA</t>
  </si>
  <si>
    <t>ABARROTERIA EBEN -EZER</t>
  </si>
  <si>
    <t xml:space="preserve">ABARROTERIA MANUEL </t>
  </si>
  <si>
    <t xml:space="preserve">ARTESANIAS COLIBRI </t>
  </si>
  <si>
    <t>NOVEDADES NUEVOS COMIENZOS</t>
  </si>
  <si>
    <t>CLINICA DENTAL DR. MAESTRE</t>
  </si>
  <si>
    <t>CLINICA DENTAL DRA MONICA SANJUR</t>
  </si>
  <si>
    <t xml:space="preserve">CLINICA SERVICIOS DE SALUD </t>
  </si>
  <si>
    <t>CLINICA ESPECIALIDA EN ATENCION PSICOLOGICA Y PSICOTERAPIA</t>
  </si>
  <si>
    <t>CLINICA DERMATOLOGICA DRA AILYN MORENO RUIZ</t>
  </si>
  <si>
    <t>CLINICA DRA. NOVOA - HOSP.CHIRIQUI</t>
  </si>
  <si>
    <t>CLINICA DENTAL DEL DR AROSEMENA- SERDENT</t>
  </si>
  <si>
    <t>CLINICA ODONTOLOGICA JAIMMY ROVIRA</t>
  </si>
  <si>
    <t>CLINICA DE  ODONTOLOGIA Y ARMONIA</t>
  </si>
  <si>
    <t xml:space="preserve">CLINICA DR. JOSE SALDAÑA </t>
  </si>
  <si>
    <t>LABORATORIO MONICA RIOS</t>
  </si>
  <si>
    <t xml:space="preserve">SABORES PORTEÑOS MARISQUERIA Y RESTAURANTE </t>
  </si>
  <si>
    <t>LABORATORIO CLINICO LOS ANGELES</t>
  </si>
  <si>
    <t>CERRUD &amp; ASOCIADOS ABOGADOS</t>
  </si>
  <si>
    <t>GABRIEL MONTERO ABOGADO</t>
  </si>
  <si>
    <t>LABORATORIOS J&amp;C ESPECIALIZADO</t>
  </si>
  <si>
    <t>ODETT A VALLE - ABOGADO</t>
  </si>
  <si>
    <t xml:space="preserve">BOM SABOR </t>
  </si>
  <si>
    <t>ESQUINITA DEL SABOR</t>
  </si>
  <si>
    <t>MARIANA ESCUDERO ABOGADA</t>
  </si>
  <si>
    <t>PANAMA ESTE</t>
  </si>
  <si>
    <t>VENTAS  Y MATERIALES AMERICA</t>
  </si>
  <si>
    <t>LOS SANTOS</t>
  </si>
  <si>
    <t>PARRILLA ESTILO ARGENTINO BUFETTE Y BANQUETES  ( CHIRIQUÍ BARÚ PROGRESO,  PASO CONOAS)</t>
  </si>
  <si>
    <t xml:space="preserve">REFRESQUERIA DOÑA YOLI </t>
  </si>
  <si>
    <t>FERIA DE LAS FLORES Y EL CAFE</t>
  </si>
  <si>
    <t>VENTAS DE LEGUMBRES LUIS (VENTAS DE LEGUMBRES LILI)</t>
  </si>
  <si>
    <t>SALON DE BELLEZA JOY'S SALON</t>
  </si>
  <si>
    <t>FONDA A MI MODO</t>
  </si>
  <si>
    <t xml:space="preserve">FONDA LA TERMINAL RIO SERENO PASO CANOAS </t>
  </si>
  <si>
    <t>BARBERIA KIKE MOVIL</t>
  </si>
  <si>
    <t>ABARROTERIA ANDRIK</t>
  </si>
  <si>
    <t>ABARROTERIA LA ESQUINA</t>
  </si>
  <si>
    <t>ABARROTERIA MIRNA</t>
  </si>
  <si>
    <t>ABARROTERIA K&amp;G</t>
  </si>
  <si>
    <t xml:space="preserve">ABARROTERIA JOSELIN MILAGRO </t>
  </si>
  <si>
    <t>ARTESANIAS ITZEL</t>
  </si>
  <si>
    <t>FONDA AMANTE A LA COMIDA</t>
  </si>
  <si>
    <t>TU WOK</t>
  </si>
  <si>
    <t>CAFE TIO MIREYA</t>
  </si>
  <si>
    <t>KIOSKO SKARLY</t>
  </si>
  <si>
    <t>FONDA EL PROGRESO</t>
  </si>
  <si>
    <t xml:space="preserve">FONDA EL RANCHITO DEL SABOR </t>
  </si>
  <si>
    <t>FLORISTERIA ALFA OMEGA Y MAS</t>
  </si>
  <si>
    <t>FRUTAS DELICIOSAS SMOOTHIES</t>
  </si>
  <si>
    <t>ABARROTERIA EILYN</t>
  </si>
  <si>
    <t>ABARROTERIA EXQUISITO</t>
  </si>
  <si>
    <t>ABARROTERIA KARINA</t>
  </si>
  <si>
    <t>ABARROTERIA 4 HERMANOS</t>
  </si>
  <si>
    <t>ABARROTERIA MARGARITA</t>
  </si>
  <si>
    <t>CARNICERIA JORGE ISAAC SALDAÑA</t>
  </si>
  <si>
    <t>RESTAURANTE DON DIEGO</t>
  </si>
  <si>
    <t>CAFE JAVA JUICE</t>
  </si>
  <si>
    <t>PISABEL INTERNET CAFE</t>
  </si>
  <si>
    <t>BARBERIA SALON  DE LA FAMA</t>
  </si>
  <si>
    <t xml:space="preserve">FONDA MARICXEL </t>
  </si>
  <si>
    <t>FONDA LA CATA</t>
  </si>
  <si>
    <t>LAVANDERIA BURBUJAS EXPRES</t>
  </si>
  <si>
    <t>ABARROTERIA VIVIAN</t>
  </si>
  <si>
    <t>ABARROTERIA B Y J</t>
  </si>
  <si>
    <t>ABARROTERIA NATHALIE</t>
  </si>
  <si>
    <t>ABARROTERIA BEITIA</t>
  </si>
  <si>
    <t>ABARROTERIA EBEN EZER</t>
  </si>
  <si>
    <t>ABARROTERIA FG</t>
  </si>
  <si>
    <t>TALLER DE REFRIGERACION GOMEZ TRUYOL G.T</t>
  </si>
  <si>
    <t>ABARROTERIA DON ARSENIO</t>
  </si>
  <si>
    <t>ARTYTEC</t>
  </si>
  <si>
    <t>VENTA DE LEGUMBRES ROBERTO</t>
  </si>
  <si>
    <t>DULCES MAGNOLIAS BEAUTY SALON</t>
  </si>
  <si>
    <t>FONDA DIROUS</t>
  </si>
  <si>
    <t xml:space="preserve">FONDA DOÑA NENA </t>
  </si>
  <si>
    <t>LAVAMATICO JOHANNA</t>
  </si>
  <si>
    <t>ABARROTERIA MARTHA ISABEL</t>
  </si>
  <si>
    <t>ABAEROTERIA E Y G) ABARROTERIA JESIAH</t>
  </si>
  <si>
    <t>ABARROTERIA CENTENARIO</t>
  </si>
  <si>
    <t xml:space="preserve">ABARROTERIA HERMANAS GONZALEZ </t>
  </si>
  <si>
    <t xml:space="preserve">ABARROTERIA MANA DE DIOS </t>
  </si>
  <si>
    <t>MODISTERIA BENI</t>
  </si>
  <si>
    <t>FONDA JORGITO'S</t>
  </si>
  <si>
    <t>CAFETERIA ASHELY</t>
  </si>
  <si>
    <t>KIOSKO ROSA</t>
  </si>
  <si>
    <t xml:space="preserve">NAOMI SALON </t>
  </si>
  <si>
    <t xml:space="preserve">FONDA THE HOUSE </t>
  </si>
  <si>
    <t>FONDA SHALOM</t>
  </si>
  <si>
    <t xml:space="preserve">BARBERIA Y PELUQUERIA MUNDO </t>
  </si>
  <si>
    <t>ABARROTERIA EL OLAM</t>
  </si>
  <si>
    <t xml:space="preserve">ABARROTERIA GONZALEZ </t>
  </si>
  <si>
    <t>ABARROTERIA MELLO</t>
  </si>
  <si>
    <t>ABARROTERIA LILIANA</t>
  </si>
  <si>
    <t>ABARROTERIA LOS YIKIS (ABARROTERIA YIKIS)</t>
  </si>
  <si>
    <t>SASTRERIA PANCHO</t>
  </si>
  <si>
    <t>COPIAS DE LLAVES VARGAS</t>
  </si>
  <si>
    <t>PANADERIA 2001</t>
  </si>
  <si>
    <t xml:space="preserve">CAFE AMY </t>
  </si>
  <si>
    <t>FRUTAS Y LEGUMBRES MARIANGELLY</t>
  </si>
  <si>
    <t xml:space="preserve">SALON DE BELLEZA ACADEMIA Y SUPPLY </t>
  </si>
  <si>
    <t xml:space="preserve">FONDA SORTOVA </t>
  </si>
  <si>
    <t>BARBERIA LA NEW GENERATION</t>
  </si>
  <si>
    <t>ABARROTERIA EL SHADDAI</t>
  </si>
  <si>
    <t>ABARROTERIA YANERITH</t>
  </si>
  <si>
    <t>ABARROTERIA DOS HERMANAS</t>
  </si>
  <si>
    <t>ABARROTERIA YAZMIN</t>
  </si>
  <si>
    <t>ABARROTERIA KAREN</t>
  </si>
  <si>
    <t>PELUQUERIA VICTOR</t>
  </si>
  <si>
    <t>RESTAURANTE DE SHOW PONY</t>
  </si>
  <si>
    <t>SOLUCIONES INTEGRALES TAX  S A</t>
  </si>
  <si>
    <t>VOLCAN YELLOW CAFE S.A</t>
  </si>
  <si>
    <t>STYLE BEAUTY SALON AND SPA</t>
  </si>
  <si>
    <t>FONDA GISSELL</t>
  </si>
  <si>
    <t>FONDA ANGELS NICOLLE</t>
  </si>
  <si>
    <t>LAVANDERIA SOLARIS</t>
  </si>
  <si>
    <t>ABARROTERIA LA FE</t>
  </si>
  <si>
    <t>ABARROTERIA ANA</t>
  </si>
  <si>
    <t xml:space="preserve">ABARROTERIA PORVENIR </t>
  </si>
  <si>
    <t>ABARROTERIA SAKURA</t>
  </si>
  <si>
    <t>ABARROTERIA LA CONQUISTA</t>
  </si>
  <si>
    <t>ABARROTERIA ZABDI</t>
  </si>
  <si>
    <t>ASADOS MONSTER BURGER</t>
  </si>
  <si>
    <t>BARBERIA PIRATA</t>
  </si>
  <si>
    <t>AQUI  VA LA NIÑA</t>
  </si>
  <si>
    <t xml:space="preserve">VENTA DE LEGUMBRES AVILES </t>
  </si>
  <si>
    <t>D. PROFESONAL SALON</t>
  </si>
  <si>
    <t>FONDA WALLY</t>
  </si>
  <si>
    <t>FONDA EMY</t>
  </si>
  <si>
    <t>BARBERIA LASSO</t>
  </si>
  <si>
    <t>ABARROTERIA HERMANOS AGUIRRE</t>
  </si>
  <si>
    <t>ABARROTERIA ESPINOSA</t>
  </si>
  <si>
    <t>ABARROTERIA JHOSTIN JAIR</t>
  </si>
  <si>
    <t>ABARROTERIA TRES CORAZONES</t>
  </si>
  <si>
    <t>ABARROTERIA NUEVA LUZ</t>
  </si>
  <si>
    <t>DEGUSTACIONES, CACTUS, ARTESANIAS Y MAS</t>
  </si>
  <si>
    <t>COMISARIATO EL CRUCE</t>
  </si>
  <si>
    <t>FONDA Y CAFE DOÑA BEATRIZ</t>
  </si>
  <si>
    <t>DAEN LA CASITA DEL CAFE</t>
  </si>
  <si>
    <t>KIOSKO EL GUAYACAN</t>
  </si>
  <si>
    <t>RAFAELA SALON</t>
  </si>
  <si>
    <t>FONDA DOÑA MARI</t>
  </si>
  <si>
    <t>FONDA ALICIAS</t>
  </si>
  <si>
    <t>BARBERIA BOB 507 (BOB 507)</t>
  </si>
  <si>
    <t>ABARROTERIA ROYAL ROSE</t>
  </si>
  <si>
    <t>ABARROTERIA JOHAN MOISES</t>
  </si>
  <si>
    <t>ABARROTERIA MECHI MARK</t>
  </si>
  <si>
    <t>ABARROTERIA TATIANA</t>
  </si>
  <si>
    <t>ABARROTERIA KRIST</t>
  </si>
  <si>
    <t>FILEMON MILER (SASTRERIA)</t>
  </si>
  <si>
    <t>PLANTAS Y GRANOS AILANA</t>
  </si>
  <si>
    <t>IMPRIMÉ</t>
  </si>
  <si>
    <t>SOULBAR CAFE</t>
  </si>
  <si>
    <t>KIOSKO AGUDELO</t>
  </si>
  <si>
    <t>FONDA JOSELYN</t>
  </si>
  <si>
    <t xml:space="preserve">FONDA ANDREW </t>
  </si>
  <si>
    <t>HELADERÍA CONGELADOS</t>
  </si>
  <si>
    <t>FRUTOS DE CHIRIQUI  S A</t>
  </si>
  <si>
    <t>ABARROTERIA SAN JOSE</t>
  </si>
  <si>
    <t>ABARROTERIA DIVINO NIÑO</t>
  </si>
  <si>
    <t>ABARROTERIA GETSEMANI</t>
  </si>
  <si>
    <t>ABARROTERIA PUBLIX</t>
  </si>
  <si>
    <t>ABARROTERIA JEHOVA JIREH SHALOM</t>
  </si>
  <si>
    <t>PELUQUERIA LORIANIS</t>
  </si>
  <si>
    <t>ABARROTERIA OASIS</t>
  </si>
  <si>
    <t>MERCADITO RAPI FRESH</t>
  </si>
  <si>
    <t>MALABAR CAFE</t>
  </si>
  <si>
    <t>KIOSKO LA CHIRICANA</t>
  </si>
  <si>
    <t>FONDA LAS HERMANAS CARREÑO</t>
  </si>
  <si>
    <t xml:space="preserve">FONDA PIPAS </t>
  </si>
  <si>
    <t>VIVERO PLANTAS DE LA ABUELA</t>
  </si>
  <si>
    <t xml:space="preserve">REFRESQUERIA TODO FRUTAS EL CORREDOR </t>
  </si>
  <si>
    <t>ABARROTERIA ALEXI H1</t>
  </si>
  <si>
    <t>ABARROTERIA LOPEZ</t>
  </si>
  <si>
    <t>ABARROTERIA EL MANANTIAL</t>
  </si>
  <si>
    <t>ABARROTERIA LUIS ALBERTO</t>
  </si>
  <si>
    <t>ABARROTERIA JUAN</t>
  </si>
  <si>
    <t>TALLER DE REFRIGERACION YIREH</t>
  </si>
  <si>
    <t>ABARROTERIA SOFI</t>
  </si>
  <si>
    <t>BERLINA COFEE STATION</t>
  </si>
  <si>
    <t>NIÑO'S CAFE RESTAURANTE</t>
  </si>
  <si>
    <t>KIOSKO Y ABARROTERIA LEA</t>
  </si>
  <si>
    <t>FONDA IRIS.</t>
  </si>
  <si>
    <t xml:space="preserve">FONDA PRIMOS </t>
  </si>
  <si>
    <t>LAVA AUTOS ERICK</t>
  </si>
  <si>
    <t xml:space="preserve">ABARROTERIA TITE </t>
  </si>
  <si>
    <t>ABARROTERIA HERMANOS TORRES</t>
  </si>
  <si>
    <t>ABARROTERIA GONZALEZ</t>
  </si>
  <si>
    <t>ABARROTERIA MAYTE</t>
  </si>
  <si>
    <t>ABARROTERIA JUSTAVINO</t>
  </si>
  <si>
    <t>ABARROTERIA ELIZABETH</t>
  </si>
  <si>
    <t>PARRILLADA RICO SABOR</t>
  </si>
  <si>
    <t>CLINICA VISUAL MARÍN</t>
  </si>
  <si>
    <t>CLINICA DENTAL LUZ</t>
  </si>
  <si>
    <t>CLINICA ORION</t>
  </si>
  <si>
    <t xml:space="preserve">CLINICA DERMATOLOGICA AROSEMENA </t>
  </si>
  <si>
    <t>CLINICA OPTICA CLIOPT</t>
  </si>
  <si>
    <t>CLINICA DE CIRUGIA AMBULATORIA SANTA TERESA</t>
  </si>
  <si>
    <t>CLINICA DENTAL DR. OCTAVIO ORTEGA BARRAZA</t>
  </si>
  <si>
    <t xml:space="preserve">CLINICA MEDICA DENTAL DAVID </t>
  </si>
  <si>
    <t>CLINICA DR. PAUL ALEGRIA</t>
  </si>
  <si>
    <t>CLINICA ESPECIALIZADA DE DOLEGA</t>
  </si>
  <si>
    <t>LABORATORIO CLINICO BIOANALISIS</t>
  </si>
  <si>
    <t>LABORATORIO CLINICO OMEGA</t>
  </si>
  <si>
    <t>GONZALO RIOS GRAJALES( ABOGADO)</t>
  </si>
  <si>
    <t>ABONOS DEL PACIFICO S A</t>
  </si>
  <si>
    <t>FRANK MIRANDA GUERRA (ABOGADO)</t>
  </si>
  <si>
    <t>LABORATORIO CLINICO BIOMEDICA</t>
  </si>
  <si>
    <t>SERVICIOS Y VENTAS PINEDA</t>
  </si>
  <si>
    <t xml:space="preserve">VENTAS DEY </t>
  </si>
  <si>
    <t>VENTAS  BRIANA</t>
  </si>
  <si>
    <t>VENTAS ISMAEL ISAAC</t>
  </si>
  <si>
    <t>VENTAS AL POR MENOR Y SERVICIOS CONTABLES Y ADMINISTRATIVOS ORTIZ</t>
  </si>
  <si>
    <t>VENTAS BRYAM</t>
  </si>
  <si>
    <t>TECNI VENTAS CASTILLO</t>
  </si>
  <si>
    <t>VENTAS Y SERVICIOS ALANIS</t>
  </si>
  <si>
    <t>VENTAS DEYANIRA</t>
  </si>
  <si>
    <t>VENTAS SOLIS</t>
  </si>
  <si>
    <t>SUPERMERCADO M &amp; F</t>
  </si>
  <si>
    <t>SUPERMERCADO YOU</t>
  </si>
  <si>
    <t>TALLER MARENCO</t>
  </si>
  <si>
    <t>TALLER LALO</t>
  </si>
  <si>
    <t>TALLER J&amp;R</t>
  </si>
  <si>
    <t>TALLER POLLY</t>
  </si>
  <si>
    <t xml:space="preserve">TALLER DE SOLDADURA EL CHINO </t>
  </si>
  <si>
    <t>TALLER EL BONGO</t>
  </si>
  <si>
    <t xml:space="preserve">TALLER AMETH GONZALEZ </t>
  </si>
  <si>
    <t>TALLER DE MOTORES ELECTRICOS BUGABA</t>
  </si>
  <si>
    <t>TALLER DE EBANISTERIA JHONNY</t>
  </si>
  <si>
    <t>LOCAL S/N (TALLER DE MECANICA)</t>
  </si>
  <si>
    <t>TALLER INDUSTRIAL</t>
  </si>
  <si>
    <t>TALLER HASSAN BODYSHOP</t>
  </si>
  <si>
    <t>TALLER ESSO CENTRAL</t>
  </si>
  <si>
    <t>TALLER EL LLANTERITO</t>
  </si>
  <si>
    <t>TALLER JUNIER</t>
  </si>
  <si>
    <t>TALLER M.P (TU TALLER M.P.)</t>
  </si>
  <si>
    <t>TALLER DE CHAPISTERIA Y PINTURA DETALLING CAR SOLUTION</t>
  </si>
  <si>
    <t xml:space="preserve">TALLER DE MECANICA Y SERVICIOS ACOSTA COLLINS </t>
  </si>
  <si>
    <t xml:space="preserve">TALLER SANTOS </t>
  </si>
  <si>
    <t>TALLER MIRANDA RIOS</t>
  </si>
  <si>
    <t>TALLER MULTICAR</t>
  </si>
  <si>
    <t>TALLER DE MECANCIA DENTAL J.R.</t>
  </si>
  <si>
    <t>TALLER..AYLEX</t>
  </si>
  <si>
    <t>TALLER CARLOS CABALLERO</t>
  </si>
  <si>
    <t>TALLER PINEDA</t>
  </si>
  <si>
    <t>TALLER VICTORIA</t>
  </si>
  <si>
    <t xml:space="preserve">TALLER BARRAZA </t>
  </si>
  <si>
    <t>TALLER AGRO INDUSTRIAL VICTOR</t>
  </si>
  <si>
    <t>TALLER SKD</t>
  </si>
  <si>
    <t>TALLER DE MECANICA</t>
  </si>
  <si>
    <t>TALLER FCG</t>
  </si>
  <si>
    <t>TALLER HERMANOS VIQUEZ</t>
  </si>
  <si>
    <t>CONSULTORIO VETERINARIO E&amp;E</t>
  </si>
  <si>
    <t>AGROPECUARIA Y FARMACIA VETERINARIA 3R</t>
  </si>
  <si>
    <t>ROPA AMERICANA KRYSTEL</t>
  </si>
  <si>
    <t xml:space="preserve">JAREDY INTERNET </t>
  </si>
  <si>
    <t>PERSIANAS Y VIDRIERAS,S.A.</t>
  </si>
  <si>
    <t>AGRO GANADERA AG  S A</t>
  </si>
  <si>
    <t>GANADERA OJO DE AGUA  S A</t>
  </si>
  <si>
    <t>GANADERA ATLANTICO, S.A.</t>
  </si>
  <si>
    <t>ALMACEN, DISTRIBUIDORA SOBENIS</t>
  </si>
  <si>
    <t>DISTRIBUIDORA ORTIZ CORELLA</t>
  </si>
  <si>
    <t>DISTRIBUIDORA EL GIGANTE</t>
  </si>
  <si>
    <t>DISTRIBUIDORA CHIRIGAS</t>
  </si>
  <si>
    <t>DISTRIBUIDORA LEON SILESKY</t>
  </si>
  <si>
    <t>DISTRIBUIDORAECO</t>
  </si>
  <si>
    <t>DISTRIBUIDORA SU CARNE</t>
  </si>
  <si>
    <t>DISTRIGAS DE CHIRIQUI</t>
  </si>
  <si>
    <t>DISTRIBUIDORA OLGA</t>
  </si>
  <si>
    <t>DISTRIBUIDORA CERRO PUNTA</t>
  </si>
  <si>
    <t xml:space="preserve">ABARROTERIA DON LUCHO </t>
  </si>
  <si>
    <t>REFRIGERACION ANAYA</t>
  </si>
  <si>
    <t>RESTAURANTE SIAU LIN</t>
  </si>
  <si>
    <t>REVOSOFT LTD CORP</t>
  </si>
  <si>
    <t>CAFE DE ELETA</t>
  </si>
  <si>
    <t>GRE SALON</t>
  </si>
  <si>
    <t>FONDA Y ABARROTERIA DARIANA</t>
  </si>
  <si>
    <t>FONDA LA CASITA DE POTY</t>
  </si>
  <si>
    <t>LAVANDERIA CENTRAL (LAVANDERIA Y LAVAMATICO CENTRAL)</t>
  </si>
  <si>
    <t xml:space="preserve">ABARROTERIA DON JUAN </t>
  </si>
  <si>
    <t>ABARROTERIA DONDE MONTERO</t>
  </si>
  <si>
    <t xml:space="preserve">ABARROTERIA EL VALLE </t>
  </si>
  <si>
    <t xml:space="preserve">ABARROTERIA DELLYS </t>
  </si>
  <si>
    <t>ABARROTERIA LAS DELICIAS</t>
  </si>
  <si>
    <t>ARTESANIAS MANALU</t>
  </si>
  <si>
    <t>PARRILLADA KINXO</t>
  </si>
  <si>
    <t>ABARROTERIA BETZAIDA C.</t>
  </si>
  <si>
    <t>ROSTICERIA POLLO A LA LEÑA</t>
  </si>
  <si>
    <t>LOCAL S/N VENTA DE LEGUMBRES</t>
  </si>
  <si>
    <t>MUNDO CEJAS PANAMA SALON</t>
  </si>
  <si>
    <t>FONDA MGK MARTINEZ</t>
  </si>
  <si>
    <t xml:space="preserve">FONDA GIANAS </t>
  </si>
  <si>
    <t>LAVANDERIA ECONOCLEAN ( ECONO CLEAN DAVID)</t>
  </si>
  <si>
    <t>ABARROTERIA LUPE</t>
  </si>
  <si>
    <t xml:space="preserve">ABARROTERIA M &amp; S </t>
  </si>
  <si>
    <t>ABARROTERIA HERMANOS RIOS</t>
  </si>
  <si>
    <t>ABARROTERIA LAS MELLAS</t>
  </si>
  <si>
    <t xml:space="preserve">ABARROTERIA 5MENTARIOS </t>
  </si>
  <si>
    <t>SASTRERIA PALACIO</t>
  </si>
  <si>
    <t>COMIDAS CRIOLLAS Y ROSTICERIA MARY</t>
  </si>
  <si>
    <t>CLINICA MEXICO</t>
  </si>
  <si>
    <t>CLINICA VALLE BOQUETE</t>
  </si>
  <si>
    <t>CLINICA DENTAL GUERRERO 1</t>
  </si>
  <si>
    <t>CLINICA DENTAL COREA</t>
  </si>
  <si>
    <t>CLINICA HOSPITAL CATTAN</t>
  </si>
  <si>
    <t>CLINICA A FLOR DE PIEL DOCTORA KAREN ZAPATA</t>
  </si>
  <si>
    <t>CLINICA VETERINARIA BELEN</t>
  </si>
  <si>
    <t>CLINICA DE ESPECIALIDADES DENTALES SAN ANTONIO</t>
  </si>
  <si>
    <t>CLINICA DENTAL CORP</t>
  </si>
  <si>
    <t xml:space="preserve">CLINICA SAN MIGUEL </t>
  </si>
  <si>
    <t>LABORATORIO CLINICO CHIRILAB</t>
  </si>
  <si>
    <t>GONZALEZ &amp; GONZALEZ  (ABOGADOS)</t>
  </si>
  <si>
    <t>LA CASA DEL SABOR PANAMEÑO</t>
  </si>
  <si>
    <t>LABORATORIO OPTICO DAJURA</t>
  </si>
  <si>
    <t>ABOGADA - GETZEL E. DE LA TORRE ORTIZ</t>
  </si>
  <si>
    <t>LABORATORIO MELILLO</t>
  </si>
  <si>
    <t>SANJUR  Y ANGULO ( ABOGADO)</t>
  </si>
  <si>
    <t>BS ABOGADOS Y CONTADORES</t>
  </si>
  <si>
    <t>RESTAURANTE LA ESQUINA DEL SABOR</t>
  </si>
  <si>
    <t>PANADERIA EL GRAN SABOR</t>
  </si>
  <si>
    <t>VENTAS KAVIRA</t>
  </si>
  <si>
    <t>VENTAS Y MINISUPER LORENA</t>
  </si>
  <si>
    <t>VERECHI (VENTAS Y REPARACIONES CHIRIQUI)</t>
  </si>
  <si>
    <t>COMPRAS Y VENTAS LUZ</t>
  </si>
  <si>
    <t>VENTAS MEIVE</t>
  </si>
  <si>
    <t>VENTAS J&amp;J</t>
  </si>
  <si>
    <t>VENTAS Y SERVICIOS OUR DIGORE</t>
  </si>
  <si>
    <t xml:space="preserve">VENTAS ZML </t>
  </si>
  <si>
    <t>VENTAS HERMANOS RODRIGUEZ</t>
  </si>
  <si>
    <t>VENTAS NALLY</t>
  </si>
  <si>
    <t>TRANSP.VENTAS Y FLETES GUERRA</t>
  </si>
  <si>
    <t>SUPERMERCADO NODIER HERMANOS</t>
  </si>
  <si>
    <t>SUPERMERCADO  LA FE</t>
  </si>
  <si>
    <t>TALLER SANTAMARIA</t>
  </si>
  <si>
    <t>TALLER DE TELEVISION GONZALEZ</t>
  </si>
  <si>
    <t>TALLER EZEQUIEL</t>
  </si>
  <si>
    <t>TALLER NINO</t>
  </si>
  <si>
    <t>TALLER Y CHAPISTERIA , SOLDADURA SHAGGY</t>
  </si>
  <si>
    <t>TALLER CHINITO</t>
  </si>
  <si>
    <t>TALLER Y AUTOMECANICA DANITO</t>
  </si>
  <si>
    <t>TALLER YIYO</t>
  </si>
  <si>
    <t>TALLER DE ZAPATERIA EDGAR</t>
  </si>
  <si>
    <t>TALLER SIN NOMBRE ( MANUEL DE JESUS GRAJALES)</t>
  </si>
  <si>
    <t>TALLER HERMANOS DEL CID</t>
  </si>
  <si>
    <t>TALLER VARGAS MATAMOROS (PANAMÁ), S.A</t>
  </si>
  <si>
    <t>AUTO TALLER REYES</t>
  </si>
  <si>
    <t xml:space="preserve">TALLER AUTO FINISH </t>
  </si>
  <si>
    <t>TALLER CHIRIQUI</t>
  </si>
  <si>
    <t>TALLER BENJAMIN</t>
  </si>
  <si>
    <t>TALLER DENIS CUBILLA</t>
  </si>
  <si>
    <t>TALLER DE BATERIAS RUBEN MORALES</t>
  </si>
  <si>
    <t>TALLER XAJAVIK</t>
  </si>
  <si>
    <t>TALLER BAT</t>
  </si>
  <si>
    <t>TALLER MELITO VARGAS</t>
  </si>
  <si>
    <t>TALLER ANEL</t>
  </si>
  <si>
    <t>S/N TALLER DE EBANISTERIA VASQUEZ</t>
  </si>
  <si>
    <t>TALLER DK</t>
  </si>
  <si>
    <t>TALLER LAGO</t>
  </si>
  <si>
    <t>TALLER OSCAR</t>
  </si>
  <si>
    <t>TALLER ERICK MIRANDA</t>
  </si>
  <si>
    <t>TALLER DE SOLDADURA DON CARLOS</t>
  </si>
  <si>
    <t>TALLER DE CHAPISTERIA CASTILLO</t>
  </si>
  <si>
    <t>TALLER ELICEO ORTIZ</t>
  </si>
  <si>
    <t>TALLER DE LLANTAS YANINA OTERO ACOSTA</t>
  </si>
  <si>
    <t>TALLER Y TORNIERIA PITTI</t>
  </si>
  <si>
    <t>TALLER DE MECANICA CHICHI</t>
  </si>
  <si>
    <t>HOSPITAL VETERINARIO HEALTHY PET SC</t>
  </si>
  <si>
    <t>ALMACEN Y AGROVETERINARIA EL CRUCE, S.A.</t>
  </si>
  <si>
    <t>VENTA DE ROPA AMERICANA</t>
  </si>
  <si>
    <t>PARS INTERNET</t>
  </si>
  <si>
    <t>VIDRIO Y ALUMINIOS GALVEZ</t>
  </si>
  <si>
    <t>AGRO GANADERA PINO, S.A.</t>
  </si>
  <si>
    <t>GANADERA IVANA, S.A</t>
  </si>
  <si>
    <t>GANADERA E INVERSIONES SABALO   SOCIEDAD ANONIMA</t>
  </si>
  <si>
    <t>DISTRIBUIDORA NICOLE Y MEGAN</t>
  </si>
  <si>
    <t>KASA DISTRIBUIDORA</t>
  </si>
  <si>
    <t>DISTRIBUIDORA M.J.E.</t>
  </si>
  <si>
    <t>ALMACEN Y DISTRIBUIDORA EL BARATON A &amp; G</t>
  </si>
  <si>
    <t>DISTRIBUIDORA DALU</t>
  </si>
  <si>
    <t>DISTRIBUIDORA EXPRESO</t>
  </si>
  <si>
    <t>DISTRIBUIDORA GOMEZ</t>
  </si>
  <si>
    <t>DISTRIBUIDORA Y LICORERIA LA RUMBA</t>
  </si>
  <si>
    <t>DISTRIBUIDORA LUMEL - SUCURSAL Nº 1 - EL VAQUERO</t>
  </si>
  <si>
    <t>DISTRIBUIDOR EL HATO</t>
  </si>
  <si>
    <t>ABARROTERIA LA FAMILIA</t>
  </si>
  <si>
    <t xml:space="preserve">MERCADITO OCTAVO ESTE </t>
  </si>
  <si>
    <t>PANAMA OESTE</t>
  </si>
  <si>
    <t>MORALES Y MORALES ABOGADOS</t>
  </si>
  <si>
    <t>ABOGADOS CONSULTAS Y TRAMITES LEGALES</t>
  </si>
  <si>
    <t>TRANSPORTE GABO  S A</t>
  </si>
  <si>
    <t>LABORATORIO DE ANALISIS CLINICO DEL BARU</t>
  </si>
  <si>
    <t>MULTIVENTAS LUXA</t>
  </si>
  <si>
    <t>INVERSIONES Y VENTAS ALBIN</t>
  </si>
  <si>
    <t>VENTAS Y CURIER MG</t>
  </si>
  <si>
    <t>VENTAS GERO</t>
  </si>
  <si>
    <t>AGROVENTAS Y MAS</t>
  </si>
  <si>
    <t>PUBLI VENTAS DIORIMAR</t>
  </si>
  <si>
    <t>MULTIPRO VENTAS</t>
  </si>
  <si>
    <t>VENTAS JABA</t>
  </si>
  <si>
    <t>VENTAS Y SERVICIOS JOSE ESTRIBI</t>
  </si>
  <si>
    <t>SUPERMERCADO LA PARADA</t>
  </si>
  <si>
    <t>SUPERMERCADO LOO</t>
  </si>
  <si>
    <t>TALLER SALVADOR</t>
  </si>
  <si>
    <t xml:space="preserve">TALLER HECTOR </t>
  </si>
  <si>
    <t>TALLER TATO</t>
  </si>
  <si>
    <t>TALLER MENDOZA</t>
  </si>
  <si>
    <t>TALLER DE EBANISTERIA SERRACIN</t>
  </si>
  <si>
    <t>TALLER DE EBANISTERÍA LEZCANO / Ó EDITH M. SIGLIANO</t>
  </si>
  <si>
    <t>TALLER DEFENSAS BUGABA</t>
  </si>
  <si>
    <t>TALLER NAYAFH.J</t>
  </si>
  <si>
    <t>S/N TALLER DE EBANISTARIA QUIEL</t>
  </si>
  <si>
    <t>TALLER LA BENDICION</t>
  </si>
  <si>
    <t>TALLER EL CURRO</t>
  </si>
  <si>
    <t>TALLER LUISITO B 13</t>
  </si>
  <si>
    <t>TALLER Y REPUESTOS HIG</t>
  </si>
  <si>
    <t>TALLER DE SERVICIOS MAX PERFORMANCE</t>
  </si>
  <si>
    <t>TALLER WILLIAM</t>
  </si>
  <si>
    <t>TALLER JARAMILLO 2</t>
  </si>
  <si>
    <t>TALLER TOÑO</t>
  </si>
  <si>
    <t>TALLER ALVARO CASTILLO</t>
  </si>
  <si>
    <t>TALLER INDUSTRIAL BONILLA</t>
  </si>
  <si>
    <t>TALLER HERMANO ZAPATA</t>
  </si>
  <si>
    <t>TALLER RAUL</t>
  </si>
  <si>
    <t>TALLER PEPE S.A</t>
  </si>
  <si>
    <t>TALLER RIGO</t>
  </si>
  <si>
    <t>GRUAS Y TALLER DEL CID</t>
  </si>
  <si>
    <t>TALLER LUCHO</t>
  </si>
  <si>
    <t>TALLER DE EBANISTERIA LOS AARONS</t>
  </si>
  <si>
    <t>TALLER DE SOLDADURA VALDES</t>
  </si>
  <si>
    <t>TALLER SERGIO JR</t>
  </si>
  <si>
    <t>TALLER Y SERVICIOS APARICIO</t>
  </si>
  <si>
    <t>SERVITALLER AGRICOLA</t>
  </si>
  <si>
    <t>TALLER DE EBANISTERIA ZAPATA</t>
  </si>
  <si>
    <t>AUTO TALLER CASTILLO</t>
  </si>
  <si>
    <t xml:space="preserve">TALLER DE EBANISTERIA ALBERTO </t>
  </si>
  <si>
    <t>VELVET GLAM</t>
  </si>
  <si>
    <t>VETGONZNAR</t>
  </si>
  <si>
    <t>BUHONERIA J Y S</t>
  </si>
  <si>
    <t>INTERNET GERALDINE</t>
  </si>
  <si>
    <t>IMPORTADORA DE VIDRIOS Y ESPEJOS DEL CID,S.A.</t>
  </si>
  <si>
    <t>SUBASTA GANADERA DE PANAMA, S.A.</t>
  </si>
  <si>
    <t>GANADERA CHIPROZUVE  S A</t>
  </si>
  <si>
    <t>AGROGANADERA SELENE, S.A</t>
  </si>
  <si>
    <t>DISTRIBUIDORA INTERNACIONAL ANTHONY, S. A.</t>
  </si>
  <si>
    <t>DISTRIBUIDORA DEL BARU</t>
  </si>
  <si>
    <t>DISTRIBUIDORA URRUTIA  SOCIEDAD ANONIMA</t>
  </si>
  <si>
    <t>DISTRIBUIDORA RANCHO LA  MAQUENCA</t>
  </si>
  <si>
    <t>DISTRIBUIDORA.YAMI S.A.</t>
  </si>
  <si>
    <t>ALMACEN Y DISTRIBUIDORA EL AUDAZ</t>
  </si>
  <si>
    <t>DISTRIBUIDORA A&amp;Y S.A</t>
  </si>
  <si>
    <t>DISTRIBUIDORA Y TRANSPORTE SANTANA</t>
  </si>
  <si>
    <t>DISTRIBUDORA DE FRUTA Y LEGUMBRES ROSAS</t>
  </si>
  <si>
    <t>DISTRIBUIDORA EL TRAVIESO</t>
  </si>
  <si>
    <t>FONDA TIA LILY</t>
  </si>
  <si>
    <t>FONDA NOEMI</t>
  </si>
  <si>
    <t>CAFETERÍA ESSENCES</t>
  </si>
  <si>
    <t>KIOSKO PARRILLOS</t>
  </si>
  <si>
    <t xml:space="preserve">AQUA SALON DE BELLEZA </t>
  </si>
  <si>
    <t>FONDA EL SAZON DE LOS MORALES</t>
  </si>
  <si>
    <t>FONDA DOÑA ANA MARIA</t>
  </si>
  <si>
    <t>BARBERIA ANDERSON</t>
  </si>
  <si>
    <t>ABARROTERIA LUIS</t>
  </si>
  <si>
    <t>ABARROTERIA ARCOIRIS</t>
  </si>
  <si>
    <t>ABARROTERIA EL GUABITO</t>
  </si>
  <si>
    <t>ABARROTERIA DOS SOCIOS NO.1</t>
  </si>
  <si>
    <t>ABARROTERIA GARCIA</t>
  </si>
  <si>
    <t>SASTRERIA  LORENZO</t>
  </si>
  <si>
    <t>RESTAURANTE NUEVO FUTURO</t>
  </si>
  <si>
    <t>HELADOS Y JUGOS JACKELITA</t>
  </si>
  <si>
    <t xml:space="preserve">ANY CAFE </t>
  </si>
  <si>
    <t>SALON YADI UNISEX</t>
  </si>
  <si>
    <t>FONDA LIRY</t>
  </si>
  <si>
    <t xml:space="preserve">FONDA YARI </t>
  </si>
  <si>
    <t>LAVAMATICO LAVANDERIA DRY &amp; CLEAN EXPRESS</t>
  </si>
  <si>
    <t>ABARROTERIA PACTO DE FE (PACTO DE FE)</t>
  </si>
  <si>
    <t>ABARROTERIA PABLITO</t>
  </si>
  <si>
    <t xml:space="preserve">ABARROTERIA YARIBEL </t>
  </si>
  <si>
    <t>ABARROTERIA HERMANOS VEGA</t>
  </si>
  <si>
    <t>ABARROTERIA J C</t>
  </si>
  <si>
    <t>ABARROTERIA NO ME OLVIDES (DONT FORGET ME)</t>
  </si>
  <si>
    <t>COPIAS Y DISEÑOS CHIRICANOS</t>
  </si>
  <si>
    <t>ABARROTERIA ANGEL</t>
  </si>
  <si>
    <t>REPRESENTACIONES SOREVETEC S.A.</t>
  </si>
  <si>
    <t>LEGUMBRES Y VERDURAS DON JUAN</t>
  </si>
  <si>
    <t>GABY SALON</t>
  </si>
  <si>
    <t>FONDA VIELKA</t>
  </si>
  <si>
    <t>FONDA MI CHOLITA LINDA</t>
  </si>
  <si>
    <t>LAVANDERIA EL CARMEN</t>
  </si>
  <si>
    <t xml:space="preserve">ABARROTERIA ESTHER J </t>
  </si>
  <si>
    <t>ABARROTERIA ROSITA</t>
  </si>
  <si>
    <t>ABARROTERIA 5 ESTRELLAS</t>
  </si>
  <si>
    <t>ABARROTERIA DIOS ES FIEL</t>
  </si>
  <si>
    <t>ABARROTERIA EL MILAGRO</t>
  </si>
  <si>
    <t>ABARROTERIA HNOS PEREZ</t>
  </si>
  <si>
    <t>AHUMADOS Y ASADOS LAS PALMITAS(REFRESQUERIA LAS PALMITAS)</t>
  </si>
  <si>
    <t xml:space="preserve">PANADERIA MOÑA#2 </t>
  </si>
  <si>
    <t>CAFE YIRETH</t>
  </si>
  <si>
    <t>LEGUMBRES Y FRUTAS MILA</t>
  </si>
  <si>
    <t>SHEKINAH SALON Y PROVEEDORA DE BELLEZA</t>
  </si>
  <si>
    <t>FONDA DIEGITO</t>
  </si>
  <si>
    <t>FONDA JAIRETH</t>
  </si>
  <si>
    <t>BARBERIA MARVIN</t>
  </si>
  <si>
    <t>ABARROTERIA ELIDA PATIÑO</t>
  </si>
  <si>
    <t>ABARROTERIA MASSIEL</t>
  </si>
  <si>
    <t>ABARROTERIA MARIA</t>
  </si>
  <si>
    <t>ABARROTERIA IDALIDES</t>
  </si>
  <si>
    <t>ABARROTERIA  PUEBLO NUEVO</t>
  </si>
  <si>
    <t>PELUQUERIA LA BELLEZA DEL SHADDAI</t>
  </si>
  <si>
    <t>MERCADITO LAS LOMAS</t>
  </si>
  <si>
    <t>CAFE SAM</t>
  </si>
  <si>
    <t>KIOSKO DELMI</t>
  </si>
  <si>
    <t>FONDA MITZY Y VIELKA</t>
  </si>
  <si>
    <t>FONDA DON NACHO</t>
  </si>
  <si>
    <t>FLORISTERÍA LAS CALAS</t>
  </si>
  <si>
    <t>REFRESQUERIA DELI FRUTAS</t>
  </si>
  <si>
    <t>ABARROTERIA GENESIS</t>
  </si>
  <si>
    <t>ABARROTERIA Y REFRESQUERIA KEIDA.A.KEISY</t>
  </si>
  <si>
    <t>ABARROTERIA MARISOL</t>
  </si>
  <si>
    <t>MS CAROL (ABARROTERIA CAROL)</t>
  </si>
  <si>
    <t>ABARROTERIA MIGUEL</t>
  </si>
  <si>
    <t>CARNICERIA DEL CID</t>
  </si>
  <si>
    <t>TALLER REFRI DAVID</t>
  </si>
  <si>
    <t>FONDA EYLIN BENDICION DE DIOS</t>
  </si>
  <si>
    <t>CAFE DE PANAMA</t>
  </si>
  <si>
    <t>KIOSKO HERMANOS ESPINOZA</t>
  </si>
  <si>
    <t>LA VIDA ES BELLA STUDIO SALON</t>
  </si>
  <si>
    <t>FONDA LA HUACA</t>
  </si>
  <si>
    <t>BARBERIA APOLO</t>
  </si>
  <si>
    <t>ABARROTERIA MAYUXI</t>
  </si>
  <si>
    <t>ABARROTERIA MI JARDIN</t>
  </si>
  <si>
    <t>ABARROTERIA HNOS CASTILLO</t>
  </si>
  <si>
    <t>ABARROTERIA CABRERA CANO</t>
  </si>
  <si>
    <t>ABARROTERIA YEVI</t>
  </si>
  <si>
    <t>REFRIELECTRICO</t>
  </si>
  <si>
    <t>ABARROTERIA EL TIO</t>
  </si>
  <si>
    <t>FRESAS GOURMENT</t>
  </si>
  <si>
    <t>GRANOS Y LEGUMBRES SANJUR</t>
  </si>
  <si>
    <t>FUENTES SALON</t>
  </si>
  <si>
    <t>FONDA LILY</t>
  </si>
  <si>
    <t>FONDA XIU LING</t>
  </si>
  <si>
    <t>LAVANDERIA CENTRAL</t>
  </si>
  <si>
    <t>ABARROTERIA ALISEE</t>
  </si>
  <si>
    <t>ABARROTERIA DON ELIECER</t>
  </si>
  <si>
    <t>ABARROTERIA KAMELITH</t>
  </si>
  <si>
    <t>ABARROTERIA ANAS</t>
  </si>
  <si>
    <t>ABARROTERIA HNOS. AISPURUA</t>
  </si>
  <si>
    <t>SOMBREROS Y ARTESANIAS LA COLOMBIANA</t>
  </si>
  <si>
    <t>PARRILLADA EL HANGAR</t>
  </si>
  <si>
    <t>KIOSKO CONTRERA</t>
  </si>
  <si>
    <t>VIANA POSTRES Y CAFE</t>
  </si>
  <si>
    <t>VENTAS DE LEGUMBRES MADELEYNE</t>
  </si>
  <si>
    <t>MUA SALON(MUA BY ÑOÑYS)</t>
  </si>
  <si>
    <t>FONDA EL RINCON CHIRICANO</t>
  </si>
  <si>
    <t>FONDA EL SABOR BOCATOREÑO</t>
  </si>
  <si>
    <t>BARBERIA LA BONKA</t>
  </si>
  <si>
    <t>ABARROTERIA YOLANDA</t>
  </si>
  <si>
    <t>ABARROTERIA MARTHA</t>
  </si>
  <si>
    <t>ABARROTERIA LEZCANO</t>
  </si>
  <si>
    <t>ABARROTERIA KIARA</t>
  </si>
  <si>
    <t>ABARROTERIA ILIANA</t>
  </si>
  <si>
    <t xml:space="preserve">EL SASTRE DE CHIRIQUI </t>
  </si>
  <si>
    <t>ABARROTERIA MAGALLON</t>
  </si>
  <si>
    <t>FUNERARIA VIRGEN DE GUADALUPE</t>
  </si>
  <si>
    <t>VIANCAFE</t>
  </si>
  <si>
    <t>KIOSKO LISSY</t>
  </si>
  <si>
    <t xml:space="preserve">FONDA EDITH V </t>
  </si>
  <si>
    <t xml:space="preserve">FONDA LOMA COLORADA </t>
  </si>
  <si>
    <t>FLORISABEL BAKERY</t>
  </si>
  <si>
    <t xml:space="preserve">JUGOS DE FRUTAS Y VEGETALES </t>
  </si>
  <si>
    <t>ABARROTERIA DIANA #2</t>
  </si>
  <si>
    <t>ABARROTERIA PITTY &amp; ORTIZ</t>
  </si>
  <si>
    <t>ABARROTERIA ISAAC</t>
  </si>
  <si>
    <t>ABARROTERIA SURY (ABARROTERIA SURI)</t>
  </si>
  <si>
    <t>ABARROTERIA LA NEGRITA</t>
  </si>
  <si>
    <t>PELUQUERIA Y ESTETICA ESMERALDA UNISEX</t>
  </si>
  <si>
    <t>RESTAURANTE KEVIN</t>
  </si>
  <si>
    <t>GELATO GELATERIA ITALIANA LA GHIOTTA</t>
  </si>
  <si>
    <t>FONDA CAFE LA ESPERANZA</t>
  </si>
  <si>
    <t xml:space="preserve">KIOSKO LA SOCIEDAD- EL CRUCE </t>
  </si>
  <si>
    <t>FONDA VIELKA,</t>
  </si>
  <si>
    <t xml:space="preserve">FONDA EL RINCON DE VICTOR </t>
  </si>
  <si>
    <t xml:space="preserve"> PANAPLANTAS, S.A.</t>
  </si>
  <si>
    <t>FRUT  COR  S A</t>
  </si>
  <si>
    <t>ABARROTERIA JOHENIS</t>
  </si>
  <si>
    <t>ABARROTERIA DAVID DANIEL</t>
  </si>
  <si>
    <t>ABARROTERIA GABRIELA</t>
  </si>
  <si>
    <t>ABARROTERIA LA PROSPERIDAD</t>
  </si>
  <si>
    <t xml:space="preserve">ABARROTERIA BRISAS DE BAMBITO </t>
  </si>
  <si>
    <t>SERVICIOS TECNICOS DE ELECTRICIDAD Y REFRIGERACION (SERTER)</t>
  </si>
  <si>
    <t>YUMALLA S RESTAURANTE</t>
  </si>
  <si>
    <t>BAR LA FUENTE</t>
  </si>
  <si>
    <t>MINISUPER &amp; CYBERCAFE FANNY</t>
  </si>
  <si>
    <t>KIOSKO SOL DELICIAS</t>
  </si>
  <si>
    <t>FONDA LOS NAVARROS</t>
  </si>
  <si>
    <t xml:space="preserve">FONDA DELICIAS DE LA TIA </t>
  </si>
  <si>
    <t>LAVAFAST CORP.</t>
  </si>
  <si>
    <t>ABARROTERIA POPPY</t>
  </si>
  <si>
    <t>ABARROTERIA SANAHI</t>
  </si>
  <si>
    <t>ABARROTERIA COLINDRES</t>
  </si>
  <si>
    <t>ABARROTERIA ELENA</t>
  </si>
  <si>
    <t>ABARROTERIA NADIUSKA</t>
  </si>
  <si>
    <t>ABARROTERIA SONIAMAR</t>
  </si>
  <si>
    <t xml:space="preserve">PIZZERIA Y PARRILLADA DANNY </t>
  </si>
  <si>
    <t>ABARROTERIA ANAROSA</t>
  </si>
  <si>
    <t>HAILEY'S</t>
  </si>
  <si>
    <t>CAFE YASSMIN</t>
  </si>
  <si>
    <t>LA PARRILLADA Y SALON NUEVA ESPERANZA</t>
  </si>
  <si>
    <t xml:space="preserve">FONDA DOÑA LUCY </t>
  </si>
  <si>
    <t xml:space="preserve">FONDA ELIANIZ </t>
  </si>
  <si>
    <t>LAVANDERIA PANAMA REAL</t>
  </si>
  <si>
    <t>ABARROTERIA DARIS</t>
  </si>
  <si>
    <t>ABARROTERIA OSTIN AXEL</t>
  </si>
  <si>
    <t>ABARROTERIA LILI (ABARROTERIA LILI RIOS)</t>
  </si>
  <si>
    <t>ABARROTERIA MI PATRONA</t>
  </si>
  <si>
    <t>ABARROTERIA QUINTERO</t>
  </si>
  <si>
    <t>COSTURA Y ARTESANIAS TIPICAS</t>
  </si>
  <si>
    <t>CLINICA DENTAL DR. JOSE BARUCO</t>
  </si>
  <si>
    <t xml:space="preserve">CLINICA MEDICA FENIX </t>
  </si>
  <si>
    <t>CLINICA SALUD &amp; VIDA</t>
  </si>
  <si>
    <t>CLINICA Y LABORATORIO CENTRAL</t>
  </si>
  <si>
    <t>CLINICAS ASOCIADAS DE CHIRIQUI</t>
  </si>
  <si>
    <t>CLINICA DENTAL CALVO</t>
  </si>
  <si>
    <t>CLINICA MEDICO Y DENTAL SAN ANTONIO</t>
  </si>
  <si>
    <t>CLINICA Y LABORATORIO GABRIEL</t>
  </si>
  <si>
    <t>DR, JOSE ALFONSO MALCA X./ CLINICA DE ARTE DENTAL</t>
  </si>
  <si>
    <t>CLINICA MEDIFAM</t>
  </si>
  <si>
    <t>LABORATORIO DENTAL</t>
  </si>
  <si>
    <t>ABOGADOS ATORNERY  AT LAW</t>
  </si>
  <si>
    <t>COLEGIO LABORAL PARTICULAR NOCTURNO DE ORIENTE</t>
  </si>
  <si>
    <t>LABORATORIO CLINICO DE SEDAS CHIRIQUI, S.A.</t>
  </si>
  <si>
    <t>GABRIELA APARICIO (ABOGADOS)</t>
  </si>
  <si>
    <t>LABORATORIO ECONO DIESEL</t>
  </si>
  <si>
    <t xml:space="preserve">LABORATORIO CLINICO NATASHA </t>
  </si>
  <si>
    <t>M &amp; L  MUÑOZ &amp; DELEON ABOGADOS</t>
  </si>
  <si>
    <t>INMUNOLAB LABORATORIO CLINICO</t>
  </si>
  <si>
    <t>RESTAURANTE NUEVA CALIFORNIA NUEVOS SABORES</t>
  </si>
  <si>
    <t>VENTAS REY DE REYES</t>
  </si>
  <si>
    <t>VENTAS Y CREACIONES JARHE</t>
  </si>
  <si>
    <t>VENTAS YETELL</t>
  </si>
  <si>
    <t>VENTAS YANSIS</t>
  </si>
  <si>
    <t xml:space="preserve">VENTAS DE RASPADURAS FELIX SANCHEZ </t>
  </si>
  <si>
    <t>CENTRO DE VENTAS AMALIA</t>
  </si>
  <si>
    <t>VENTAS CABALLERO</t>
  </si>
  <si>
    <t>VENTAS A C M, S. A.</t>
  </si>
  <si>
    <t>ROVIRA VENTAS DE LUCES Y ACESORIOS</t>
  </si>
  <si>
    <t>AGROVENTAS D&amp;M</t>
  </si>
  <si>
    <t>TALLER Y VENTAS DE MADERA ANEL</t>
  </si>
  <si>
    <t>SUPERMERCADO MINI MAXI</t>
  </si>
  <si>
    <t>SUPERMERCADO HERNANDEZ</t>
  </si>
  <si>
    <t>TALLER JULIAN</t>
  </si>
  <si>
    <t>REPUESTOS &amp; TALLER TONY</t>
  </si>
  <si>
    <t>TALLER BOLITA</t>
  </si>
  <si>
    <t>TALLER DE SOLDADURA Y MULTISERVICIOS CALDERON</t>
  </si>
  <si>
    <t>TALLER  GARCIA</t>
  </si>
  <si>
    <t>TALLER MARCO</t>
  </si>
  <si>
    <t xml:space="preserve">TALLER J QUIEL </t>
  </si>
  <si>
    <t>TALLER Y SERVICIOS O R G</t>
  </si>
  <si>
    <t>TALLER Y SERVICIO BRAM S.A</t>
  </si>
  <si>
    <t>TALLER DE EBANISTERIA ILIANYS</t>
  </si>
  <si>
    <t>TALLER Y CHAPISTERIA CUCHO</t>
  </si>
  <si>
    <t>TALLER BARRIA  -S/N</t>
  </si>
  <si>
    <t>TALLER JERRY</t>
  </si>
  <si>
    <t>TALLER LA TIA</t>
  </si>
  <si>
    <t>TALLER DON LUCHO</t>
  </si>
  <si>
    <t>TALLER DE BATERIAS DIOMEDES MORALES</t>
  </si>
  <si>
    <t>TALLER ALEXIS</t>
  </si>
  <si>
    <t>TALLER DE EBANISTERÍA  TIOFILITO</t>
  </si>
  <si>
    <t xml:space="preserve">TALLER Y CHAPISTERIA SPECIAL SERVICE </t>
  </si>
  <si>
    <t>TALLER GIL BLAS</t>
  </si>
  <si>
    <t>TALLER  BOMZ</t>
  </si>
  <si>
    <t>TALLER PANAMERICANO, S. A.</t>
  </si>
  <si>
    <t>TALLER CARLOS</t>
  </si>
  <si>
    <t>TALLER RICKY PERFOMANCE</t>
  </si>
  <si>
    <t>TALLER DE EBANISTERIA KELVIN</t>
  </si>
  <si>
    <t>TALLER EDMAR</t>
  </si>
  <si>
    <t>TALLER BARRIA GUERRA</t>
  </si>
  <si>
    <t>TALLER ELECTRIMECANICO NANO</t>
  </si>
  <si>
    <t>TALLER SALDAÑA VA</t>
  </si>
  <si>
    <t xml:space="preserve">TALLER MIRANDA </t>
  </si>
  <si>
    <t>TALLER ERICK J</t>
  </si>
  <si>
    <t>TALLER DE EBANISTERIA HERMANOS RODRIGUEZ</t>
  </si>
  <si>
    <t>TALLER VINDA</t>
  </si>
  <si>
    <t>BEATRIZ IVETH GONZALEZ ZAPATA</t>
  </si>
  <si>
    <t>RESTAURANTE IVET</t>
  </si>
  <si>
    <t>ROPA AMERICANA ANAIS</t>
  </si>
  <si>
    <t>INTERNET ACTIVO</t>
  </si>
  <si>
    <t>ALUMINIOS Y VIDRIOS RANSACA</t>
  </si>
  <si>
    <t>GANADERA SANTA RHITA</t>
  </si>
  <si>
    <t>GANADERA CERRO COLORADO, S.A.</t>
  </si>
  <si>
    <t>GANADERA ERASMO Y ADELICIA SA</t>
  </si>
  <si>
    <t>DISTRIBUIDORA VIVA PANAMA DUTY FREE</t>
  </si>
  <si>
    <t>DISTRIBUIDORA DE MATERIALES IVAN</t>
  </si>
  <si>
    <t>PROCESADORA Y DISTRIBUIDORA DEL PAIS</t>
  </si>
  <si>
    <t>DISTRIBUIDORA VICENTE</t>
  </si>
  <si>
    <t>DISTRIBUIDORA PROFARMA, S.A.</t>
  </si>
  <si>
    <t>DISTRIBUIDORA DON LUCHO,</t>
  </si>
  <si>
    <t>DISTRIBUIDORA CONTINENTAL</t>
  </si>
  <si>
    <t>DISTRIBUIDORA DE SODAS Y CERVEZAS JOSUE</t>
  </si>
  <si>
    <t>DISTRIBUIDORA DE SODA Y CERVEZA</t>
  </si>
  <si>
    <t>DISTRIBUIDORA DOMINGUEZ CABALLERO</t>
  </si>
  <si>
    <t>FONDA EL BAJAREQUE</t>
  </si>
  <si>
    <t>IMPRESIONES Y BORDADOS WEN</t>
  </si>
  <si>
    <t>RESTAURANTE KIOSKO TINAJAS</t>
  </si>
  <si>
    <t>FONDA ALLA DONDE NICO</t>
  </si>
  <si>
    <t>FONDA DONDE MAYO</t>
  </si>
  <si>
    <t>FONDA MANÁ</t>
  </si>
  <si>
    <t>BARBERIA EIDER</t>
  </si>
  <si>
    <t>ABARROTERIA HABDIR #2</t>
  </si>
  <si>
    <t>ABARROTERIA DAPNE</t>
  </si>
  <si>
    <t>ABARROTERIA ERICK</t>
  </si>
  <si>
    <t xml:space="preserve">ABARROTERIA DON AGUILA </t>
  </si>
  <si>
    <t>ABARROTERIA NAIVELYS</t>
  </si>
  <si>
    <t>SASTRERIA ANTONIO</t>
  </si>
  <si>
    <t>ABARROTERIA TILCIA</t>
  </si>
  <si>
    <t>AGV CONSULTING, S.A.</t>
  </si>
  <si>
    <t>SIN NOMBRE (VENTA DE LEGUMBRES Y VERDURAS)</t>
  </si>
  <si>
    <t xml:space="preserve">CONSENTIDAS SALON </t>
  </si>
  <si>
    <t>FONDA MAICHBEL</t>
  </si>
  <si>
    <t>FONDA DE COMIDAS CASERAS M.G.A</t>
  </si>
  <si>
    <t>LAVANDERIA CHIRIQUÍ DRY CLEANER</t>
  </si>
  <si>
    <t>ABARROTERIA YARLENIS</t>
  </si>
  <si>
    <t>ABARROTERIA SANCHEZ</t>
  </si>
  <si>
    <t>ABARROTERIA Y INVERSIONES SAM</t>
  </si>
  <si>
    <t>ABARROTERIA MIRANDA ARIAS</t>
  </si>
  <si>
    <t>ABARROTERIA ZARIT</t>
  </si>
  <si>
    <t>ABARROTERIA REY DE REYES</t>
  </si>
  <si>
    <t>REFRIGERACION PALACIOS BOLIVAR</t>
  </si>
  <si>
    <t>MERCADITO DE LEGUMBRES DON ALEJO</t>
  </si>
  <si>
    <t>DINASTIA COQUEÑA</t>
  </si>
  <si>
    <t>GRANOS Y LEGUMBRES TOÑO</t>
  </si>
  <si>
    <t>SALON'S ODELIS</t>
  </si>
  <si>
    <t>FONDA LA CRUZ DE SIOGUI</t>
  </si>
  <si>
    <t>FONDA SENDEROS DEL SABOR</t>
  </si>
  <si>
    <t>BARBERIA VEGA</t>
  </si>
  <si>
    <t xml:space="preserve">ABARROTERIA ANNIS </t>
  </si>
  <si>
    <t>ABARROTERIA YIYA</t>
  </si>
  <si>
    <t>ABARROTERIA HERMANOS PITTI</t>
  </si>
  <si>
    <t xml:space="preserve">ABARROTERIA BRITHANY </t>
  </si>
  <si>
    <t>ABARROTERIA LIZ MIGUEL</t>
  </si>
  <si>
    <t>ABARROTERIA ANGEL PUEBLO NUEVO</t>
  </si>
  <si>
    <t>PARRILLADA Y REFRESQUERIA DOÑA MARY</t>
  </si>
  <si>
    <t xml:space="preserve">REFRESQUERIA MORENO &amp; SALDAÑA </t>
  </si>
  <si>
    <t xml:space="preserve">THE CAFELIER </t>
  </si>
  <si>
    <t>LAVADORA DE LEGUMBRES  -S/N</t>
  </si>
  <si>
    <t>SUHELEN SALON UNISEX</t>
  </si>
  <si>
    <t>FONDA COCINA CRIOLLA LUCIARIEL</t>
  </si>
  <si>
    <t>FONDA DOÑA MELIDA</t>
  </si>
  <si>
    <t>BARBERIA (BARBERIA JEHOVA-JIREH)</t>
  </si>
  <si>
    <t xml:space="preserve">ABARROTERIA VILMA </t>
  </si>
  <si>
    <t>ABARROTERIA ROSITA GH</t>
  </si>
  <si>
    <t>ABARROTERIA  CHRIST</t>
  </si>
  <si>
    <t>ABARROTERIA EL ESFUERZO</t>
  </si>
  <si>
    <t>ABARROTERIA MAXI</t>
  </si>
  <si>
    <t>RESTAURANTE EL SABROSON #4</t>
  </si>
  <si>
    <t>EVENTOS EL TABURETE</t>
  </si>
  <si>
    <t>CAFETERIA LUZ CLARITA</t>
  </si>
  <si>
    <t>KIOSKO Y REFRESQUERIA BEBY´S</t>
  </si>
  <si>
    <t>FONDA DOÑA CHAVELITA</t>
  </si>
  <si>
    <t>FONDA IXELA</t>
  </si>
  <si>
    <t>SIN NOMBRE (VENTA DE PLANTAS)</t>
  </si>
  <si>
    <t>VERDURAS MAS FRUTAS DAVIS</t>
  </si>
  <si>
    <t>ABARROTERIA VEGA</t>
  </si>
  <si>
    <t xml:space="preserve">ABARROTERIA VIELKA 1 </t>
  </si>
  <si>
    <t>ABARROTERIA LOUANA</t>
  </si>
  <si>
    <t>ABARROTERIA JAQUELINE</t>
  </si>
  <si>
    <t>ABARROTERIA EISY</t>
  </si>
  <si>
    <t>PELUQUERIA AMANDA</t>
  </si>
  <si>
    <t xml:space="preserve">ASADOS DON PINTO </t>
  </si>
  <si>
    <t>CAFETERIA DAY TO DAY</t>
  </si>
  <si>
    <t>MINI CAFE CHANITA</t>
  </si>
  <si>
    <t>KIOSKO HERMANOS MIRANDA</t>
  </si>
  <si>
    <t>ISABEL BEAUTY SALON</t>
  </si>
  <si>
    <t>FONDA CRIOLLA LA RANCHA</t>
  </si>
  <si>
    <t>FRUTAS FRESCAS OSCAR</t>
  </si>
  <si>
    <t>ABARROTERIA SALLYS</t>
  </si>
  <si>
    <t>ABARROTERIA ZULEBELLA (ABARROTERIA ZULEYBELLA)</t>
  </si>
  <si>
    <t>ABARROTERIA HERMANAS QUINTERO</t>
  </si>
  <si>
    <t>ABARROTERIA ROSEMARY</t>
  </si>
  <si>
    <t xml:space="preserve">ABARROTERIA LA ABUELA </t>
  </si>
  <si>
    <t xml:space="preserve">REFRIGERACION LA NEGRA </t>
  </si>
  <si>
    <t>BARBERIA TITO</t>
  </si>
  <si>
    <t>DELICIAS AIDALY</t>
  </si>
  <si>
    <t>FRUTAS Y LEGUMBRE BRIYITH</t>
  </si>
  <si>
    <t>SALON DE BELLEZA MARUJA</t>
  </si>
  <si>
    <t>FONDA LA BENDICION SI</t>
  </si>
  <si>
    <t>FONDA MAILYN</t>
  </si>
  <si>
    <t>BARBERIA GHETTO STYLE</t>
  </si>
  <si>
    <t>ABARROTERIA YENAILYS</t>
  </si>
  <si>
    <t>ABARROTERIA MARTINEZ</t>
  </si>
  <si>
    <t>ABARROTERIA BENDICION DE DIOS</t>
  </si>
  <si>
    <t>ABARROTERIA JOSE</t>
  </si>
  <si>
    <t>ABARROTERIA LA PERLA</t>
  </si>
  <si>
    <t xml:space="preserve">ARTESANIAS MANOS DE MI PUEBLO </t>
  </si>
  <si>
    <t>PARRILLADA CERRO VIEJO</t>
  </si>
  <si>
    <t>FONDA SWANY</t>
  </si>
  <si>
    <t>CAFE DON GERMAN</t>
  </si>
  <si>
    <t>KIOSKO VANE</t>
  </si>
  <si>
    <t>FABIO STYLE SALON</t>
  </si>
  <si>
    <t>FONDA LA CHAVELA</t>
  </si>
  <si>
    <t xml:space="preserve">FONDA IZABELLA </t>
  </si>
  <si>
    <t>BARBERIA MARANATHA</t>
  </si>
  <si>
    <t>ABARROTERIA KIMBERLY</t>
  </si>
  <si>
    <t xml:space="preserve">ABARROTERIA LOS TRES HERMANOS </t>
  </si>
  <si>
    <t>ABARROTERIA LEIMAR</t>
  </si>
  <si>
    <t>ABARROTERIA SHERIL</t>
  </si>
  <si>
    <t>ABARROTERIA KATHIA</t>
  </si>
  <si>
    <t>CARNICERIA SUIRA</t>
  </si>
  <si>
    <t>RESTAURANTE LA HUACA</t>
  </si>
  <si>
    <t>AGRICOLA CANTA GALLO S A</t>
  </si>
  <si>
    <t>FONDA CAFECITOS</t>
  </si>
  <si>
    <t>KIOSKO ADIELIM</t>
  </si>
  <si>
    <t>FONDA KEITLIN</t>
  </si>
  <si>
    <t>FONDA EL CARRITO DE MILI Y EL ESPAÑOL</t>
  </si>
  <si>
    <t>PLANTAS Y FLORES TROPICALES DE CHIRIQUI, S.A.</t>
  </si>
  <si>
    <t>DELIFRUT YADIRA</t>
  </si>
  <si>
    <t>ABARROTERIA EL PUEBLO</t>
  </si>
  <si>
    <t>ABARROTERIA ZEDEMAR</t>
  </si>
  <si>
    <t>ABARROTERIA RODRIGUEZ</t>
  </si>
  <si>
    <t>ABARROTERIA MAYELIN</t>
  </si>
  <si>
    <t>ABARROTERIA LAS NUBES</t>
  </si>
  <si>
    <t>A.S. IMPRESIONES, COPIAS Y MAS</t>
  </si>
  <si>
    <t>RESTAURANTE LUCKY CHINA</t>
  </si>
  <si>
    <t>EL ROBALITO</t>
  </si>
  <si>
    <t xml:space="preserve">CAFE TIO TAVE </t>
  </si>
  <si>
    <t>SALON DE BELLEZA Y BARBERIA EBENEZER</t>
  </si>
  <si>
    <t>FONDA M Y D</t>
  </si>
  <si>
    <t>FONDA LIZ</t>
  </si>
  <si>
    <t>LAVAMATICO EMMANUEL</t>
  </si>
  <si>
    <t>ABARROTERIA ROMA</t>
  </si>
  <si>
    <t>ABARROTERIA HERMANOS FLORES</t>
  </si>
  <si>
    <t>ABARROTERIA EL MAIZ</t>
  </si>
  <si>
    <t>ABARROTERIA SHADAY (ABARROTERIA SHADA - DIOS CON NOSOTROS)</t>
  </si>
  <si>
    <t>ABARROTERIA CLARISSA</t>
  </si>
  <si>
    <t>VERAGUAS</t>
  </si>
  <si>
    <t>RESTAURANTE EL BUGABEÑO</t>
  </si>
  <si>
    <t xml:space="preserve">EL PODER DE LAS FRUTAS </t>
  </si>
  <si>
    <t>MULTICAFE NO.1</t>
  </si>
  <si>
    <t>KIOSKO DOÑA OFE</t>
  </si>
  <si>
    <t>FONDA DELICIAS IRIS</t>
  </si>
  <si>
    <t>LA FONDA DE DOÑA IRMA</t>
  </si>
  <si>
    <t>LAVANDERIA VIANKA</t>
  </si>
  <si>
    <t>ABARROTERIA LAS DOS JULIANAS</t>
  </si>
  <si>
    <t>ABARROTERIA HERMANOS PITTY</t>
  </si>
  <si>
    <t>ABARROTERIA JIREHT</t>
  </si>
  <si>
    <t>ABARROTERIA DAISY</t>
  </si>
  <si>
    <t>ABARROTERIA ANA MARIA DELGADO</t>
  </si>
  <si>
    <t>ABARROTERIA ALISON</t>
  </si>
  <si>
    <t>COPIAS CHIRICANAS</t>
  </si>
  <si>
    <t>PANADERIA Y DULCERIA EL BUEN GUSTO</t>
  </si>
  <si>
    <t>MINI CAFE RAUL, S.A.</t>
  </si>
  <si>
    <t xml:space="preserve">LEGUMBRES Y FRUTAS VICTORIA </t>
  </si>
  <si>
    <t>YARIS SALON</t>
  </si>
  <si>
    <t>FONDA EL PATACON</t>
  </si>
  <si>
    <t>FONDA TIPICA ABI</t>
  </si>
  <si>
    <t>BARBERIA JR (ROBERTO JR)</t>
  </si>
  <si>
    <t>ABARROTERIA YARA</t>
  </si>
  <si>
    <t>ABARROTERIA LA UNION</t>
  </si>
  <si>
    <t>ABARROTERIA  IVANYS</t>
  </si>
  <si>
    <t>ABARROTERIA YANETH</t>
  </si>
  <si>
    <t>ABARROTERIA EMELY</t>
  </si>
  <si>
    <t>ABARROTERIA HIERBA BUENA</t>
  </si>
  <si>
    <t>PARRILLADA Y MARISQUERIA LOS DELFINES</t>
  </si>
  <si>
    <t>FONDA LOS PIRULOS</t>
  </si>
  <si>
    <t>CAFE KOTOWA S A</t>
  </si>
  <si>
    <t xml:space="preserve">KIOSKO LAS NENAS 1 </t>
  </si>
  <si>
    <t xml:space="preserve">GINNEL SALON </t>
  </si>
  <si>
    <t>FONDA CHEFI</t>
  </si>
  <si>
    <t>FONDA MABELIS</t>
  </si>
  <si>
    <t xml:space="preserve"> DE BARBERIA KINGSDON</t>
  </si>
  <si>
    <t>ABARROTERIA 10 HERMANOS</t>
  </si>
  <si>
    <t>ABARROTERIA NELLYS</t>
  </si>
  <si>
    <t>ABARROTERIA JURADO</t>
  </si>
  <si>
    <t>ABARROTERIA VILLA</t>
  </si>
  <si>
    <t>ABARROTERIA LOS LAGOS</t>
  </si>
  <si>
    <t>SASTRERIA Y VENTAS MAIKA</t>
  </si>
  <si>
    <t>REFRESQUERIA Y ARTESANIAS EL GIRASOL</t>
  </si>
  <si>
    <t>MERCADITO BRILLANTE</t>
  </si>
  <si>
    <t>MULTI-CAFE</t>
  </si>
  <si>
    <t>KIOSKO YAMILETH</t>
  </si>
  <si>
    <t>FONDA LA TERMINAL</t>
  </si>
  <si>
    <t>FONDA DOÑA LUZ</t>
  </si>
  <si>
    <t>HELADERIA ANA'S SWEET</t>
  </si>
  <si>
    <t>BARBERIA LA GIGANTE</t>
  </si>
  <si>
    <t>ABARROTERIA MARLENE</t>
  </si>
  <si>
    <t>ABARROTERIA JM</t>
  </si>
  <si>
    <t xml:space="preserve">ABARROTERIA MABYS LISBETH </t>
  </si>
  <si>
    <t>ABARROTERIA HNOS LARA</t>
  </si>
  <si>
    <t>ABARROTERIA JAIME</t>
  </si>
  <si>
    <t>ABARROTERIA GLADYS</t>
  </si>
  <si>
    <t>3/4 RESTAURANT</t>
  </si>
  <si>
    <t>VENTAS DE VERDURAS Y LEGUMBRES</t>
  </si>
  <si>
    <t>SALON BALBOA</t>
  </si>
  <si>
    <t>FONDA PUNTO CRIOLLO</t>
  </si>
  <si>
    <t>FONDA SILOE</t>
  </si>
  <si>
    <t>LAVAMATICO FONTANA</t>
  </si>
  <si>
    <t>ABARROTERIA DAYSE</t>
  </si>
  <si>
    <t>ABARROTERIA MICHEL</t>
  </si>
  <si>
    <t>ABARROTERIA ARAUZ</t>
  </si>
  <si>
    <t xml:space="preserve">ABARROTERIA NAVIA </t>
  </si>
  <si>
    <t>ABARROTERIA BENEDICTO</t>
  </si>
  <si>
    <t>ABARROTERIA EYLIN</t>
  </si>
  <si>
    <t>REFRIGERACION NOVA</t>
  </si>
  <si>
    <t>PARRILLADA CHELITA</t>
  </si>
  <si>
    <t>PIZZERIA BRASSILERISIMO</t>
  </si>
  <si>
    <t>LILA CAFE</t>
  </si>
  <si>
    <t>KIOSKO XIOMI</t>
  </si>
  <si>
    <t xml:space="preserve">FONDA DORIS GONZALES </t>
  </si>
  <si>
    <t>LAVA CAR NISSI</t>
  </si>
  <si>
    <t>ABARROTERIA J&amp;J</t>
  </si>
  <si>
    <t>ABARROTERIA MARIO</t>
  </si>
  <si>
    <t>ABARROTERIA ZELI</t>
  </si>
  <si>
    <t>ABARROTERIA YASMIRA</t>
  </si>
  <si>
    <t>ABARROTERIA KRIZT</t>
  </si>
  <si>
    <t>ABARROTERIA GISSELLE</t>
  </si>
  <si>
    <t>PARRILLADA PURO SABOR</t>
  </si>
  <si>
    <t>FONDA HERMANOS LARA</t>
  </si>
  <si>
    <t>SOHEL CAFE</t>
  </si>
  <si>
    <t>KIOSKO SAN MIGUEL ARCANGEL</t>
  </si>
  <si>
    <t>SALON DE BELLEZA NOHELIS</t>
  </si>
  <si>
    <t xml:space="preserve">FONDA EL RICONCITO DEL BUEN GUSTO </t>
  </si>
  <si>
    <t>FONDA CINTHIAS</t>
  </si>
  <si>
    <t>BARBERIA UNISEX LEON DE JUDA</t>
  </si>
  <si>
    <t xml:space="preserve">ABARROTERIA LA ESQUINA </t>
  </si>
  <si>
    <t>ABARROTERIA ORTEGA</t>
  </si>
  <si>
    <t>ABARROTERIA DELSY</t>
  </si>
  <si>
    <t>ABARROTERIA LISY</t>
  </si>
  <si>
    <t>ABARROTERIA ITA</t>
  </si>
  <si>
    <t>KIOSKO SUIRA</t>
  </si>
  <si>
    <t>FONDA YOKI</t>
  </si>
  <si>
    <t>FONDA BERTY</t>
  </si>
  <si>
    <t>PENSION RESIDENCIAL NUEVA FLORIDA</t>
  </si>
  <si>
    <t>DELI FRUTAS</t>
  </si>
  <si>
    <t>ABARROTERIA MARY</t>
  </si>
  <si>
    <t>ABARROTERIA VICTORIA</t>
  </si>
  <si>
    <t>ABARROTERIA LOURDES MILAGROS</t>
  </si>
  <si>
    <t>ABARROTERIA MARANATHA</t>
  </si>
  <si>
    <t>ARTESANIAS Y ACCESORIOS JAILY</t>
  </si>
  <si>
    <t>BARBERIA Y SALA DE ESTETICA ABEL</t>
  </si>
  <si>
    <t>COMO TE GUSTA COFFE ROASTER &amp; SHOP</t>
  </si>
  <si>
    <t xml:space="preserve">FRUTAS, LEGUMBRES, VERDURAS Y GRANOS DOÑA ANA </t>
  </si>
  <si>
    <t>FANN'YS SALON</t>
  </si>
  <si>
    <t>FONDA LA BENDICION</t>
  </si>
  <si>
    <t>FONDA DOLA CHELY</t>
  </si>
  <si>
    <t>BARBERIA BUEN AMIGO</t>
  </si>
  <si>
    <t>ABARROTERIA MELY</t>
  </si>
  <si>
    <t>ABARROTERIA PUMA</t>
  </si>
  <si>
    <t>ABARROTERIA CAMILO</t>
  </si>
  <si>
    <t>ABARROTERIA LUISA</t>
  </si>
  <si>
    <t>ABARROTERIA HNOS DE GRACIA</t>
  </si>
  <si>
    <t>ABARROTERIA SYR</t>
  </si>
  <si>
    <t>PARRILLADA CAÑA BLANCA</t>
  </si>
  <si>
    <t>RESTAURANTE Y BAR CHEFI</t>
  </si>
  <si>
    <t>CHICHEMES ALLAN-HER</t>
  </si>
  <si>
    <t>CAFE LA CASA AJENA</t>
  </si>
  <si>
    <t xml:space="preserve">MY SKIN ESTHETIC &amp; BEAUTY SALON </t>
  </si>
  <si>
    <t>FONDA WINTERFELL</t>
  </si>
  <si>
    <t xml:space="preserve">LAVAUTO NITIDO </t>
  </si>
  <si>
    <t>ABARROTERIA JUSTY</t>
  </si>
  <si>
    <t>ABARROTERIA JANETH</t>
  </si>
  <si>
    <t>ABARROTERIA ELYZ</t>
  </si>
  <si>
    <t>ABARROTERIA LOKI</t>
  </si>
  <si>
    <t xml:space="preserve">ABARROTERIA ANA </t>
  </si>
  <si>
    <t>SASTRERÍA EFRAIN ESPINOSA</t>
  </si>
  <si>
    <t>FONDA BRISAS DOLEGUEÑAS</t>
  </si>
  <si>
    <t>POLLOS SOFY</t>
  </si>
  <si>
    <t>RESTAURANTE Y CAFE MANA</t>
  </si>
  <si>
    <t xml:space="preserve">KIOSKO SHARK </t>
  </si>
  <si>
    <t xml:space="preserve">FONDA CHAVELA </t>
  </si>
  <si>
    <t>FONDA YEISELIN</t>
  </si>
  <si>
    <t>HELADERIA Y DULCERIA ALINA DELUXE</t>
  </si>
  <si>
    <t>BARBERIA AJ</t>
  </si>
  <si>
    <t>ABARROTERIA LA GRAN VICTORIA</t>
  </si>
  <si>
    <t xml:space="preserve">ABARROTERIA ALISSON </t>
  </si>
  <si>
    <t xml:space="preserve">ABARROTERIA SOL Y MAR </t>
  </si>
  <si>
    <t>ABARROTERIA HERMANOS ARAUZ</t>
  </si>
  <si>
    <t>ABARROTERIA EBEN EZER 05</t>
  </si>
  <si>
    <t>LUIS 16 PELUQUERIA UNISEX #2</t>
  </si>
  <si>
    <t>RESTAURANTE LOS AMIGOS</t>
  </si>
  <si>
    <t>BOKADO'S FAMILY RESTAURANT</t>
  </si>
  <si>
    <t>CAFE LA CABAÑA</t>
  </si>
  <si>
    <t>SALON DE BELLEZA IT NAILS</t>
  </si>
  <si>
    <t>FONDA LOS PRIMOS</t>
  </si>
  <si>
    <t>FONDA YELIS</t>
  </si>
  <si>
    <t>LAVANDERIA BOQUETE</t>
  </si>
  <si>
    <t>ABARROTERIA FAMILIA MC</t>
  </si>
  <si>
    <t>ABARROTERIA AURY</t>
  </si>
  <si>
    <t>ABARROTERIA JEAN CARLOS TAPIA</t>
  </si>
  <si>
    <t xml:space="preserve">ABARROTERIA LOS ABANICOS #3 </t>
  </si>
  <si>
    <t>ABARROTERIA KEVIN</t>
  </si>
  <si>
    <t>ABARROTERIA DAIMAR</t>
  </si>
  <si>
    <t>REPUESTOS Y REFRIGERACION ACOSTA</t>
  </si>
  <si>
    <t>ABARROTERIA ECONOMICA</t>
  </si>
  <si>
    <t>COPY ONE</t>
  </si>
  <si>
    <t>LEGUMBRES ROSALBA</t>
  </si>
  <si>
    <t>SASHAMAGODE SALON</t>
  </si>
  <si>
    <t>FONDA YUSEELI</t>
  </si>
  <si>
    <t xml:space="preserve">FONDA SALEM EXPRESS </t>
  </si>
  <si>
    <t>BARBERIA NEW TALENTS</t>
  </si>
  <si>
    <t>ABARROTERIA VARGAS</t>
  </si>
  <si>
    <t>ABARROTERIA ANGIE</t>
  </si>
  <si>
    <t>ABARROTERIA JUDITH</t>
  </si>
  <si>
    <t>ABARROTERIA LA AMISTAD</t>
  </si>
  <si>
    <t>ABARROTERIA LA PAZ</t>
  </si>
  <si>
    <t>ABARROTERIA YARIS</t>
  </si>
  <si>
    <t>PARRILLADA LA PERLA NEGRA</t>
  </si>
  <si>
    <t>PANADERIA CALIFORNIA</t>
  </si>
  <si>
    <t xml:space="preserve">MARIANNES CAFE, S.A.  </t>
  </si>
  <si>
    <t xml:space="preserve">COMPRA Y VENTA DE LEGUMBRES DANIEL GONZALES </t>
  </si>
  <si>
    <t>NELY SALON</t>
  </si>
  <si>
    <t>FONDA DONDE AILIN</t>
  </si>
  <si>
    <t>FONDA RINOSS</t>
  </si>
  <si>
    <t>BARBERIA IRIS</t>
  </si>
  <si>
    <t>ABARROTERIA JIMENEZ</t>
  </si>
  <si>
    <t>ABARROTERIA AMIR</t>
  </si>
  <si>
    <t>ABARROTERIA EL MANGOTIN</t>
  </si>
  <si>
    <t>ABARROTERIA ASHLIE</t>
  </si>
  <si>
    <t>ABARROTERIA NATI</t>
  </si>
  <si>
    <t>CHECHERES Y ARTESANIAS DE VOLCAN</t>
  </si>
  <si>
    <t xml:space="preserve">ABARROTERIA SILVIA </t>
  </si>
  <si>
    <t>PANADERIA TIERRAS ALTAS</t>
  </si>
  <si>
    <t>MR MARKET CAFE</t>
  </si>
  <si>
    <t>VENTA Y COMPRA DE LEGUMBRES FANICHEEL</t>
  </si>
  <si>
    <t>SALON DE BELLEZA KARINA</t>
  </si>
  <si>
    <t>FONDA LA ESQUINA DE FRANCIA</t>
  </si>
  <si>
    <t>FONDA DELICIAS ENEIDA</t>
  </si>
  <si>
    <t>BARBERIA LUZ Y VIDA</t>
  </si>
  <si>
    <t>ABARROTERIA HERMANOS CABALLERO</t>
  </si>
  <si>
    <t>ABARROTERIA LISBETH M.</t>
  </si>
  <si>
    <t>ABARROTERIA EMELIA</t>
  </si>
  <si>
    <t>ABARROTERIA VANES</t>
  </si>
  <si>
    <t>ABARROTERIA JEHOVA NISE</t>
  </si>
  <si>
    <t>PELUQUERIA LILAS</t>
  </si>
  <si>
    <t>FONDA MERCEDES</t>
  </si>
  <si>
    <t xml:space="preserve">FONDA TIPICA AHUMADOS </t>
  </si>
  <si>
    <t>RIKOS CAFE</t>
  </si>
  <si>
    <t>KIOSKO SOL Y LUNA</t>
  </si>
  <si>
    <t>SALON MARBELIS</t>
  </si>
  <si>
    <t>FONDA ANGELITO</t>
  </si>
  <si>
    <t>MULTI CAFE</t>
  </si>
  <si>
    <t>KIOSKO LA CHOLA</t>
  </si>
  <si>
    <t xml:space="preserve">FONDA TIPICA ARISREICH </t>
  </si>
  <si>
    <t>FONDA KAMY</t>
  </si>
  <si>
    <t>AB FLORITA</t>
  </si>
  <si>
    <t>ZUFRUTOS EXPRES</t>
  </si>
  <si>
    <t>ABARROTERIA MI BENDICION</t>
  </si>
  <si>
    <t xml:space="preserve">ABARROTERIA ACOSTA Y ACOSTA </t>
  </si>
  <si>
    <t>ABARROTERIA JUANITA</t>
  </si>
  <si>
    <t>ABARROTERIA PINEDAJ</t>
  </si>
  <si>
    <t>ABARROTERIA EMANUEL</t>
  </si>
  <si>
    <t>CARNICERIA SALDAÑA</t>
  </si>
  <si>
    <t>ABARROTERIA GEORGE</t>
  </si>
  <si>
    <t>AMERICAN PIZZA COMIDAS RAPIDAS</t>
  </si>
  <si>
    <t>VENTA DE LEGUMBRE PINTO</t>
  </si>
  <si>
    <t>ELYP BEAUTI SALON</t>
  </si>
  <si>
    <t>FONDA CHEFITA</t>
  </si>
  <si>
    <t>FONDA ROSY</t>
  </si>
  <si>
    <t>LAVANDERIA HAPPY CLEAN, S.A.</t>
  </si>
  <si>
    <t>ABARROTERIA KENY</t>
  </si>
  <si>
    <t>ABARROTERIA 3 HERMANOS</t>
  </si>
  <si>
    <t>ABARROTERIA JASSIER</t>
  </si>
  <si>
    <t>ABARROTERIA JOSE S.</t>
  </si>
  <si>
    <t>ABARROTERIA JASMIN</t>
  </si>
  <si>
    <t>ABARROTERIA EL MANA DE JEHOVA JIREH</t>
  </si>
  <si>
    <t>REFRIGERACION TECNOCOOL</t>
  </si>
  <si>
    <t>PANADERIA EL PAN NUESTRO</t>
  </si>
  <si>
    <t xml:space="preserve">MI CAFECITO </t>
  </si>
  <si>
    <t>DISTRIBUDORA  DE FRUTA Y LEGUMBRES ROSAS</t>
  </si>
  <si>
    <t>YILIS SALON</t>
  </si>
  <si>
    <t>FONDA COCINA RICA</t>
  </si>
  <si>
    <t>FONDA NATIVOS</t>
  </si>
  <si>
    <t>BARBERIA NEW STAILY</t>
  </si>
  <si>
    <t>ABARROTERIA MILAGROS</t>
  </si>
  <si>
    <t>ABARROTERIA EL VALLE DE BERACA</t>
  </si>
  <si>
    <t>ABARROTERIA MITRE</t>
  </si>
  <si>
    <t xml:space="preserve">ABARROTERIA </t>
  </si>
  <si>
    <t xml:space="preserve">ABARROTERIA ADRI </t>
  </si>
  <si>
    <t xml:space="preserve">ARTESANIAS BOQUETE </t>
  </si>
  <si>
    <t>PARRILLADA LA ROCA</t>
  </si>
  <si>
    <t>ABDULIA'S (FONDA ABDULIA S CUISINE</t>
  </si>
  <si>
    <t>CAFETALERA FERNANDEZ</t>
  </si>
  <si>
    <t>KIOSKO LUCRE</t>
  </si>
  <si>
    <t>RUTH  HAIR SALON</t>
  </si>
  <si>
    <t>FONDA EL ATARDECER</t>
  </si>
  <si>
    <t>FONDA EL SABOR DE MI TIERRA</t>
  </si>
  <si>
    <t>BARBERIA Y SALA DE BELLEZA CONEJIN</t>
  </si>
  <si>
    <t xml:space="preserve">ABARROTERIA DIOS PROVEERA </t>
  </si>
  <si>
    <t>ABARROTERIA CONCEPCION</t>
  </si>
  <si>
    <t>ABARROTERIA YANELIS</t>
  </si>
  <si>
    <t>ABARROTERIA LA FLOREÑA</t>
  </si>
  <si>
    <t>ABARROTERIA RUBY</t>
  </si>
  <si>
    <t>RESTAURANTE LA NEGRITA</t>
  </si>
  <si>
    <t>JARDIN ARCO IRIS.</t>
  </si>
  <si>
    <t>CAFE LA PATRONA</t>
  </si>
  <si>
    <t xml:space="preserve">BARBERIA SHELLY'S SALON </t>
  </si>
  <si>
    <t>FONDA ITZEL</t>
  </si>
  <si>
    <t>FONDA LA AMISTAD</t>
  </si>
  <si>
    <t>LAVANDERIA BOQUERON V.I.P</t>
  </si>
  <si>
    <t>ABARROTERIA L&amp; A</t>
  </si>
  <si>
    <t>ABARROTERIA FAMANIA</t>
  </si>
  <si>
    <t xml:space="preserve">ABARROTERIA RIOS J. </t>
  </si>
  <si>
    <t>ABARROTERIA OLIVIA</t>
  </si>
  <si>
    <t xml:space="preserve">ABARROTERIA MIS TRES TESOROS </t>
  </si>
  <si>
    <t>ABARROTERIA HERMANOS CASTILLO</t>
  </si>
  <si>
    <t>COPIAS LUIS</t>
  </si>
  <si>
    <t>PARRILLADA COSTA DEL MAR</t>
  </si>
  <si>
    <t>FLORISTERIA EL CLAVEL S A</t>
  </si>
  <si>
    <t>CRAFT CAFE</t>
  </si>
  <si>
    <t>KIOSKO ISABEL</t>
  </si>
  <si>
    <t>FONDA ADHARA</t>
  </si>
  <si>
    <t>FONDA &amp; SERVICIOS MARIELA</t>
  </si>
  <si>
    <t xml:space="preserve">VEGETALES Y FRUTAS KELLY </t>
  </si>
  <si>
    <t>ABARROTERIA HNOS QUIROZ #1</t>
  </si>
  <si>
    <t>ABARROTERIA BETEL</t>
  </si>
  <si>
    <t>ABARROTERIA LA NEGRA</t>
  </si>
  <si>
    <t>ABARROTERIA YASSI</t>
  </si>
  <si>
    <t>ABARROTERIA Y &amp; J</t>
  </si>
  <si>
    <t>ASADOS AZU507</t>
  </si>
  <si>
    <t>PANADERIA EL TRIGAL</t>
  </si>
  <si>
    <t>CAFE DON CHON (AVISO DE OPERACIÓN CANCELADO)</t>
  </si>
  <si>
    <t>MERCADITO DE LAS LEGUMBRES TATA</t>
  </si>
  <si>
    <t xml:space="preserve">IDIEL`S SALON </t>
  </si>
  <si>
    <t>FONDA TIPICA ENEDINA</t>
  </si>
  <si>
    <t>FONDA LAS AMISTADES</t>
  </si>
  <si>
    <t>BARBERIA LA TALLA</t>
  </si>
  <si>
    <t>ABARROTERIA ANAYANSI</t>
  </si>
  <si>
    <t>ABARROTERIA MARISOL S.</t>
  </si>
  <si>
    <t>ABARROTERIA PISCIANA 1</t>
  </si>
  <si>
    <t>ABARROTERIA NEREIDA</t>
  </si>
  <si>
    <t xml:space="preserve">ABARROTERIA LA PRIMAVERA </t>
  </si>
  <si>
    <t>SASTRERIA UNISEX</t>
  </si>
  <si>
    <t>PICANTE DE LA CENTRAL S A</t>
  </si>
  <si>
    <t>MINI CAFE ANITA</t>
  </si>
  <si>
    <t>KIOSKO Y ABARROTERIA DOS HERMANOS</t>
  </si>
  <si>
    <t xml:space="preserve">REISTHER SALON </t>
  </si>
  <si>
    <t xml:space="preserve">FONDA EDNA </t>
  </si>
  <si>
    <t>FONDA LA CABAÑA</t>
  </si>
  <si>
    <t>BARBERIA JL HAIR CLIPPER</t>
  </si>
  <si>
    <t>ABARROTERIA MI DIOS ES FIEL</t>
  </si>
  <si>
    <t>ABARROTERIA MI ESPERANZA</t>
  </si>
  <si>
    <t>ABARROTERIA MINERVA</t>
  </si>
  <si>
    <t>ABARROTERIA BENDECIDO SEAS</t>
  </si>
  <si>
    <t>ABARROTERIA BETY</t>
  </si>
  <si>
    <t>MINI SUPER Y CARNICERIA SAN JOSÉ DE TOLE</t>
  </si>
  <si>
    <t>RESTAURANTE NUEVO SIGLO</t>
  </si>
  <si>
    <t>MALU CAFE &amp; BAKERY</t>
  </si>
  <si>
    <t>FONDA CAFE LAS TOTUMAS</t>
  </si>
  <si>
    <t>SALON DE BELLEZA RAQUEL</t>
  </si>
  <si>
    <t>FONDA EL DIVINO NIÑO RIO MAR</t>
  </si>
  <si>
    <t>FONDA SL. 91</t>
  </si>
  <si>
    <t>LAVAMATICO SUPER CLEAN</t>
  </si>
  <si>
    <t>ABARROTERIA TOMAS</t>
  </si>
  <si>
    <t xml:space="preserve">ABARROTERIA MATHIAS </t>
  </si>
  <si>
    <t>ABARROTERIA LOS GEMELOS</t>
  </si>
  <si>
    <t>ABARROTERIA EL CHAMAN</t>
  </si>
  <si>
    <t xml:space="preserve">ABARROTERIA MELITA </t>
  </si>
  <si>
    <t>ABARROTERIA INVERSIONES DEL CARMEN</t>
  </si>
  <si>
    <t>TALLER DE REFRIGERACION D &amp; D</t>
  </si>
  <si>
    <t>ABARROTERIA DONDE ISA</t>
  </si>
  <si>
    <t>GUARDERÍA LOS GENIOS DEL SABER</t>
  </si>
  <si>
    <t>CAFE MARY ANGEL</t>
  </si>
  <si>
    <t>SALON VEGA</t>
  </si>
  <si>
    <t>FONDA DELFI</t>
  </si>
  <si>
    <t>FONDA Y DELICIAS COLY</t>
  </si>
  <si>
    <t>LAVA EXPRESS</t>
  </si>
  <si>
    <t>ABARROTERIA LA BONGA</t>
  </si>
  <si>
    <t>ABARROTERIA LA BENDICION</t>
  </si>
  <si>
    <t>ABARROTERIA NASHELY</t>
  </si>
  <si>
    <t>ABARROTERIA EL SOL</t>
  </si>
  <si>
    <t>ABARROTERIA PITTY</t>
  </si>
  <si>
    <t>ABARROTERIA DAY</t>
  </si>
  <si>
    <t>REFRIGERACION DE AUTOS MOYO</t>
  </si>
  <si>
    <t>ABARROTERIA ANALYS</t>
  </si>
  <si>
    <t>AGRO CONSULTING &amp; HOLDINGS   S A</t>
  </si>
  <si>
    <t>REFRESQUERIA Y CAFETERÍA MOLLEK</t>
  </si>
  <si>
    <t>SALON DE BILLARES MARY</t>
  </si>
  <si>
    <t>FIL-PAN AMIGO S FONDA</t>
  </si>
  <si>
    <t>CAFÉ Y FONDA DORCA</t>
  </si>
  <si>
    <t>BARBERIA JIREH</t>
  </si>
  <si>
    <t>ABARROTERIA FLOR DE LOTO</t>
  </si>
  <si>
    <t>ABARROTERIA LUZMY</t>
  </si>
  <si>
    <t>ABARROTERIA EL PRIMO</t>
  </si>
  <si>
    <t>ABARROTERIA DEYLEEN</t>
  </si>
  <si>
    <t>ABARROTERIA EDEISI</t>
  </si>
  <si>
    <t xml:space="preserve">SOMBREROS Y ARTESANIAS LA COLOMBIANA </t>
  </si>
  <si>
    <t>COMIDA RAPIDA DON VARELA</t>
  </si>
  <si>
    <t>ABARROTERIA ALMANZA</t>
  </si>
  <si>
    <t>COPIAS TU DANIELA</t>
  </si>
  <si>
    <t>VENTA DE GRANOS Y LEGUMBRES LOS INTOCABLES</t>
  </si>
  <si>
    <t>SALON DE BELLEZA MARISOL</t>
  </si>
  <si>
    <t>FONDA LASSONDE</t>
  </si>
  <si>
    <t>FONDA BRIANNA</t>
  </si>
  <si>
    <t>BARBERIA SIN NOMBRE( CRUCE DE MANACA)</t>
  </si>
  <si>
    <t xml:space="preserve">ABARROTERIA EBEN-EZER </t>
  </si>
  <si>
    <t>ABARROTERIA YISSEL</t>
  </si>
  <si>
    <t>ABARROTERIA DOÑA INES</t>
  </si>
  <si>
    <t>ABARROTERIA EL 100</t>
  </si>
  <si>
    <t>ABARROTERIA DEL CID</t>
  </si>
  <si>
    <t>SASTRERIA M</t>
  </si>
  <si>
    <t>MAERIS CLINICA DENTAL</t>
  </si>
  <si>
    <t>CLINICA DENTAL EN BOQUETE</t>
  </si>
  <si>
    <t>CLINICA MEDICA DEL ADULTO MAYOR</t>
  </si>
  <si>
    <t>CLINICA DENTAL ABEL ENRIQUE GOMEZ GOFF</t>
  </si>
  <si>
    <t>CLINICA DENTAL Y ESPECIALIZADA DR. BRAVO &amp; ASOCIADOS</t>
  </si>
  <si>
    <t>CLINICA DENTAL DOCTORES DE LA TORRE</t>
  </si>
  <si>
    <t xml:space="preserve"> CLINICA OFTALMOLOGICA QVISION</t>
  </si>
  <si>
    <t>CLINICA DE ORTODONCIA Y ESPECIALIDADES ODONTOLOGICAS</t>
  </si>
  <si>
    <t>CLINICA DENTAL ODONTOS</t>
  </si>
  <si>
    <t>CLINICA DENTAL DR. RAFAEL CABALLERO</t>
  </si>
  <si>
    <t xml:space="preserve"> KIOSCO LA ESQUINA DEL SABOR LORENT</t>
  </si>
  <si>
    <t>CASTILLO'S INGENIEROS Y ABOGADOS</t>
  </si>
  <si>
    <t>SABORES MAR Y TIERRA</t>
  </si>
  <si>
    <t>CRISTO MARKOU ABOGADO</t>
  </si>
  <si>
    <t>LABORATORIO DE MEDICIONES AMBIENTALES S.A.</t>
  </si>
  <si>
    <t xml:space="preserve">LABORATORIO BIOTEC </t>
  </si>
  <si>
    <t>RAFAEL SANTAMARIA GUILLEN (ABOGADOS)</t>
  </si>
  <si>
    <t xml:space="preserve">COLEGIO PROVINCIAL DE ABOGADOS DE CHIRIQUI </t>
  </si>
  <si>
    <t xml:space="preserve">LABORATORIO CLINICO EBEN-EZER </t>
  </si>
  <si>
    <t>LABORES VIOLETA Y ALGO MAS</t>
  </si>
  <si>
    <t>VENTAS ELISABETH</t>
  </si>
  <si>
    <t>VENTAS Y SERVICIOS YALAN</t>
  </si>
  <si>
    <t>VENTAS DE CARNES D &amp; Y</t>
  </si>
  <si>
    <t>VENTAS DON GERA</t>
  </si>
  <si>
    <t>ABARRTERIA Y VENTAS ARAUZ</t>
  </si>
  <si>
    <t>SERVICIOS Y VENTAS GENERALES CRISU</t>
  </si>
  <si>
    <t>VENTAS HIDALGO</t>
  </si>
  <si>
    <t>VENTAS LA SOLUCION (MINI CENTRO LA SOLUCION)</t>
  </si>
  <si>
    <t>VENTAS L.D.</t>
  </si>
  <si>
    <t>VENTAS  AEI</t>
  </si>
  <si>
    <t>VENTAS Y TRANSPORTE TENCHA</t>
  </si>
  <si>
    <t>SUPERMERCADO CASA CHINA</t>
  </si>
  <si>
    <t>SUPERMERCADO EL PODER</t>
  </si>
  <si>
    <t>TALLER HERMANOS ARAÚZ</t>
  </si>
  <si>
    <t>TALLER MERALLA</t>
  </si>
  <si>
    <t>TALLER DE TORNERIA IVAN</t>
  </si>
  <si>
    <t>TALLER HNOS CORREA</t>
  </si>
  <si>
    <t>TALLER WATSON</t>
  </si>
  <si>
    <t>TALLER FREDY</t>
  </si>
  <si>
    <t>TALLER CALDERON /TALLER DE ABANISTERIA</t>
  </si>
  <si>
    <t>TALLER DE ELECTRONICA MODERNA DIGITAL</t>
  </si>
  <si>
    <t>TALLER ELECTROMECANICA MULTISERVICIOS NEGRO</t>
  </si>
  <si>
    <t>TALLER GASCHMONKEY</t>
  </si>
  <si>
    <t>TALLER AVILA</t>
  </si>
  <si>
    <t>TALLER PELUCA</t>
  </si>
  <si>
    <t>TALLER JORGE A. PALACIOS</t>
  </si>
  <si>
    <t>TALLER JAEN</t>
  </si>
  <si>
    <t>TALLER EMILIO RAMIREZ</t>
  </si>
  <si>
    <t>TALLER DE REPARACION DE LLANTA PINEDA</t>
  </si>
  <si>
    <t>TALLER FELIX HERNANDEZ</t>
  </si>
  <si>
    <t xml:space="preserve">TALLER SANCHEZ </t>
  </si>
  <si>
    <t>TALLER ARIEL MIRANDA</t>
  </si>
  <si>
    <t>TALLER SAMUEL</t>
  </si>
  <si>
    <t>TALLER SUNI MOTO</t>
  </si>
  <si>
    <t>TALLER DE BATERIAS REPARACIONES Y RECONSTRUCCIONES BETO</t>
  </si>
  <si>
    <t>TALLER SAMUDIO</t>
  </si>
  <si>
    <t>TALLER DE SOLDADURA BETO</t>
  </si>
  <si>
    <t>TALLER DE CHAPISTERIA MONGO</t>
  </si>
  <si>
    <t>TALLER EDWARD</t>
  </si>
  <si>
    <t>TALLER Y CHAPISTERIA NAVARRO</t>
  </si>
  <si>
    <t>TALLER 3D</t>
  </si>
  <si>
    <t xml:space="preserve">TALLER EMILIO </t>
  </si>
  <si>
    <t>TALLER EL MELLO</t>
  </si>
  <si>
    <t>TALLER DE MECANICA ROMY</t>
  </si>
  <si>
    <t>TALLER MOJICA</t>
  </si>
  <si>
    <t>TALLER COLOMBIA (TALLER LOPEZ)</t>
  </si>
  <si>
    <t>IVETTE IBARRA</t>
  </si>
  <si>
    <t xml:space="preserve">AGRO VETERINARIA SANTA BARBARA </t>
  </si>
  <si>
    <t xml:space="preserve">ROPA AMERICANA </t>
  </si>
  <si>
    <t>CIBER INTERNET RHD</t>
  </si>
  <si>
    <t>COMVIAL JJ (COMERCIALIZADORA DE VIDRIOS Y ALUMINIOS JJ)</t>
  </si>
  <si>
    <t>GESTION GANADERA</t>
  </si>
  <si>
    <t>GANADERA LA BONITA, S.A.</t>
  </si>
  <si>
    <t>AGROGANADERA EL NOPAL</t>
  </si>
  <si>
    <t>DISTRIBUIDORA GOLDSTAR</t>
  </si>
  <si>
    <t>DISTRIBUIDORA LAMOR CHIRIQUI, S.A.</t>
  </si>
  <si>
    <t>DISTRIBUIDORA BUGABA</t>
  </si>
  <si>
    <t>DISTRIBUIDORA LOS MELLOS</t>
  </si>
  <si>
    <t>DISTRIBUIDORA MARACAY</t>
  </si>
  <si>
    <t>DISTRIBUIDORA MINI MAXI</t>
  </si>
  <si>
    <t>DISTRIBUIDORA JORGE</t>
  </si>
  <si>
    <t>DISTRIBUIDORA Y NOVEDADES JUNIORS, S.A.</t>
  </si>
  <si>
    <t>DISTRIBUIDORA ANGELICA</t>
  </si>
  <si>
    <t>MR. QUARTER DISTRIBUIDORES, SA</t>
  </si>
  <si>
    <t xml:space="preserve">LLAMADAS FALTANTES </t>
  </si>
  <si>
    <t xml:space="preserve"> LLAMADAS HECHAS </t>
  </si>
  <si>
    <t>hechas</t>
  </si>
  <si>
    <t>asignadas</t>
  </si>
  <si>
    <t>por llamar</t>
  </si>
  <si>
    <t>FERIA DE FINANCIAMIENTO</t>
  </si>
  <si>
    <t xml:space="preserve">LLAMADAS POR REALIZAR </t>
  </si>
  <si>
    <t>SAN MIGUELITO</t>
  </si>
  <si>
    <t>SE HA REALIZADO EL</t>
  </si>
  <si>
    <t>DE LAS LLAMADAS</t>
  </si>
  <si>
    <t>DE LLAMADAS REALIZAS</t>
  </si>
  <si>
    <t>REGIONAL</t>
  </si>
  <si>
    <t>COLABORADOR</t>
  </si>
  <si>
    <t>NOMBRE DE LA EMPRESA</t>
  </si>
  <si>
    <t>NOM. EMPRENDEDOR</t>
  </si>
  <si>
    <t>TELEFONO</t>
  </si>
  <si>
    <t xml:space="preserve">CORREO    </t>
  </si>
  <si>
    <t xml:space="preserve">  LLAMADA 1</t>
  </si>
  <si>
    <t>HORA</t>
  </si>
  <si>
    <t xml:space="preserve"> LLAMADA 2</t>
  </si>
  <si>
    <t>HORA2</t>
  </si>
  <si>
    <t>OBSERVACION</t>
  </si>
  <si>
    <t>Felix de leon</t>
  </si>
  <si>
    <t xml:space="preserve"> ebanisteria </t>
  </si>
  <si>
    <t xml:space="preserve"> persona me indico que ahora reside en veraguas y que cuando se realice una feria en veraguas se le avise </t>
  </si>
  <si>
    <t>xiomara atencio</t>
  </si>
  <si>
    <t>maria flora troya</t>
  </si>
  <si>
    <t>venelda fossatti</t>
  </si>
  <si>
    <t>6436-9908</t>
  </si>
  <si>
    <t>6310-0682</t>
  </si>
  <si>
    <t xml:space="preserve">doris rios </t>
  </si>
  <si>
    <t>ana martinez</t>
  </si>
  <si>
    <t>griselda pineda</t>
  </si>
  <si>
    <t xml:space="preserve">Emyly Halthen </t>
  </si>
  <si>
    <t>Número Equivocado</t>
  </si>
  <si>
    <t xml:space="preserve">Sandra Saldaña </t>
  </si>
  <si>
    <t>La joven Sandra indicó que  el día 5 /3/26 recibio la llamada y esta pendiente de confirmación, el establecimiento comercial está vinculado  a Avicola Athenas.</t>
  </si>
  <si>
    <t xml:space="preserve">María Romero </t>
  </si>
  <si>
    <t xml:space="preserve">Marta Valdes </t>
  </si>
  <si>
    <t>Leyla Beitia</t>
  </si>
  <si>
    <t xml:space="preserve">Yajaira De Gracia </t>
  </si>
  <si>
    <t xml:space="preserve">Luciel Gonzalez </t>
  </si>
  <si>
    <t xml:space="preserve">Davis Castillo </t>
  </si>
  <si>
    <t>Elizabeth Cabellero</t>
  </si>
  <si>
    <t>BARBERIA LOS SOCIOS (BARBER SHOP LOS SOCIOS) José Herrera</t>
  </si>
  <si>
    <t xml:space="preserve">Daniel Montenegro </t>
  </si>
  <si>
    <t xml:space="preserve">Luis Moreno </t>
  </si>
  <si>
    <t xml:space="preserve">Delkys Monrroy </t>
  </si>
  <si>
    <t xml:space="preserve">Irvin Lopez </t>
  </si>
  <si>
    <t xml:space="preserve">Natali Navarro </t>
  </si>
  <si>
    <t xml:space="preserve">Ana  Gonzalez </t>
  </si>
  <si>
    <t xml:space="preserve">Sabrina Jimenez </t>
  </si>
  <si>
    <t xml:space="preserve">Angela Chavez </t>
  </si>
  <si>
    <t xml:space="preserve">Efrain </t>
  </si>
  <si>
    <t xml:space="preserve">Esther Aguilar Amador </t>
  </si>
  <si>
    <t>karina jose</t>
  </si>
  <si>
    <t xml:space="preserve"> 2:01 pm</t>
  </si>
  <si>
    <t xml:space="preserve">  EQUIVOCADO </t>
  </si>
  <si>
    <t>Equivocado</t>
  </si>
  <si>
    <t xml:space="preserve">      2:21 pm </t>
  </si>
  <si>
    <t xml:space="preserve">     2:55 PM</t>
  </si>
  <si>
    <t>6546-9657</t>
  </si>
  <si>
    <t>oellington735@gmail.com</t>
  </si>
  <si>
    <t>2:13:pm</t>
  </si>
  <si>
    <t xml:space="preserve">2:17pm </t>
  </si>
  <si>
    <t>2.33 pm</t>
  </si>
  <si>
    <t xml:space="preserve"> tonostaller@gmail.com</t>
  </si>
  <si>
    <t>2:50:pm</t>
  </si>
  <si>
    <t>no esta completo</t>
  </si>
  <si>
    <t>3:04pm</t>
  </si>
  <si>
    <t>josias torres</t>
  </si>
  <si>
    <t xml:space="preserve">Paolo Rivera </t>
  </si>
  <si>
    <t>6589-9182</t>
  </si>
  <si>
    <t xml:space="preserve">INSOLA Aveldaño </t>
  </si>
  <si>
    <t>6939-2056</t>
  </si>
  <si>
    <t>PERO DESEA PARTICIPAR EN LA PROXIMA</t>
  </si>
  <si>
    <t xml:space="preserve">Franklin Caballero </t>
  </si>
  <si>
    <t>6836-5226</t>
  </si>
  <si>
    <t>franklincaballero96@gmail.com</t>
  </si>
  <si>
    <t xml:space="preserve">José Gill </t>
  </si>
  <si>
    <t>6475-2278</t>
  </si>
  <si>
    <t xml:space="preserve">Higinio Salinas </t>
  </si>
  <si>
    <t>6778-7200</t>
  </si>
  <si>
    <t xml:space="preserve">Ilsi Miranda </t>
  </si>
  <si>
    <t>6973-3296</t>
  </si>
  <si>
    <t xml:space="preserve">Maria Estela Montenegro </t>
  </si>
  <si>
    <t>6686-3845</t>
  </si>
  <si>
    <t xml:space="preserve">Reinaldo Martínez </t>
  </si>
  <si>
    <t>6294-7649</t>
  </si>
  <si>
    <t xml:space="preserve">Daomay Almengor </t>
  </si>
  <si>
    <t>6421-7791</t>
  </si>
  <si>
    <t>EL VIERNES</t>
  </si>
  <si>
    <t>Roberto Monrroy</t>
  </si>
  <si>
    <t>6823-3026</t>
  </si>
  <si>
    <t xml:space="preserve">Manuel Quintero </t>
  </si>
  <si>
    <t>6952-8729</t>
  </si>
  <si>
    <t>Iris Castillo</t>
  </si>
  <si>
    <t>6888-7528</t>
  </si>
  <si>
    <t xml:space="preserve">Jeovanny Caballero </t>
  </si>
  <si>
    <t>6482-4289</t>
  </si>
  <si>
    <t>Javier Muñoz</t>
  </si>
  <si>
    <t>6469-4759</t>
  </si>
  <si>
    <t>6890-4871 MARIA QUINTERO</t>
  </si>
  <si>
    <t>Celia Rodríguez</t>
  </si>
  <si>
    <t>6627-2689</t>
  </si>
  <si>
    <t xml:space="preserve">Mirna Miranda </t>
  </si>
  <si>
    <t>6569-4697</t>
  </si>
  <si>
    <t>Edwin Pitti</t>
  </si>
  <si>
    <t>6972-9948</t>
  </si>
  <si>
    <t>Martha Montenegro</t>
  </si>
  <si>
    <t>6406-6025</t>
  </si>
  <si>
    <t>Yanibeth Rodriguez</t>
  </si>
  <si>
    <t>6416-5304</t>
  </si>
  <si>
    <t>Ivis Barria</t>
  </si>
  <si>
    <t>6632-0430</t>
  </si>
  <si>
    <t>Julio Abrego</t>
  </si>
  <si>
    <t>6730-8170</t>
  </si>
  <si>
    <t>Oriana Pitti</t>
  </si>
  <si>
    <t>6980-0837</t>
  </si>
  <si>
    <t xml:space="preserve">Janeth Rovira </t>
  </si>
  <si>
    <t>6855-9452</t>
  </si>
  <si>
    <t xml:space="preserve">Victor González </t>
  </si>
  <si>
    <t>6373-5472</t>
  </si>
  <si>
    <t xml:space="preserve">Yesenia Miranda </t>
  </si>
  <si>
    <t>6689-9961</t>
  </si>
  <si>
    <t>Cristian Rojas</t>
  </si>
  <si>
    <t>6607-0642</t>
  </si>
  <si>
    <t>Reina González</t>
  </si>
  <si>
    <t>6767-1843</t>
  </si>
  <si>
    <t>David Norths</t>
  </si>
  <si>
    <t>6354-0112</t>
  </si>
  <si>
    <t>Marcos Briceño</t>
  </si>
  <si>
    <t>6957-7657</t>
  </si>
  <si>
    <t>Loren Ramos</t>
  </si>
  <si>
    <t>6552-9055</t>
  </si>
  <si>
    <t>Elidoro Mayorca</t>
  </si>
  <si>
    <t>6697-1181</t>
  </si>
  <si>
    <t>Yarin Balsa</t>
  </si>
  <si>
    <t>6489-5097</t>
  </si>
  <si>
    <t>Veronica Mejia</t>
  </si>
  <si>
    <t>6644-5243</t>
  </si>
  <si>
    <t>mejiaveronica193131@gmail.com</t>
  </si>
  <si>
    <t>Elys María Ríos</t>
  </si>
  <si>
    <t>6281-4331</t>
  </si>
  <si>
    <t>Lourdes Vega</t>
  </si>
  <si>
    <t>6578-3234</t>
  </si>
  <si>
    <t>Belisario Martinez</t>
  </si>
  <si>
    <t>6747-7580</t>
  </si>
  <si>
    <t>martinezbelisario2@gmail.com</t>
  </si>
  <si>
    <t>Rodolfo Palacio</t>
  </si>
  <si>
    <t>6398-8378</t>
  </si>
  <si>
    <t xml:space="preserve">Genesis Ledezma </t>
  </si>
  <si>
    <t>6839-7665</t>
  </si>
  <si>
    <t>Gustavo Barria</t>
  </si>
  <si>
    <t>6649-9179</t>
  </si>
  <si>
    <t>Noelia Vasques</t>
  </si>
  <si>
    <t>6453-0984</t>
  </si>
  <si>
    <t>se contacto al esposo Jorge  gonzales</t>
  </si>
  <si>
    <t>José Cedeño</t>
  </si>
  <si>
    <t>6407-8319</t>
  </si>
  <si>
    <t>katherinemedyurie@gmail.com</t>
  </si>
  <si>
    <t>Marisol Jurado</t>
  </si>
  <si>
    <t>6814-1922</t>
  </si>
  <si>
    <t>Dennin Fruto</t>
  </si>
  <si>
    <t>6570-4427</t>
  </si>
  <si>
    <t>Sidny Aguirre</t>
  </si>
  <si>
    <t>6382-6824</t>
  </si>
  <si>
    <t>Isabel Batista</t>
  </si>
  <si>
    <t>6378-3550</t>
  </si>
  <si>
    <t>José Morales</t>
  </si>
  <si>
    <t>6978-3573</t>
  </si>
  <si>
    <t>Olegaria Suira</t>
  </si>
  <si>
    <t>6682-2167</t>
  </si>
  <si>
    <t>Keit Rodríguez</t>
  </si>
  <si>
    <t>6449-6905</t>
  </si>
  <si>
    <t>numero equivocado</t>
  </si>
  <si>
    <t>Orlando Aparicio</t>
  </si>
  <si>
    <t>6325-9927</t>
  </si>
  <si>
    <t xml:space="preserve">Eddy Gaitán </t>
  </si>
  <si>
    <t>6759-1346</t>
  </si>
  <si>
    <t>Abdiel Suira</t>
  </si>
  <si>
    <t>6353-6971</t>
  </si>
  <si>
    <t xml:space="preserve">Luis Rivera </t>
  </si>
  <si>
    <t>6746-6080</t>
  </si>
  <si>
    <t xml:space="preserve">Percival Bryan </t>
  </si>
  <si>
    <t>6849-8211</t>
  </si>
  <si>
    <t>numero equivcado</t>
  </si>
  <si>
    <t>Luis Mendoza</t>
  </si>
  <si>
    <t>6900-1647</t>
  </si>
  <si>
    <t>Dayra Hidalgo</t>
  </si>
  <si>
    <t>6101-2456</t>
  </si>
  <si>
    <t>Ivana Marquinez</t>
  </si>
  <si>
    <t>6405-1644</t>
  </si>
  <si>
    <t>Patricia Santamaría</t>
  </si>
  <si>
    <t>6619-6189</t>
  </si>
  <si>
    <t>Marlenys Rodríguez</t>
  </si>
  <si>
    <t>6112-8681</t>
  </si>
  <si>
    <t>recordarle un dia antes</t>
  </si>
  <si>
    <t xml:space="preserve">Josie Serrano </t>
  </si>
  <si>
    <t>6835-0254</t>
  </si>
  <si>
    <t>Kevin Delgado</t>
  </si>
  <si>
    <t>6510-4413</t>
  </si>
  <si>
    <t xml:space="preserve">Karol Cianca </t>
  </si>
  <si>
    <t>karolcianca@gmail.com</t>
  </si>
  <si>
    <t>Liliana Ledezma</t>
  </si>
  <si>
    <t>cristinaledezmanavarro@gmail.com</t>
  </si>
  <si>
    <t>Renilda Batista</t>
  </si>
  <si>
    <t>felix de leon</t>
  </si>
  <si>
    <t xml:space="preserve">Javier Picotta </t>
  </si>
  <si>
    <t>6717-8932</t>
  </si>
  <si>
    <t>Yamilka Gónzalez</t>
  </si>
  <si>
    <t>6832-5186</t>
  </si>
  <si>
    <t>felix de elon</t>
  </si>
  <si>
    <t>Yeritza Paz</t>
  </si>
  <si>
    <t>6642-3817</t>
  </si>
  <si>
    <t xml:space="preserve">felix de leon </t>
  </si>
  <si>
    <t xml:space="preserve">Lara Sanchéz </t>
  </si>
  <si>
    <t>6873-5002</t>
  </si>
  <si>
    <t xml:space="preserve">Karen Aguilar </t>
  </si>
  <si>
    <t>6835-8964</t>
  </si>
  <si>
    <t xml:space="preserve">Dilan Concepción </t>
  </si>
  <si>
    <t>6400-4717</t>
  </si>
  <si>
    <t>Gaspar Madrid</t>
  </si>
  <si>
    <t>6603-7988</t>
  </si>
  <si>
    <t>Nereida López</t>
  </si>
  <si>
    <t>6367-4976</t>
  </si>
  <si>
    <t>Sandra Villarreal</t>
  </si>
  <si>
    <t>6589-2778</t>
  </si>
  <si>
    <t>Amilcar Herrera</t>
  </si>
  <si>
    <t>6738-5613</t>
  </si>
  <si>
    <t>Stefanie Quintero</t>
  </si>
  <si>
    <t>6540-2731</t>
  </si>
  <si>
    <t>Alexis Pinto</t>
  </si>
  <si>
    <t>6499-7781</t>
  </si>
  <si>
    <t>Alcibiades Cubilla</t>
  </si>
  <si>
    <t>6940-8625</t>
  </si>
  <si>
    <t>Dayra Arosemana</t>
  </si>
  <si>
    <t>6991-6687</t>
  </si>
  <si>
    <t>Nayinis Morera</t>
  </si>
  <si>
    <t>6829-8922</t>
  </si>
  <si>
    <t>Mario Aguilar</t>
  </si>
  <si>
    <t>6646-2219</t>
  </si>
  <si>
    <t>Ramiro Valdés</t>
  </si>
  <si>
    <t>6901-2642</t>
  </si>
  <si>
    <t>Diomedes Montezuma</t>
  </si>
  <si>
    <t>Carlos Santamaría</t>
  </si>
  <si>
    <t>6590-1033</t>
  </si>
  <si>
    <t>Lucia Castillo</t>
  </si>
  <si>
    <t>6749-3388</t>
  </si>
  <si>
    <t>Temis Trush</t>
  </si>
  <si>
    <t>6963-4608</t>
  </si>
  <si>
    <t>Yitsima Chacón</t>
  </si>
  <si>
    <t>6986-6500</t>
  </si>
  <si>
    <t>MARCOS DURAN</t>
  </si>
  <si>
    <t>6609-0009</t>
  </si>
  <si>
    <t>MARIELA VARGAS</t>
  </si>
  <si>
    <t>2:14 p.m.</t>
  </si>
  <si>
    <t>2:16 p.m.</t>
  </si>
  <si>
    <t>Número marcado no esta en servicio</t>
  </si>
  <si>
    <t>2:18 p.m</t>
  </si>
  <si>
    <t>2:20 p.m.</t>
  </si>
  <si>
    <t>2:22 p.m.</t>
  </si>
  <si>
    <t>2:23 P.M.</t>
  </si>
  <si>
    <t>2:24 p.m.</t>
  </si>
  <si>
    <t>2:25 p.m.</t>
  </si>
  <si>
    <t>2:27 p.m.</t>
  </si>
  <si>
    <t>2:28 p.m.</t>
  </si>
  <si>
    <t>2:29 p.m.</t>
  </si>
  <si>
    <t>2:32 p.m.</t>
  </si>
  <si>
    <t>2:35 p.m.</t>
  </si>
  <si>
    <t>2:36 p.m.</t>
  </si>
  <si>
    <t>2:37 p.m.</t>
  </si>
  <si>
    <t>2:39 p.m.</t>
  </si>
  <si>
    <t>2:40 p.m.</t>
  </si>
  <si>
    <t>2:43 p.m.</t>
  </si>
  <si>
    <t>2:44 p.m.</t>
  </si>
  <si>
    <t>2:46 p.m.</t>
  </si>
  <si>
    <t>2:48 p.m.</t>
  </si>
  <si>
    <t>2:50 p.m.</t>
  </si>
  <si>
    <t>2:58 p.m.</t>
  </si>
  <si>
    <t>3:00 p.m.</t>
  </si>
  <si>
    <t>3:01 p.m.</t>
  </si>
  <si>
    <t>3:03 p.m.</t>
  </si>
  <si>
    <t>3:04 p.m.</t>
  </si>
  <si>
    <t>3:06 p.m.</t>
  </si>
  <si>
    <t>3:08 p.m.</t>
  </si>
  <si>
    <t>3:09 p.m.</t>
  </si>
  <si>
    <t>Número marcado no es correcto.</t>
  </si>
  <si>
    <t>3:12 p.m.</t>
  </si>
  <si>
    <t>3:13 p.m.</t>
  </si>
  <si>
    <t>3:14 p.m.</t>
  </si>
  <si>
    <t>3:16 p.m.</t>
  </si>
  <si>
    <t>3:17 p.m.</t>
  </si>
  <si>
    <t>3:25 p.m.</t>
  </si>
  <si>
    <t>3:26 p.m.</t>
  </si>
  <si>
    <t>3:27 p.m.</t>
  </si>
  <si>
    <t>3:30 p.m.</t>
  </si>
  <si>
    <t>3:31 p.m.</t>
  </si>
  <si>
    <t>3:35 p.m.</t>
  </si>
  <si>
    <t>8:56 a.m.</t>
  </si>
  <si>
    <t>9:02 a.m.</t>
  </si>
  <si>
    <t>9:03 a.m.</t>
  </si>
  <si>
    <t>9:05 a.m.</t>
  </si>
  <si>
    <t>Número marcado no esta en servicio.</t>
  </si>
  <si>
    <t>9:06 a.m.</t>
  </si>
  <si>
    <t>9:07 a.m.</t>
  </si>
  <si>
    <t>9:10 a.m.</t>
  </si>
  <si>
    <t>La misma manifiesta que ya no tiene el negocio.</t>
  </si>
  <si>
    <t>9:12 a.m.</t>
  </si>
  <si>
    <t>9:14 a.m.</t>
  </si>
  <si>
    <t>9:15 a.m.</t>
  </si>
  <si>
    <t>9:16 a.m.</t>
  </si>
  <si>
    <t>9:17 a.m.</t>
  </si>
  <si>
    <t>9:18 a.m.</t>
  </si>
  <si>
    <t>9:20 a.m.</t>
  </si>
  <si>
    <t>El señor no recide en chiriqui .</t>
  </si>
  <si>
    <t>9:21 a.m.</t>
  </si>
  <si>
    <t>9:22 a.m.</t>
  </si>
  <si>
    <t>9:24 a.m.</t>
  </si>
  <si>
    <t>9:26 a.m.</t>
  </si>
  <si>
    <t>Por motivo de viaje .</t>
  </si>
  <si>
    <t>9:33 a.m.</t>
  </si>
  <si>
    <t>9:34 a.m.</t>
  </si>
  <si>
    <t>9:35 a.m.</t>
  </si>
  <si>
    <t>9:36 a.m.</t>
  </si>
  <si>
    <t>9:38 a.m.</t>
  </si>
  <si>
    <t>9:39 a.m.</t>
  </si>
  <si>
    <t>9:40 a.m.</t>
  </si>
  <si>
    <t>9:42 a.m.</t>
  </si>
  <si>
    <t>9:43 a.m.</t>
  </si>
  <si>
    <t>9:44 a.m.</t>
  </si>
  <si>
    <t>9:46 a.m.</t>
  </si>
  <si>
    <t>9:50 a.m.</t>
  </si>
  <si>
    <t>Número marcado no esta disponible.</t>
  </si>
  <si>
    <t>9:51 a.m.</t>
  </si>
  <si>
    <t>9:52 a.m.</t>
  </si>
  <si>
    <t>6673 9910</t>
  </si>
  <si>
    <t>10:01 a.m.</t>
  </si>
  <si>
    <t>Enviar por WhatsApp la invitación</t>
  </si>
  <si>
    <t>10:03 a.m.</t>
  </si>
  <si>
    <t>Por motivo de viaje.</t>
  </si>
  <si>
    <t>10:04 a.m.</t>
  </si>
  <si>
    <t>por que no tiene quien le atienda el negocio.</t>
  </si>
  <si>
    <t>10:07 a.m.</t>
  </si>
  <si>
    <t>10:08 a.m.</t>
  </si>
  <si>
    <t>10:11 a.m.</t>
  </si>
  <si>
    <t>10:14 a.m.</t>
  </si>
  <si>
    <t>10:19 a.m.</t>
  </si>
  <si>
    <t>10:20 a.m.</t>
  </si>
  <si>
    <t>10:21 a.m.</t>
  </si>
  <si>
    <t>Numero no esta disponible.</t>
  </si>
  <si>
    <t>10:27 a.m.</t>
  </si>
  <si>
    <t>10:28 a.m.</t>
  </si>
  <si>
    <t>Número marcado no esta asignado.</t>
  </si>
  <si>
    <t>10:30 a.m.</t>
  </si>
  <si>
    <t>Número  no esta en servicio.</t>
  </si>
  <si>
    <t>10:33 a.m.</t>
  </si>
  <si>
    <t>Número marcado no esta asignado</t>
  </si>
  <si>
    <t>10:35 a.m.</t>
  </si>
  <si>
    <t>No desea particitar.</t>
  </si>
  <si>
    <t>10:37 a.m.</t>
  </si>
  <si>
    <t>10:38 a.m.</t>
  </si>
  <si>
    <t>10:41 a.m.</t>
  </si>
  <si>
    <t>10:42 a.m.</t>
  </si>
  <si>
    <t>10:44 a.m.</t>
  </si>
  <si>
    <t>10:45 a.m.</t>
  </si>
  <si>
    <t>10:47 a.m.</t>
  </si>
  <si>
    <t>10:48 a.m.</t>
  </si>
  <si>
    <t>10:50 a.m</t>
  </si>
  <si>
    <t>10:59 a.m.</t>
  </si>
  <si>
    <t>11:01 a.m.</t>
  </si>
  <si>
    <t>11:02 a.m.</t>
  </si>
  <si>
    <t>11:04 a.m.</t>
  </si>
  <si>
    <t>11:06 a.m.</t>
  </si>
  <si>
    <t>11:07 a.m.</t>
  </si>
  <si>
    <t>11:08 a.m.</t>
  </si>
  <si>
    <t>11:10 a.m.</t>
  </si>
  <si>
    <t>11:11 a.m.</t>
  </si>
  <si>
    <t>11:12 a.m.</t>
  </si>
  <si>
    <t>11:14 a.m.</t>
  </si>
  <si>
    <t>11:15 a.m.</t>
  </si>
  <si>
    <t>11:17 a.m.</t>
  </si>
  <si>
    <t>11:37 a.m.</t>
  </si>
  <si>
    <t>11:46 a.m.</t>
  </si>
  <si>
    <t>11:47 a.m.</t>
  </si>
  <si>
    <t>11:49 a.m.</t>
  </si>
  <si>
    <t>11:51 a.m.</t>
  </si>
  <si>
    <t>11:53 a.m.</t>
  </si>
  <si>
    <t>11:54 a.m.</t>
  </si>
  <si>
    <t>11 :55 a.m.</t>
  </si>
  <si>
    <t>11:56 a.m.</t>
  </si>
  <si>
    <t>11:58 a.m.</t>
  </si>
  <si>
    <t>1:12 p.m.</t>
  </si>
  <si>
    <t>1:13 p.m</t>
  </si>
  <si>
    <t>1:15 p.m.</t>
  </si>
  <si>
    <t>Número marcado no esta disponible</t>
  </si>
  <si>
    <t>1:16 p.m.</t>
  </si>
  <si>
    <t>1:17 p.m.</t>
  </si>
  <si>
    <t>1:19 p.m.</t>
  </si>
  <si>
    <t>1:20 p.m.</t>
  </si>
  <si>
    <t>1:21 p.m.</t>
  </si>
  <si>
    <t>1:23 p.m.</t>
  </si>
  <si>
    <t>1:24 p.m.</t>
  </si>
  <si>
    <t>1:29 p.m.</t>
  </si>
  <si>
    <t>1:30 p.m.</t>
  </si>
  <si>
    <t>1:32 p.m.</t>
  </si>
  <si>
    <t>1:33 p.m.</t>
  </si>
  <si>
    <t>1:34 p.m.</t>
  </si>
  <si>
    <t>1:35 p.m.</t>
  </si>
  <si>
    <t>1:37 p.m.</t>
  </si>
  <si>
    <t>1:38 p.m.</t>
  </si>
  <si>
    <t>1:40 p.m.</t>
  </si>
  <si>
    <t>1:41 p.m.</t>
  </si>
  <si>
    <t>1:59 p.m.</t>
  </si>
  <si>
    <t>2:00 p.m.</t>
  </si>
  <si>
    <t>2:01 p.m.</t>
  </si>
  <si>
    <t>2:02 p.m.</t>
  </si>
  <si>
    <t>2:03 p.m.</t>
  </si>
  <si>
    <t>2:05 p.m.</t>
  </si>
  <si>
    <t>Número  esta temporalmente suspendido.</t>
  </si>
  <si>
    <t>2:06 p.m.</t>
  </si>
  <si>
    <t>2:07 p.m.</t>
  </si>
  <si>
    <t>2:08 p.m.</t>
  </si>
  <si>
    <t>2:10 p.m.</t>
  </si>
  <si>
    <t>2:11 p.m.</t>
  </si>
  <si>
    <t>2:15 p.m.</t>
  </si>
  <si>
    <t>2:17 p.m.</t>
  </si>
  <si>
    <t>2:18 p.m.</t>
  </si>
  <si>
    <t>2:26 p.m.</t>
  </si>
  <si>
    <t>2:30 p.m.</t>
  </si>
  <si>
    <t>2:33 p.m.</t>
  </si>
  <si>
    <t>2:45 p.m.</t>
  </si>
  <si>
    <t>2:52 p.m.</t>
  </si>
  <si>
    <t>2:54 p.m.</t>
  </si>
  <si>
    <t>Número marcado no es correcto</t>
  </si>
  <si>
    <t>2:55 p.m.</t>
  </si>
  <si>
    <t>2:56 p.m.</t>
  </si>
  <si>
    <t>2:57 p.m.</t>
  </si>
  <si>
    <t>3:07 p.m.</t>
  </si>
  <si>
    <t>8:41 a.m.</t>
  </si>
  <si>
    <t>8:42 a.m.</t>
  </si>
  <si>
    <t>8:44 a.m.</t>
  </si>
  <si>
    <t>Sthefanie Vasqués</t>
  </si>
  <si>
    <t>6364-4991</t>
  </si>
  <si>
    <t>8:50 a.m.</t>
  </si>
  <si>
    <t>El mismo recide en la ciudad de Panamá.</t>
  </si>
  <si>
    <t xml:space="preserve">Rodolfo Murrillo </t>
  </si>
  <si>
    <t>6444-4081</t>
  </si>
  <si>
    <t>8:51 a.m.</t>
  </si>
  <si>
    <t>Krishma Navarro</t>
  </si>
  <si>
    <t>6604-6750</t>
  </si>
  <si>
    <t>9:04 a.m.</t>
  </si>
  <si>
    <t xml:space="preserve">Geovani Villarrela </t>
  </si>
  <si>
    <t>6986-9784</t>
  </si>
  <si>
    <t>El Número marcado no esta disponible</t>
  </si>
  <si>
    <t>Mini super prontito</t>
  </si>
  <si>
    <t>José Ortíz</t>
  </si>
  <si>
    <t>6792-2332</t>
  </si>
  <si>
    <t>Enviar invitación por watsApp</t>
  </si>
  <si>
    <t>Nelys Guerra</t>
  </si>
  <si>
    <t>6810-8269</t>
  </si>
  <si>
    <t>9:17a.m.</t>
  </si>
  <si>
    <t>Ana Gallardo</t>
  </si>
  <si>
    <t>6270-1330</t>
  </si>
  <si>
    <t>El Número no esta disponible.</t>
  </si>
  <si>
    <t>Stefani Pastral</t>
  </si>
  <si>
    <t>6617-3169</t>
  </si>
  <si>
    <t>9:23 a.m.</t>
  </si>
  <si>
    <t>Luis Alvedaño</t>
  </si>
  <si>
    <t>6991-9414</t>
  </si>
  <si>
    <t>Jaime Muñóz</t>
  </si>
  <si>
    <t>6006-9436</t>
  </si>
  <si>
    <t>El Número amarcado no esta en servicio</t>
  </si>
  <si>
    <t xml:space="preserve">Jeremy Miranda </t>
  </si>
  <si>
    <t>6381-2777</t>
  </si>
  <si>
    <t>Danna Aguilar</t>
  </si>
  <si>
    <t>6234-8385</t>
  </si>
  <si>
    <t>Ivan Chavéz</t>
  </si>
  <si>
    <t>6402-2338</t>
  </si>
  <si>
    <t>Franklin Troncoso</t>
  </si>
  <si>
    <t>6483-4752</t>
  </si>
  <si>
    <t>9:47 a.m.</t>
  </si>
  <si>
    <t>Carlos Higuera</t>
  </si>
  <si>
    <t>6276-0552</t>
  </si>
  <si>
    <t>9:48 a.m.</t>
  </si>
  <si>
    <t>El número marcado no esta en servicio.</t>
  </si>
  <si>
    <t>Pedro Barria</t>
  </si>
  <si>
    <t>6179-7023</t>
  </si>
  <si>
    <t>9:53 a.m.</t>
  </si>
  <si>
    <t>Amin Sanchez</t>
  </si>
  <si>
    <t>6446-4163</t>
  </si>
  <si>
    <t>9:58 a.m.</t>
  </si>
  <si>
    <t xml:space="preserve">Maribel Espisonza </t>
  </si>
  <si>
    <t>6456-4697</t>
  </si>
  <si>
    <t>9:59 a.m.</t>
  </si>
  <si>
    <t>Leonel Lezcano</t>
  </si>
  <si>
    <t>6743-2373</t>
  </si>
  <si>
    <t>11:42 a.m</t>
  </si>
  <si>
    <t>Angela Palacios</t>
  </si>
  <si>
    <t>6563-3429</t>
  </si>
  <si>
    <t>11:44 a.m.</t>
  </si>
  <si>
    <t>Gertrudis Rodríguez</t>
  </si>
  <si>
    <t>6416-9254</t>
  </si>
  <si>
    <t xml:space="preserve">11:45 a.m. </t>
  </si>
  <si>
    <t>Por motivo de viaje</t>
  </si>
  <si>
    <t xml:space="preserve">Salomón Jimenez </t>
  </si>
  <si>
    <t>6704-5663</t>
  </si>
  <si>
    <t>11:50 a.m.</t>
  </si>
  <si>
    <t>Yariana Freyre</t>
  </si>
  <si>
    <t>6760-6862</t>
  </si>
  <si>
    <t>enviar invitación por WatsApp.</t>
  </si>
  <si>
    <t>Evelyn Sanjur</t>
  </si>
  <si>
    <t>6463-8098</t>
  </si>
  <si>
    <t>1:39 p.m.</t>
  </si>
  <si>
    <t>Edwin Hernández</t>
  </si>
  <si>
    <t>6572-5569</t>
  </si>
  <si>
    <t>1:40 p.m</t>
  </si>
  <si>
    <t>Gloria Moran</t>
  </si>
  <si>
    <t>6914-4882</t>
  </si>
  <si>
    <t>1:42 p.m.</t>
  </si>
  <si>
    <t>Isabelle Villarreal</t>
  </si>
  <si>
    <t>6517-0230</t>
  </si>
  <si>
    <t>1:43 p.m.</t>
  </si>
  <si>
    <t>Christhopher Gómez</t>
  </si>
  <si>
    <t>6304-0973</t>
  </si>
  <si>
    <t>1:44 p.m.</t>
  </si>
  <si>
    <t>José Moreno</t>
  </si>
  <si>
    <t>6724-6444</t>
  </si>
  <si>
    <t>1:46 p.m.</t>
  </si>
  <si>
    <t>Joel Fernández</t>
  </si>
  <si>
    <t>6619-6679</t>
  </si>
  <si>
    <t>1:47 p.m.</t>
  </si>
  <si>
    <t>Enrrique Guerra</t>
  </si>
  <si>
    <t>6025-8019</t>
  </si>
  <si>
    <t>1:49 p.m.</t>
  </si>
  <si>
    <t>Dunesco Atencio</t>
  </si>
  <si>
    <t>6897-4652</t>
  </si>
  <si>
    <t>1:51 p.m.</t>
  </si>
  <si>
    <t>Keily Castillo</t>
  </si>
  <si>
    <t>6858-5497</t>
  </si>
  <si>
    <t>1:52 p.m.</t>
  </si>
  <si>
    <t>Adan Ramos</t>
  </si>
  <si>
    <t>6208-8576</t>
  </si>
  <si>
    <t>1:53 p.m.</t>
  </si>
  <si>
    <t>Lilibeth Saldaña</t>
  </si>
  <si>
    <t>6960-2496</t>
  </si>
  <si>
    <t>1:57 p.m.-</t>
  </si>
  <si>
    <t>Anyuri Ortiz</t>
  </si>
  <si>
    <t>6536-7487</t>
  </si>
  <si>
    <t xml:space="preserve">Felix Murgas </t>
  </si>
  <si>
    <t>6529-0653</t>
  </si>
  <si>
    <t>Eva Villarreal</t>
  </si>
  <si>
    <t>6419-1343</t>
  </si>
  <si>
    <t>Jazmin Madrid</t>
  </si>
  <si>
    <t>6836-0951</t>
  </si>
  <si>
    <t>Herminio Jimenez</t>
  </si>
  <si>
    <t>6818-2259</t>
  </si>
  <si>
    <t>Teofilo Vanegas</t>
  </si>
  <si>
    <t>6363-5625</t>
  </si>
  <si>
    <t>Dafnia Jimenez</t>
  </si>
  <si>
    <t>6634-5786</t>
  </si>
  <si>
    <t xml:space="preserve">Diego Concepción </t>
  </si>
  <si>
    <t>6935-4590</t>
  </si>
  <si>
    <t>2:12 p.m.</t>
  </si>
  <si>
    <t>Wiley Laws</t>
  </si>
  <si>
    <t>6500-8412</t>
  </si>
  <si>
    <t>2:13 p.m.</t>
  </si>
  <si>
    <t xml:space="preserve">Jaifyn Santamaría </t>
  </si>
  <si>
    <t>6226-8564</t>
  </si>
  <si>
    <t>Saul Miranda</t>
  </si>
  <si>
    <t>6970-2259</t>
  </si>
  <si>
    <t>2:19 p.m.</t>
  </si>
  <si>
    <t>Gregorio Rojas</t>
  </si>
  <si>
    <t>6938-4122</t>
  </si>
  <si>
    <t>Esther Artell Pitti</t>
  </si>
  <si>
    <t>6041-8433</t>
  </si>
  <si>
    <t xml:space="preserve">Rosa Mackay </t>
  </si>
  <si>
    <t>6591-6141</t>
  </si>
  <si>
    <t>Manuel Saldaña</t>
  </si>
  <si>
    <t>6428-4243</t>
  </si>
  <si>
    <t>Yaneth López</t>
  </si>
  <si>
    <t>6828-4924</t>
  </si>
  <si>
    <t>2:31 p.m.</t>
  </si>
  <si>
    <t xml:space="preserve">Zaida Caballero </t>
  </si>
  <si>
    <t>6995-0766</t>
  </si>
  <si>
    <t>Daryelin Gomez</t>
  </si>
  <si>
    <t>6695-4488</t>
  </si>
  <si>
    <t>Blanca Mastralina</t>
  </si>
  <si>
    <t>6202-7671</t>
  </si>
  <si>
    <t xml:space="preserve">Yeymi Rios </t>
  </si>
  <si>
    <t>6830-7205</t>
  </si>
  <si>
    <t>2:38 p.m.</t>
  </si>
  <si>
    <t>Selena Calderon</t>
  </si>
  <si>
    <t>6225-2621</t>
  </si>
  <si>
    <t>German Grendd</t>
  </si>
  <si>
    <t>6511-5082</t>
  </si>
  <si>
    <t>Alex Gutierrez</t>
  </si>
  <si>
    <t>6243-2331</t>
  </si>
  <si>
    <t>2:42 p.m.</t>
  </si>
  <si>
    <t>Keli Urriola</t>
  </si>
  <si>
    <t>Telefono celular no esta disponible.</t>
  </si>
  <si>
    <t xml:space="preserve">Dayra Chacón </t>
  </si>
  <si>
    <t xml:space="preserve">Ana Vega </t>
  </si>
  <si>
    <t>María E. de Pitti</t>
  </si>
  <si>
    <t xml:space="preserve">Fergeth Bazán </t>
  </si>
  <si>
    <t>6716-5234</t>
  </si>
  <si>
    <t>Berta Carrero</t>
  </si>
  <si>
    <t>6647-2631</t>
  </si>
  <si>
    <t xml:space="preserve">Juan Ríos </t>
  </si>
  <si>
    <t>6448-6777</t>
  </si>
  <si>
    <t>3:02 p.m.</t>
  </si>
  <si>
    <t>David Alvarez</t>
  </si>
  <si>
    <t>6483-0564</t>
  </si>
  <si>
    <t xml:space="preserve">Josefina Montezuma </t>
  </si>
  <si>
    <t>6862-4059</t>
  </si>
  <si>
    <t>3:05 p.m.</t>
  </si>
  <si>
    <t>Lisbeth Navarro</t>
  </si>
  <si>
    <t>6805-0683</t>
  </si>
  <si>
    <t xml:space="preserve">Mijael Sanchez </t>
  </si>
  <si>
    <t>6294-1324</t>
  </si>
  <si>
    <t>Lluvia Batista</t>
  </si>
  <si>
    <t>6540-6543</t>
  </si>
  <si>
    <t>3:10 p.m.</t>
  </si>
  <si>
    <t>Gladys Martinez</t>
  </si>
  <si>
    <t>6169-4814</t>
  </si>
  <si>
    <t xml:space="preserve">Estela Pérez </t>
  </si>
  <si>
    <t>6444-6446</t>
  </si>
  <si>
    <t>Ada Concepción</t>
  </si>
  <si>
    <t>6414-3433</t>
  </si>
  <si>
    <t>Guillerno Martínez</t>
  </si>
  <si>
    <t>6879-3679</t>
  </si>
  <si>
    <t>3:18 p.m.</t>
  </si>
  <si>
    <t>Rosendo Fuentes</t>
  </si>
  <si>
    <t>6181-4245</t>
  </si>
  <si>
    <t>3:20 p.m.</t>
  </si>
  <si>
    <t>Yessenia Araúz</t>
  </si>
  <si>
    <t>6673-6357</t>
  </si>
  <si>
    <t>3:23 p.m.</t>
  </si>
  <si>
    <t>Disbelly Navarro</t>
  </si>
  <si>
    <t>6804-1286</t>
  </si>
  <si>
    <t>3:24 p.m.</t>
  </si>
  <si>
    <t xml:space="preserve">Erick Moreno </t>
  </si>
  <si>
    <t>6696-1369</t>
  </si>
  <si>
    <t xml:space="preserve">Aminta de Bonilla </t>
  </si>
  <si>
    <t>6560-9008</t>
  </si>
  <si>
    <t>3:28 p.m.</t>
  </si>
  <si>
    <t>Gloria Sanchéz</t>
  </si>
  <si>
    <t>6709-5477</t>
  </si>
  <si>
    <t>Enviar invitación por WatsApp</t>
  </si>
  <si>
    <t>Katherina Rivera</t>
  </si>
  <si>
    <t>6921-8371</t>
  </si>
  <si>
    <t>3:33 p.m.</t>
  </si>
  <si>
    <t>Olmedo Aguirre</t>
  </si>
  <si>
    <t>6809-0019</t>
  </si>
  <si>
    <t>Leopoldo Pomares</t>
  </si>
  <si>
    <t>6718-7396</t>
  </si>
  <si>
    <t>3:37 p.m.</t>
  </si>
  <si>
    <t xml:space="preserve">Juan Cerrud </t>
  </si>
  <si>
    <t>6449-4518</t>
  </si>
  <si>
    <t>3:38 p.m.</t>
  </si>
  <si>
    <t>fernando chavarría</t>
  </si>
  <si>
    <t>6557-1198</t>
  </si>
  <si>
    <t>3:40 p.m.</t>
  </si>
  <si>
    <t>MARCIA WALLLACE</t>
  </si>
  <si>
    <t>6435-3862</t>
  </si>
  <si>
    <t>RABIELA CEDEÑO</t>
  </si>
  <si>
    <t>RUBIELA CEDEÑO</t>
  </si>
  <si>
    <t>YAMILETHH MONTEZUMA</t>
  </si>
  <si>
    <t>YAMILETH MONTEZUMA</t>
  </si>
  <si>
    <t xml:space="preserve">YAMILETH MONTEZUMA </t>
  </si>
  <si>
    <t>no esta interesada</t>
  </si>
  <si>
    <t>no esta interesado</t>
  </si>
  <si>
    <t>YAMILEYH MONTEZUMA</t>
  </si>
  <si>
    <t>ENVIAR INVITACION AL WHATSAPP, PARA CONFIRMAR LA FECHA DE LA FERIA</t>
  </si>
  <si>
    <t>rubiela cedeño</t>
  </si>
  <si>
    <t>RUBIELA CECEÑO</t>
  </si>
  <si>
    <t>NO ESTA INTERESADO</t>
  </si>
  <si>
    <t xml:space="preserve">INDIRA CASTRO </t>
  </si>
  <si>
    <t>INDIRA CASTRO</t>
  </si>
  <si>
    <t>Enviar informacion al whatsaap para confimar  la fecha de la feria</t>
  </si>
  <si>
    <t xml:space="preserve">Enviar informacion al whatsaap </t>
  </si>
  <si>
    <t>Berta Mendoza</t>
  </si>
  <si>
    <t>6375-1856</t>
  </si>
  <si>
    <t>David Acosta</t>
  </si>
  <si>
    <t>6231-9741</t>
  </si>
  <si>
    <t>Katherine Saldaña</t>
  </si>
  <si>
    <t>6464-3898</t>
  </si>
  <si>
    <t xml:space="preserve">Mariano Garcia </t>
  </si>
  <si>
    <t>6316-9671</t>
  </si>
  <si>
    <t xml:space="preserve">Marvin Franco </t>
  </si>
  <si>
    <t>6774-4339</t>
  </si>
  <si>
    <t>Jahir Flores</t>
  </si>
  <si>
    <t>6329-3287</t>
  </si>
  <si>
    <t>Algis Rodríguez</t>
  </si>
  <si>
    <t>6397-3006</t>
  </si>
  <si>
    <t>Serafina Salazar</t>
  </si>
  <si>
    <t>6243-6260</t>
  </si>
  <si>
    <t>Esther Miranda</t>
  </si>
  <si>
    <t>6352-8082</t>
  </si>
  <si>
    <t>Sonia Gaitán</t>
  </si>
  <si>
    <t>6575-7167</t>
  </si>
  <si>
    <t>Lisbeth Concepción</t>
  </si>
  <si>
    <t>6530-0408</t>
  </si>
  <si>
    <t>Anel Espinoza</t>
  </si>
  <si>
    <t>6505-1742</t>
  </si>
  <si>
    <t xml:space="preserve">Margarita marila </t>
  </si>
  <si>
    <t>6899-3603</t>
  </si>
  <si>
    <t>Humberto Espinoza</t>
  </si>
  <si>
    <t>6920-5606</t>
  </si>
  <si>
    <t>Shean Cordero</t>
  </si>
  <si>
    <t>6451-6874</t>
  </si>
  <si>
    <t>María Smith</t>
  </si>
  <si>
    <t>6883-9290</t>
  </si>
  <si>
    <t>Gretel Gómez</t>
  </si>
  <si>
    <t>6289-2477</t>
  </si>
  <si>
    <t>RAMIRO MIRANDA</t>
  </si>
  <si>
    <t>6356-3434</t>
  </si>
  <si>
    <t>DIOFANES MIRANDA</t>
  </si>
  <si>
    <t>6939-1797</t>
  </si>
  <si>
    <t>Madelin Escudero</t>
  </si>
  <si>
    <t>12:35pm</t>
  </si>
  <si>
    <t>2:52pm</t>
  </si>
  <si>
    <t>12:37pm</t>
  </si>
  <si>
    <t>2:54pm</t>
  </si>
  <si>
    <t>Teresa ruiz</t>
  </si>
  <si>
    <t>12:42pm</t>
  </si>
  <si>
    <t>Julio Valdes</t>
  </si>
  <si>
    <t>12:49pm</t>
  </si>
  <si>
    <t>12:56pm</t>
  </si>
  <si>
    <t>2:55pm</t>
  </si>
  <si>
    <t>Nanci Montesuma</t>
  </si>
  <si>
    <t>1:04pm</t>
  </si>
  <si>
    <t>yan mendosa</t>
  </si>
  <si>
    <t>yanmendoza02@hotmail.com</t>
  </si>
  <si>
    <t>1:11pm</t>
  </si>
  <si>
    <t>2:58pm</t>
  </si>
  <si>
    <t>1:13pm</t>
  </si>
  <si>
    <t>2:59pm</t>
  </si>
  <si>
    <t>Nicool Lopez</t>
  </si>
  <si>
    <t>1:16pm</t>
  </si>
  <si>
    <t>1:19pm</t>
  </si>
  <si>
    <t>1:22pm</t>
  </si>
  <si>
    <t>8:39am</t>
  </si>
  <si>
    <t>Yanci Arauz</t>
  </si>
  <si>
    <t>1:25pm</t>
  </si>
  <si>
    <t>3:01pm</t>
  </si>
  <si>
    <t>3:03pm</t>
  </si>
  <si>
    <t>8:41am</t>
  </si>
  <si>
    <t>3:05pm</t>
  </si>
  <si>
    <t>3:08pm</t>
  </si>
  <si>
    <t>1:41pm</t>
  </si>
  <si>
    <t>3:16pm</t>
  </si>
  <si>
    <t>1:42pm</t>
  </si>
  <si>
    <t>3:18pm</t>
  </si>
  <si>
    <t>1:45pm</t>
  </si>
  <si>
    <t>Maria Gonzalez</t>
  </si>
  <si>
    <t>3:20pm</t>
  </si>
  <si>
    <t>3:23pm</t>
  </si>
  <si>
    <t>1:47pm</t>
  </si>
  <si>
    <t>3:25pm</t>
  </si>
  <si>
    <t>1:49pm</t>
  </si>
  <si>
    <t>guisela Gonzalez</t>
  </si>
  <si>
    <t>3:27pm</t>
  </si>
  <si>
    <t>3:29pm</t>
  </si>
  <si>
    <t>Juana Lopez</t>
  </si>
  <si>
    <t>3:34pm</t>
  </si>
  <si>
    <t>3:36pm</t>
  </si>
  <si>
    <t>3:38pm</t>
  </si>
  <si>
    <t>8:43am</t>
  </si>
  <si>
    <t>8:45am</t>
  </si>
  <si>
    <t>1:53pm</t>
  </si>
  <si>
    <t>8:46am</t>
  </si>
  <si>
    <t>1:54pm</t>
  </si>
  <si>
    <t>Maria Ercilia</t>
  </si>
  <si>
    <t>8:47am</t>
  </si>
  <si>
    <t>mirandatransp@hotmail.com</t>
  </si>
  <si>
    <t>8:50am</t>
  </si>
  <si>
    <t>8:51am</t>
  </si>
  <si>
    <t>1:56pm</t>
  </si>
  <si>
    <t>8:53am</t>
  </si>
  <si>
    <t>1:58pm</t>
  </si>
  <si>
    <t>8:55am</t>
  </si>
  <si>
    <t>8:57am</t>
  </si>
  <si>
    <t>1:59pm</t>
  </si>
  <si>
    <t>Roberto de Gracia</t>
  </si>
  <si>
    <t>8:59am</t>
  </si>
  <si>
    <t>9:13am</t>
  </si>
  <si>
    <t>9:15am</t>
  </si>
  <si>
    <t>2:01pm</t>
  </si>
  <si>
    <t xml:space="preserve"> Francisco Zuu</t>
  </si>
  <si>
    <t>9:17am</t>
  </si>
  <si>
    <t>9:19am</t>
  </si>
  <si>
    <t>2:09pm</t>
  </si>
  <si>
    <t>9:27am</t>
  </si>
  <si>
    <t>2:11pm</t>
  </si>
  <si>
    <t>Eduar Srauz</t>
  </si>
  <si>
    <t>9:29am</t>
  </si>
  <si>
    <t>9:34am</t>
  </si>
  <si>
    <t>9:35am</t>
  </si>
  <si>
    <t>9:37am</t>
  </si>
  <si>
    <t>miguiel Buchaim</t>
  </si>
  <si>
    <t>9:39am</t>
  </si>
  <si>
    <t>2:13pm</t>
  </si>
  <si>
    <t>marcial marces</t>
  </si>
  <si>
    <t>9:40am</t>
  </si>
  <si>
    <t>Jairo Aguirre</t>
  </si>
  <si>
    <t>9:52am</t>
  </si>
  <si>
    <t xml:space="preserve"> Jaime Gevara</t>
  </si>
  <si>
    <t>9:55am</t>
  </si>
  <si>
    <t>ricardo Velez</t>
  </si>
  <si>
    <t>9:57am</t>
  </si>
  <si>
    <t>9:59am</t>
  </si>
  <si>
    <t>10:01am</t>
  </si>
  <si>
    <t>2:17pm</t>
  </si>
  <si>
    <t>Keneth de Leon</t>
  </si>
  <si>
    <t>10:03am</t>
  </si>
  <si>
    <t>10:05am</t>
  </si>
  <si>
    <t>2:18pm</t>
  </si>
  <si>
    <t>10:10am</t>
  </si>
  <si>
    <t>Armando Acosta</t>
  </si>
  <si>
    <t>10:12am</t>
  </si>
  <si>
    <t>2:23pm</t>
  </si>
  <si>
    <t>10:14am</t>
  </si>
  <si>
    <t>2:25pm</t>
  </si>
  <si>
    <t>Libardo Gaitan</t>
  </si>
  <si>
    <t>chapisteriagaitan@gmail.com</t>
  </si>
  <si>
    <t>10:16am</t>
  </si>
  <si>
    <t>10:26am</t>
  </si>
  <si>
    <t>10:28am</t>
  </si>
  <si>
    <t>10:30am</t>
  </si>
  <si>
    <t>2:27pm</t>
  </si>
  <si>
    <t>YInel Ballestero</t>
  </si>
  <si>
    <t>10:40am</t>
  </si>
  <si>
    <t>Roberto Gutierres</t>
  </si>
  <si>
    <t>10:48am</t>
  </si>
  <si>
    <t>2:28pm</t>
  </si>
  <si>
    <t>10:52am</t>
  </si>
  <si>
    <t>2:30pm</t>
  </si>
  <si>
    <t>Pascual Rodriguez</t>
  </si>
  <si>
    <t>10:54am</t>
  </si>
  <si>
    <t>2:31pm</t>
  </si>
  <si>
    <t>10:55am</t>
  </si>
  <si>
    <t>10:58am</t>
  </si>
  <si>
    <t xml:space="preserve">Jose Chavarria </t>
  </si>
  <si>
    <t>10:59am</t>
  </si>
  <si>
    <t>Jose Sanjur</t>
  </si>
  <si>
    <t>11:02am</t>
  </si>
  <si>
    <t>Jose Caballero</t>
  </si>
  <si>
    <t>11.03am</t>
  </si>
  <si>
    <t>Jose Acosta</t>
  </si>
  <si>
    <t>11:05am</t>
  </si>
  <si>
    <t>Abel Carrillo</t>
  </si>
  <si>
    <t>mandar informacion al whatsApp</t>
  </si>
  <si>
    <t>11:09am</t>
  </si>
  <si>
    <t>11:10am</t>
  </si>
  <si>
    <t>madelin Escudero</t>
  </si>
  <si>
    <t>11:12am</t>
  </si>
  <si>
    <t>Federico Miranda</t>
  </si>
  <si>
    <t>11:14am</t>
  </si>
  <si>
    <t>multiservicios.vidralum@gmail.com</t>
  </si>
  <si>
    <t>11:16am</t>
  </si>
  <si>
    <t>nviar informacion al correo o Whatsapp</t>
  </si>
  <si>
    <t>11:19am</t>
  </si>
  <si>
    <t>11:21am</t>
  </si>
  <si>
    <t>Aetia de la Victoria</t>
  </si>
  <si>
    <t>11:25am</t>
  </si>
  <si>
    <t>11:27am</t>
  </si>
  <si>
    <t>11:28am</t>
  </si>
  <si>
    <t>11:30am</t>
  </si>
  <si>
    <t>11:32am</t>
  </si>
  <si>
    <t>2:34pm</t>
  </si>
  <si>
    <t>11:37am</t>
  </si>
  <si>
    <t xml:space="preserve">Reynold Martinez </t>
  </si>
  <si>
    <t xml:space="preserve">Edwin Santamaría </t>
  </si>
  <si>
    <t>6772-2288</t>
  </si>
  <si>
    <t>2:36pm</t>
  </si>
  <si>
    <t>Auerelio Martinez</t>
  </si>
  <si>
    <t>6811-0226</t>
  </si>
  <si>
    <t>2:38pm</t>
  </si>
  <si>
    <t xml:space="preserve">Karol Ríos </t>
  </si>
  <si>
    <t>6804-3303</t>
  </si>
  <si>
    <t>Madelin EScudero</t>
  </si>
  <si>
    <t>El PIcantoso</t>
  </si>
  <si>
    <t xml:space="preserve">Lenonel Forte </t>
  </si>
  <si>
    <t>6550-1754</t>
  </si>
  <si>
    <t>2:42pm</t>
  </si>
  <si>
    <t>Fashon FyL</t>
  </si>
  <si>
    <t xml:space="preserve">Florencio Zurdo </t>
  </si>
  <si>
    <t>6356-6168</t>
  </si>
  <si>
    <t>2:45pm</t>
  </si>
  <si>
    <t>Madelñin Escudero</t>
  </si>
  <si>
    <t xml:space="preserve">Conash Lorenso </t>
  </si>
  <si>
    <t>6573-6162</t>
  </si>
  <si>
    <t>2:47pm</t>
  </si>
  <si>
    <t>Madelin escudero</t>
  </si>
  <si>
    <t>Tomas Viagra</t>
  </si>
  <si>
    <t>6964-5090</t>
  </si>
  <si>
    <t>2:51pm</t>
  </si>
  <si>
    <t>Felipe Valery</t>
  </si>
  <si>
    <t>6502-7465</t>
  </si>
  <si>
    <t>Roxana Sanchéz</t>
  </si>
  <si>
    <t>6615-1615</t>
  </si>
  <si>
    <t>2:57pm</t>
  </si>
  <si>
    <t>3:30pm</t>
  </si>
  <si>
    <t>MadelinEscudero</t>
  </si>
  <si>
    <t>PVillalas</t>
  </si>
  <si>
    <t>Patricio Villalaz</t>
  </si>
  <si>
    <t>6523-4261</t>
  </si>
  <si>
    <t>enviar informacion por Whatsapp</t>
  </si>
  <si>
    <t>Frank Gómez</t>
  </si>
  <si>
    <t>6481-8949</t>
  </si>
  <si>
    <t>3:35pm</t>
  </si>
  <si>
    <t xml:space="preserve">Romi  Mojica </t>
  </si>
  <si>
    <t>6752-9006</t>
  </si>
  <si>
    <t>3:06pm</t>
  </si>
  <si>
    <t>maritza Guiterrez</t>
  </si>
  <si>
    <t>6700-0148</t>
  </si>
  <si>
    <t>Rosa Aviles</t>
  </si>
  <si>
    <t>6573-8549</t>
  </si>
  <si>
    <t>3:12pm</t>
  </si>
  <si>
    <t>3:39pm</t>
  </si>
  <si>
    <t xml:space="preserve">Duraine Caballero </t>
  </si>
  <si>
    <t>6290-1874</t>
  </si>
  <si>
    <t>3:41pm</t>
  </si>
  <si>
    <t>Rosa de Atencio</t>
  </si>
  <si>
    <t>6809-7748</t>
  </si>
  <si>
    <t>Frank Gomez</t>
  </si>
  <si>
    <t>Ian Burgess</t>
  </si>
  <si>
    <t>6854-8922</t>
  </si>
  <si>
    <t>6640-9784</t>
  </si>
  <si>
    <t>3:22pm</t>
  </si>
  <si>
    <t>3:50pm</t>
  </si>
  <si>
    <t>Yamileth del C. Mitre</t>
  </si>
  <si>
    <t>6154-6712</t>
  </si>
  <si>
    <t>3:52pm</t>
  </si>
  <si>
    <t>Luis Suira</t>
  </si>
  <si>
    <t>6165-9794</t>
  </si>
  <si>
    <t>3:54pm</t>
  </si>
  <si>
    <t>Francia López</t>
  </si>
  <si>
    <t>6622-9808</t>
  </si>
  <si>
    <t>10::07am</t>
  </si>
  <si>
    <t>Hercilia Hernandez</t>
  </si>
  <si>
    <t>6844-6118</t>
  </si>
  <si>
    <t>10-08am</t>
  </si>
  <si>
    <t>1:06pm</t>
  </si>
  <si>
    <t>Adela Cano</t>
  </si>
  <si>
    <t>6397-8816</t>
  </si>
  <si>
    <t>6956-4720</t>
  </si>
  <si>
    <t>10:11am</t>
  </si>
  <si>
    <t>1:07pm</t>
  </si>
  <si>
    <t>Jorge Pitti</t>
  </si>
  <si>
    <t>6406-2956</t>
  </si>
  <si>
    <t>10:17am</t>
  </si>
  <si>
    <t xml:space="preserve">Helen Caballero </t>
  </si>
  <si>
    <t>6366-1415</t>
  </si>
  <si>
    <t>10:18am</t>
  </si>
  <si>
    <t>Osvaldo González</t>
  </si>
  <si>
    <t>6923-7546</t>
  </si>
  <si>
    <t>1020am</t>
  </si>
  <si>
    <t>Roderick Nonori</t>
  </si>
  <si>
    <t>6257-5807</t>
  </si>
  <si>
    <t>12:52pm</t>
  </si>
  <si>
    <t>Rudy Hernández</t>
  </si>
  <si>
    <t>6873-6513</t>
  </si>
  <si>
    <t>12:54pm</t>
  </si>
  <si>
    <t xml:space="preserve">Doritzel Santos </t>
  </si>
  <si>
    <t>6287-4507</t>
  </si>
  <si>
    <t>12.56pm</t>
  </si>
  <si>
    <t>Nely Lezcano</t>
  </si>
  <si>
    <t>6943-9314</t>
  </si>
  <si>
    <t>12:59pm</t>
  </si>
  <si>
    <t>1:08pm</t>
  </si>
  <si>
    <t>Dimas Castillo</t>
  </si>
  <si>
    <t>6339-9420</t>
  </si>
  <si>
    <t>1:01pm</t>
  </si>
  <si>
    <t>Alex Boyes</t>
  </si>
  <si>
    <t>6324-0324</t>
  </si>
  <si>
    <t>1:03pm</t>
  </si>
  <si>
    <t>Nadchie Pitty</t>
  </si>
  <si>
    <t>6238-8523</t>
  </si>
  <si>
    <t>1:09pm</t>
  </si>
  <si>
    <t>Madelin Escuero</t>
  </si>
  <si>
    <t xml:space="preserve">Nixia Miranda </t>
  </si>
  <si>
    <t>6834-8476</t>
  </si>
  <si>
    <t>Berta Gonzalez</t>
  </si>
  <si>
    <t>6532-3285</t>
  </si>
  <si>
    <t>1:12pm</t>
  </si>
  <si>
    <t>Marlem Rojas</t>
  </si>
  <si>
    <t>6285-8355</t>
  </si>
  <si>
    <t>Mauricio Hall</t>
  </si>
  <si>
    <t>6156-7386</t>
  </si>
  <si>
    <t>1:18pm</t>
  </si>
  <si>
    <t>Yonathan Beitia</t>
  </si>
  <si>
    <t>6314-1236</t>
  </si>
  <si>
    <t>Katherine Castillo</t>
  </si>
  <si>
    <t>6370-4429</t>
  </si>
  <si>
    <t>Sorangel Cerrud</t>
  </si>
  <si>
    <t>6824-5119</t>
  </si>
  <si>
    <t>1:26pm</t>
  </si>
  <si>
    <t>Sebastian Vejerano</t>
  </si>
  <si>
    <t>6617-6900</t>
  </si>
  <si>
    <t>1:28pm</t>
  </si>
  <si>
    <t>Mdelin Escudero</t>
  </si>
  <si>
    <t>Massiel Baules</t>
  </si>
  <si>
    <t>6665-0701</t>
  </si>
  <si>
    <t>1:31pm</t>
  </si>
  <si>
    <t>Yesenia Gónzalez</t>
  </si>
  <si>
    <t>6861-1634</t>
  </si>
  <si>
    <t>5.5.26</t>
  </si>
  <si>
    <t>3:26pm</t>
  </si>
  <si>
    <t>Franklin Jimenez</t>
  </si>
  <si>
    <t>6795-0181</t>
  </si>
  <si>
    <t>3:21pm</t>
  </si>
  <si>
    <t>Johana Guerra</t>
  </si>
  <si>
    <t>6393-0281</t>
  </si>
  <si>
    <t>3:24pm</t>
  </si>
  <si>
    <t>Amarilis Ayala</t>
  </si>
  <si>
    <t>6803-1389</t>
  </si>
  <si>
    <t>Arturo Jimenez</t>
  </si>
  <si>
    <t>6498-1212</t>
  </si>
  <si>
    <t>3:28pm</t>
  </si>
  <si>
    <t>3:31pm</t>
  </si>
  <si>
    <t>Thirsa Rivero</t>
  </si>
  <si>
    <t>6299-8018</t>
  </si>
  <si>
    <t>6941-4665</t>
  </si>
  <si>
    <t>Madelin  Escudero</t>
  </si>
  <si>
    <t>Rita Pinzón</t>
  </si>
  <si>
    <t>6646-2122</t>
  </si>
  <si>
    <t>3:32om</t>
  </si>
  <si>
    <t>Silka Guerra</t>
  </si>
  <si>
    <t>6200-0595</t>
  </si>
  <si>
    <t>3.34pm</t>
  </si>
  <si>
    <t>Jesus Sánchez</t>
  </si>
  <si>
    <t>6384-9051</t>
  </si>
  <si>
    <t>adelin Escudero</t>
  </si>
  <si>
    <t>Benito Pineda</t>
  </si>
  <si>
    <t>6528-4147</t>
  </si>
  <si>
    <t>3:37pm</t>
  </si>
  <si>
    <t>José Luis Cedeño</t>
  </si>
  <si>
    <t>6923-7403</t>
  </si>
  <si>
    <t>Madelin &gt;Escudero</t>
  </si>
  <si>
    <t>Jhon Hernández</t>
  </si>
  <si>
    <t>6571-8132</t>
  </si>
  <si>
    <t>3:40pm</t>
  </si>
  <si>
    <t>Madelin scudero</t>
  </si>
  <si>
    <t>Roldán Juarez</t>
  </si>
  <si>
    <t>6386-1043</t>
  </si>
  <si>
    <t>5--5-26</t>
  </si>
  <si>
    <t>3:43pm</t>
  </si>
  <si>
    <t>Ameth Rivera</t>
  </si>
  <si>
    <t>65154225/68983218</t>
  </si>
  <si>
    <t>3:46pm</t>
  </si>
  <si>
    <t>Domingo Patiño</t>
  </si>
  <si>
    <t>3:48pm</t>
  </si>
  <si>
    <t>Isabel Beitia</t>
  </si>
  <si>
    <t>Elka Rodríguez</t>
  </si>
  <si>
    <t>3:56pm</t>
  </si>
  <si>
    <t>Larry Araúz</t>
  </si>
  <si>
    <t>6248-6804</t>
  </si>
  <si>
    <t>3:8pm</t>
  </si>
  <si>
    <t xml:space="preserve">Iveth Pineda </t>
  </si>
  <si>
    <t>6239-4522</t>
  </si>
  <si>
    <t>8:48am</t>
  </si>
  <si>
    <t>Jorge Hernández</t>
  </si>
  <si>
    <t>6826-2712</t>
  </si>
  <si>
    <t>Cristofer Batista</t>
  </si>
  <si>
    <t>6314-0436</t>
  </si>
  <si>
    <t>8:56am</t>
  </si>
  <si>
    <t xml:space="preserve">Irma Rovira </t>
  </si>
  <si>
    <t>6837-0986</t>
  </si>
  <si>
    <t>8:58am</t>
  </si>
  <si>
    <t xml:space="preserve">Marcos de la Victoria </t>
  </si>
  <si>
    <t>6583-4997</t>
  </si>
  <si>
    <t>1.43pm</t>
  </si>
  <si>
    <t xml:space="preserve">Jorge Camarena </t>
  </si>
  <si>
    <t>6735-8757</t>
  </si>
  <si>
    <t>9-02am</t>
  </si>
  <si>
    <t>Ketzalia Martinez</t>
  </si>
  <si>
    <t>6622-9732</t>
  </si>
  <si>
    <t>10:19am</t>
  </si>
  <si>
    <t>1:44pm</t>
  </si>
  <si>
    <t>Raúl Castillo</t>
  </si>
  <si>
    <t>6507-6553</t>
  </si>
  <si>
    <t>10:21am</t>
  </si>
  <si>
    <t xml:space="preserve">Rigoberto Giron </t>
  </si>
  <si>
    <t>6423-0538</t>
  </si>
  <si>
    <t>10:22am</t>
  </si>
  <si>
    <t>Ilka Ibarra</t>
  </si>
  <si>
    <t>6872-0271</t>
  </si>
  <si>
    <t>10:24am</t>
  </si>
  <si>
    <t>1:46pm</t>
  </si>
  <si>
    <t>Manuel Moreno</t>
  </si>
  <si>
    <t>6027-4444</t>
  </si>
  <si>
    <t>10:25am</t>
  </si>
  <si>
    <t>Estrella Concepción</t>
  </si>
  <si>
    <t>6508-4929</t>
  </si>
  <si>
    <t>Kenneth Rodríguez</t>
  </si>
  <si>
    <t>6655-7310</t>
  </si>
  <si>
    <t>Manuel Quintero</t>
  </si>
  <si>
    <t>6582-4995</t>
  </si>
  <si>
    <t>10:29am</t>
  </si>
  <si>
    <t xml:space="preserve">Raúl Pedrol </t>
  </si>
  <si>
    <t>6460-2495</t>
  </si>
  <si>
    <t>Suany Contreras</t>
  </si>
  <si>
    <t>6458-2071</t>
  </si>
  <si>
    <t>10:32am</t>
  </si>
  <si>
    <t>Geovana González</t>
  </si>
  <si>
    <t>6598-6359</t>
  </si>
  <si>
    <t>10:34am</t>
  </si>
  <si>
    <t>Lelys A. Quintero R.</t>
  </si>
  <si>
    <t>681-6000</t>
  </si>
  <si>
    <t>numero incorreto</t>
  </si>
  <si>
    <t>Danais Nava</t>
  </si>
  <si>
    <t>6090-9086</t>
  </si>
  <si>
    <t>10:35am</t>
  </si>
  <si>
    <t>Luis Sánchez</t>
  </si>
  <si>
    <t>6326-5977</t>
  </si>
  <si>
    <t>10:37am</t>
  </si>
  <si>
    <t>Roberto Morales</t>
  </si>
  <si>
    <t>6550-3913</t>
  </si>
  <si>
    <t>10:38am</t>
  </si>
  <si>
    <t>1:48pm</t>
  </si>
  <si>
    <t>ROBERTO CANO</t>
  </si>
  <si>
    <t>6347-1150</t>
  </si>
  <si>
    <t>Yessica Gomez</t>
  </si>
  <si>
    <t>6623-7963</t>
  </si>
  <si>
    <t>11:35am</t>
  </si>
  <si>
    <t>Isaias González</t>
  </si>
  <si>
    <t>8:20 a.m.</t>
  </si>
  <si>
    <t>8:30 a.m.</t>
  </si>
  <si>
    <t xml:space="preserve">                                 4-3-26 9.19 a.m</t>
  </si>
  <si>
    <t>9.19  am</t>
  </si>
  <si>
    <t xml:space="preserve">                                4-3-26  9.23  a.m</t>
  </si>
  <si>
    <t>9.27  am</t>
  </si>
  <si>
    <t xml:space="preserve">                                 4-3-26</t>
  </si>
  <si>
    <t>9.31 a.m</t>
  </si>
  <si>
    <t xml:space="preserve">                                4-3-26</t>
  </si>
  <si>
    <t>9.39 a.m</t>
  </si>
  <si>
    <t>9.43 a.m</t>
  </si>
  <si>
    <t>El numero no corresponde al local, residencial Familiar.</t>
  </si>
  <si>
    <t>10.06 a.m</t>
  </si>
  <si>
    <t>9.56 a.m</t>
  </si>
  <si>
    <t>isaias gonzalez</t>
  </si>
  <si>
    <t>10.18 a.m</t>
  </si>
  <si>
    <t>10.23 a.m</t>
  </si>
  <si>
    <t>10.28 a.m</t>
  </si>
  <si>
    <t>10.36 a.m</t>
  </si>
  <si>
    <t>10.40 a.m</t>
  </si>
  <si>
    <t>10.47 a.m</t>
  </si>
  <si>
    <t>10.52 a.m</t>
  </si>
  <si>
    <t>10.57 a.m</t>
  </si>
  <si>
    <t>11.04 a.m</t>
  </si>
  <si>
    <t>11.07 a.m</t>
  </si>
  <si>
    <t>11.12 a.m</t>
  </si>
  <si>
    <t>el numero no corresponde al local,residecial</t>
  </si>
  <si>
    <t>11.17 a.m</t>
  </si>
  <si>
    <t>11.20 a.m</t>
  </si>
  <si>
    <t>11.24 a.m</t>
  </si>
  <si>
    <t>11.26 a.m</t>
  </si>
  <si>
    <t>11.33 a.m</t>
  </si>
  <si>
    <t>el numero no corresponde al local, residencial</t>
  </si>
  <si>
    <t>11.41 a.m</t>
  </si>
  <si>
    <t>11.47 a.m</t>
  </si>
  <si>
    <t xml:space="preserve">                                4-3-26  11.55 a.m                                                                                                                  </t>
  </si>
  <si>
    <t>11.58 a.m</t>
  </si>
  <si>
    <t>12.04 pm</t>
  </si>
  <si>
    <t>12.08 p.m</t>
  </si>
  <si>
    <t>01.00 p.m</t>
  </si>
  <si>
    <t>01.03 p.m</t>
  </si>
  <si>
    <t>01.07 p.m</t>
  </si>
  <si>
    <t>01.18 p.m</t>
  </si>
  <si>
    <t>01.14 p.m</t>
  </si>
  <si>
    <t>el numero no corrsponde al local, residencial</t>
  </si>
  <si>
    <t>01.28 p.m</t>
  </si>
  <si>
    <t>01.34 p.m</t>
  </si>
  <si>
    <t xml:space="preserve">                                4-3-26  01.36 p.m</t>
  </si>
  <si>
    <t>01.36 p.m</t>
  </si>
  <si>
    <t>01.40 p.m</t>
  </si>
  <si>
    <t>01.49 p.m</t>
  </si>
  <si>
    <t>01.57 p.m</t>
  </si>
  <si>
    <t>02.06 p.m</t>
  </si>
  <si>
    <t>02:14 p.m.</t>
  </si>
  <si>
    <t>DAYRA VILLARREAL</t>
  </si>
  <si>
    <t>8.26AM</t>
  </si>
  <si>
    <t>8.29AM</t>
  </si>
  <si>
    <t>8.31AM</t>
  </si>
  <si>
    <t>8.53am</t>
  </si>
  <si>
    <t>8.32AM</t>
  </si>
  <si>
    <t>8.54am</t>
  </si>
  <si>
    <t>8.48AM</t>
  </si>
  <si>
    <t>8.57am</t>
  </si>
  <si>
    <t>8.50AM</t>
  </si>
  <si>
    <t>8.58am</t>
  </si>
  <si>
    <t>DAYRAVILLLARREAL</t>
  </si>
  <si>
    <t>8.49AM</t>
  </si>
  <si>
    <t>8.51AM</t>
  </si>
  <si>
    <t>8.59am</t>
  </si>
  <si>
    <t>8.52AM</t>
  </si>
  <si>
    <t>9.01am</t>
  </si>
  <si>
    <t>8.54AM</t>
  </si>
  <si>
    <t>8.55AM</t>
  </si>
  <si>
    <t>8.56AM</t>
  </si>
  <si>
    <t>8.57AM</t>
  </si>
  <si>
    <t>9.02AM</t>
  </si>
  <si>
    <t>9.03AM</t>
  </si>
  <si>
    <t>9.02am</t>
  </si>
  <si>
    <t>9.04AM</t>
  </si>
  <si>
    <t>9.03am</t>
  </si>
  <si>
    <t>9.05AM</t>
  </si>
  <si>
    <t>9.12am</t>
  </si>
  <si>
    <t>9.06AM</t>
  </si>
  <si>
    <t>9.07AM</t>
  </si>
  <si>
    <t>9.13am</t>
  </si>
  <si>
    <t>9.17AM</t>
  </si>
  <si>
    <t>VIVE EN SAN MIGUELITO</t>
  </si>
  <si>
    <t>DAYRA VILLLARREAL</t>
  </si>
  <si>
    <t>9.20AM</t>
  </si>
  <si>
    <t>9.22AM</t>
  </si>
  <si>
    <t>9.15am</t>
  </si>
  <si>
    <t>9.23AM</t>
  </si>
  <si>
    <t>9.25AM</t>
  </si>
  <si>
    <t>9.26AM</t>
  </si>
  <si>
    <t>9.27AM</t>
  </si>
  <si>
    <t>9.18am</t>
  </si>
  <si>
    <t>9.28AM</t>
  </si>
  <si>
    <t>9.38am</t>
  </si>
  <si>
    <t>9.29AM</t>
  </si>
  <si>
    <t>9.31AM</t>
  </si>
  <si>
    <t>9.32AM</t>
  </si>
  <si>
    <t>9.44am</t>
  </si>
  <si>
    <t>9.33AM</t>
  </si>
  <si>
    <t>9.45am</t>
  </si>
  <si>
    <t>9.34AM</t>
  </si>
  <si>
    <t>9.46am</t>
  </si>
  <si>
    <t>9.35AM</t>
  </si>
  <si>
    <t>9.36AM</t>
  </si>
  <si>
    <t>9.37AM</t>
  </si>
  <si>
    <t>9.38AM</t>
  </si>
  <si>
    <t>9.39AM</t>
  </si>
  <si>
    <t>9.48am</t>
  </si>
  <si>
    <t>9.40AM</t>
  </si>
  <si>
    <t>10.42am</t>
  </si>
  <si>
    <t>9.41AM</t>
  </si>
  <si>
    <t>9.42AM</t>
  </si>
  <si>
    <t>NO TIENE NEGOCIO</t>
  </si>
  <si>
    <t>9.43AM</t>
  </si>
  <si>
    <t>9.45AM</t>
  </si>
  <si>
    <t xml:space="preserve">DAYRA VILLARREAL </t>
  </si>
  <si>
    <t>9.46AM</t>
  </si>
  <si>
    <t>9.48AM</t>
  </si>
  <si>
    <t>10.43am</t>
  </si>
  <si>
    <t>9.49AM</t>
  </si>
  <si>
    <t>9.50AM</t>
  </si>
  <si>
    <t>9.51AM</t>
  </si>
  <si>
    <t>9.52AM</t>
  </si>
  <si>
    <t>10.44am</t>
  </si>
  <si>
    <t>9.53AM</t>
  </si>
  <si>
    <t>9.54AM</t>
  </si>
  <si>
    <t>10.45am</t>
  </si>
  <si>
    <t>9.55AM</t>
  </si>
  <si>
    <t>9.56AM</t>
  </si>
  <si>
    <t>OCUPADO</t>
  </si>
  <si>
    <t>9.57AM</t>
  </si>
  <si>
    <t>9.58AM</t>
  </si>
  <si>
    <t>10,00AM</t>
  </si>
  <si>
    <t>10.01AM</t>
  </si>
  <si>
    <t>10.02AM</t>
  </si>
  <si>
    <t>10.05AM</t>
  </si>
  <si>
    <t>10.47am</t>
  </si>
  <si>
    <t>10.06AM</t>
  </si>
  <si>
    <t>10.07AM</t>
  </si>
  <si>
    <t>10.08AM</t>
  </si>
  <si>
    <t>10.09AM</t>
  </si>
  <si>
    <t>10.11AM</t>
  </si>
  <si>
    <t>10.13AM</t>
  </si>
  <si>
    <t>10.48am</t>
  </si>
  <si>
    <t>10.14AM</t>
  </si>
  <si>
    <t>10.15AM</t>
  </si>
  <si>
    <t>10.18AM</t>
  </si>
  <si>
    <t>10.19AM</t>
  </si>
  <si>
    <t>10.49am</t>
  </si>
  <si>
    <t>10.20AM</t>
  </si>
  <si>
    <t>10.50am</t>
  </si>
  <si>
    <t>10.21AM</t>
  </si>
  <si>
    <t>10.22AM</t>
  </si>
  <si>
    <t>10.51am</t>
  </si>
  <si>
    <t>10.23AM</t>
  </si>
  <si>
    <t>LLAMAR A LAS 3PM.</t>
  </si>
  <si>
    <t>10.24AM</t>
  </si>
  <si>
    <t>10.53am</t>
  </si>
  <si>
    <t>10.25AM</t>
  </si>
  <si>
    <t>06/032026</t>
  </si>
  <si>
    <t>10.55am</t>
  </si>
  <si>
    <t>10.26AM</t>
  </si>
  <si>
    <t>10.27AM</t>
  </si>
  <si>
    <t>12.37MD</t>
  </si>
  <si>
    <t>10.28AM</t>
  </si>
  <si>
    <t>12.38MD</t>
  </si>
  <si>
    <t>10.29AM</t>
  </si>
  <si>
    <t>10.30AM</t>
  </si>
  <si>
    <t>ES DE PANAMÁ</t>
  </si>
  <si>
    <t>10.31AM</t>
  </si>
  <si>
    <t>10.32AM</t>
  </si>
  <si>
    <t>10.34AM</t>
  </si>
  <si>
    <t>VIVE MUY LEJOS</t>
  </si>
  <si>
    <t>10.36AM</t>
  </si>
  <si>
    <t>12.39MD</t>
  </si>
  <si>
    <t>10.37AM</t>
  </si>
  <si>
    <t>10.38AM</t>
  </si>
  <si>
    <t>12.41MD</t>
  </si>
  <si>
    <t>10.39AM</t>
  </si>
  <si>
    <t>10.40AM</t>
  </si>
  <si>
    <t>10.41AM</t>
  </si>
  <si>
    <t>10.42AM</t>
  </si>
  <si>
    <t>12.42MD</t>
  </si>
  <si>
    <t>10.43AM</t>
  </si>
  <si>
    <t>10.44AM</t>
  </si>
  <si>
    <t>12.43MD</t>
  </si>
  <si>
    <t>10.45AM</t>
  </si>
  <si>
    <t>12.45MD</t>
  </si>
  <si>
    <t>10.46AM</t>
  </si>
  <si>
    <t>12.46MD</t>
  </si>
  <si>
    <t>10.47AM</t>
  </si>
  <si>
    <t>10.50AM</t>
  </si>
  <si>
    <t>12.47MD</t>
  </si>
  <si>
    <t>10.53AM</t>
  </si>
  <si>
    <t>10.54AM</t>
  </si>
  <si>
    <t>10.55AM</t>
  </si>
  <si>
    <t>06/037/2026</t>
  </si>
  <si>
    <t>12.50MD</t>
  </si>
  <si>
    <t>10.56AM</t>
  </si>
  <si>
    <t>12.51MD</t>
  </si>
  <si>
    <t>10.57AM</t>
  </si>
  <si>
    <t>10.59AM</t>
  </si>
  <si>
    <t>11.05AM</t>
  </si>
  <si>
    <t>11.08AM</t>
  </si>
  <si>
    <t>12.52MD</t>
  </si>
  <si>
    <t>11.13AM</t>
  </si>
  <si>
    <t>12.53MD</t>
  </si>
  <si>
    <t>11.14AM</t>
  </si>
  <si>
    <t>12.55MD</t>
  </si>
  <si>
    <t>11.15AM</t>
  </si>
  <si>
    <t>12.56MD</t>
  </si>
  <si>
    <t>11.16AM</t>
  </si>
  <si>
    <t>12.48MD</t>
  </si>
  <si>
    <t>11.18AM</t>
  </si>
  <si>
    <t>Ilka L. Arauz</t>
  </si>
  <si>
    <t>11.04</t>
  </si>
  <si>
    <t>10.01am</t>
  </si>
  <si>
    <t>10.02am</t>
  </si>
  <si>
    <t xml:space="preserve">                      06/032026</t>
  </si>
  <si>
    <t>10.10 am</t>
  </si>
  <si>
    <t>9:11 a.m.</t>
  </si>
  <si>
    <t xml:space="preserve">                    06/03/2026</t>
  </si>
  <si>
    <t xml:space="preserve">             10.16</t>
  </si>
  <si>
    <t xml:space="preserve">                     06/03/2026</t>
  </si>
  <si>
    <t>8.47am</t>
  </si>
  <si>
    <t>8.47AM</t>
  </si>
  <si>
    <t>falta un número</t>
  </si>
  <si>
    <t xml:space="preserve">Johana Santamaria </t>
  </si>
  <si>
    <t>9:13 a.m.</t>
  </si>
  <si>
    <t>gidcarmen@hotmail.com</t>
  </si>
  <si>
    <t xml:space="preserve">enviar información por correo para que le den permiso en el trabajo de poder asistir. </t>
  </si>
  <si>
    <t>9:56 a.m.</t>
  </si>
  <si>
    <t>10:00 a.m.</t>
  </si>
  <si>
    <t>10:02 a.m.</t>
  </si>
  <si>
    <t>10:12 a.m.</t>
  </si>
  <si>
    <t>10:13 a.m.</t>
  </si>
  <si>
    <t>10:17 a.m.</t>
  </si>
  <si>
    <t>10:59  a.m.</t>
  </si>
  <si>
    <t>9;48</t>
  </si>
  <si>
    <t>9;07</t>
  </si>
  <si>
    <t>9::20</t>
  </si>
  <si>
    <t>10:06 a.m.</t>
  </si>
  <si>
    <t>10:09 a.m.</t>
  </si>
  <si>
    <t>10:10 a.m.</t>
  </si>
  <si>
    <t xml:space="preserve">Beatriz Batista </t>
  </si>
  <si>
    <t>6602-8419</t>
  </si>
  <si>
    <t>Fergie Arauz</t>
  </si>
  <si>
    <t>6833-8727</t>
  </si>
  <si>
    <t>9:09 a.m.</t>
  </si>
  <si>
    <t>Sergio González</t>
  </si>
  <si>
    <t>6495-1668</t>
  </si>
  <si>
    <t>9:08 a.m.</t>
  </si>
  <si>
    <t xml:space="preserve">Jessica Rojas </t>
  </si>
  <si>
    <t>6584-6677</t>
  </si>
  <si>
    <t xml:space="preserve">Bladimir Saldaña </t>
  </si>
  <si>
    <t>6746-0928</t>
  </si>
  <si>
    <t>Esta trabajando en Panamá</t>
  </si>
  <si>
    <t>Itzel Zurdo</t>
  </si>
  <si>
    <t>6590-7608</t>
  </si>
  <si>
    <t xml:space="preserve">Juan Prado </t>
  </si>
  <si>
    <t>6403-3112</t>
  </si>
  <si>
    <t>Ketzy Arauz</t>
  </si>
  <si>
    <t>6456-0737</t>
  </si>
  <si>
    <t>Alice Saldaña</t>
  </si>
  <si>
    <t>6922-5296</t>
  </si>
  <si>
    <t>Annabelis Lizondro</t>
  </si>
  <si>
    <t>6745-0821</t>
  </si>
  <si>
    <t>Ana Rodríguez</t>
  </si>
  <si>
    <t>6713-1724</t>
  </si>
  <si>
    <t>Regina Jimenez</t>
  </si>
  <si>
    <t>6297-8063</t>
  </si>
  <si>
    <t>2:51 p.m.</t>
  </si>
  <si>
    <t xml:space="preserve">Ibel Del cid </t>
  </si>
  <si>
    <t>6883-8259</t>
  </si>
  <si>
    <t>Erick Snchéz</t>
  </si>
  <si>
    <t>6491-7049</t>
  </si>
  <si>
    <t xml:space="preserve">Mireya Cubilla </t>
  </si>
  <si>
    <t>6468-8616</t>
  </si>
  <si>
    <t xml:space="preserve">María Quintero </t>
  </si>
  <si>
    <t>6708-6563</t>
  </si>
  <si>
    <t xml:space="preserve">Winfer Atencio </t>
  </si>
  <si>
    <t>6431-0636</t>
  </si>
  <si>
    <t>Annika Stephensom</t>
  </si>
  <si>
    <t>6835-8081</t>
  </si>
  <si>
    <t xml:space="preserve">Victor Chang </t>
  </si>
  <si>
    <t>6206-3305</t>
  </si>
  <si>
    <t>Grisel González</t>
  </si>
  <si>
    <t>6621-7545</t>
  </si>
  <si>
    <t>2:09 p.m.</t>
  </si>
  <si>
    <t xml:space="preserve">Jorge Espinoza </t>
  </si>
  <si>
    <t>José Mulino</t>
  </si>
  <si>
    <t>6655-5760</t>
  </si>
  <si>
    <t>Timoteo Ibarra</t>
  </si>
  <si>
    <t>6555-3052</t>
  </si>
  <si>
    <t>1:58 p.m.</t>
  </si>
  <si>
    <t>Davis Navarro</t>
  </si>
  <si>
    <t>6862-3257</t>
  </si>
  <si>
    <t>Cinthia Rivera</t>
  </si>
  <si>
    <t>6809-6251</t>
  </si>
  <si>
    <t>Sergio Rodríguez</t>
  </si>
  <si>
    <t>6975-3896</t>
  </si>
  <si>
    <t>1:50 p.m.</t>
  </si>
  <si>
    <t>Ilsa Navarro</t>
  </si>
  <si>
    <t>6412-4391</t>
  </si>
  <si>
    <t>Bellaneiro Elizondro</t>
  </si>
  <si>
    <t>6655-9028</t>
  </si>
  <si>
    <t>1:45 p.m.</t>
  </si>
  <si>
    <t>Digno Trosch</t>
  </si>
  <si>
    <t>6417-8742</t>
  </si>
  <si>
    <t>1:10 p.m.</t>
  </si>
  <si>
    <t xml:space="preserve">Saida Morales </t>
  </si>
  <si>
    <t>6163-7627</t>
  </si>
  <si>
    <t>1:08 p.m.</t>
  </si>
  <si>
    <t>Rolando Araúz</t>
  </si>
  <si>
    <t>6331-8553</t>
  </si>
  <si>
    <t>1:06 p.m.</t>
  </si>
  <si>
    <t>Otilia Villarreal</t>
  </si>
  <si>
    <t>6418-3880</t>
  </si>
  <si>
    <t>1:05 p.m.</t>
  </si>
  <si>
    <t>María Caballero</t>
  </si>
  <si>
    <t>6433-2681</t>
  </si>
  <si>
    <t>1:02 p.m.</t>
  </si>
  <si>
    <t>1:00 p.m.</t>
  </si>
  <si>
    <t>Pamela Steverg</t>
  </si>
  <si>
    <t>6284-5996</t>
  </si>
  <si>
    <t>12:58 p.m.</t>
  </si>
  <si>
    <t xml:space="preserve">Marta Montenegro </t>
  </si>
  <si>
    <t>6406-6021</t>
  </si>
  <si>
    <t>12:56p.m.</t>
  </si>
  <si>
    <t>Livis Cedeño</t>
  </si>
  <si>
    <t>6785-7417</t>
  </si>
  <si>
    <t>12:48 p.m.</t>
  </si>
  <si>
    <t>Yamileth Jiménez</t>
  </si>
  <si>
    <t>6694-5196</t>
  </si>
  <si>
    <t>12:46 p.m.</t>
  </si>
  <si>
    <t>Oscar Aizprua</t>
  </si>
  <si>
    <t>6965-8768</t>
  </si>
  <si>
    <t>12:42 p.m.</t>
  </si>
  <si>
    <t>Adelicia Bruña</t>
  </si>
  <si>
    <t>6714-2094</t>
  </si>
  <si>
    <t>12:41 p.m.</t>
  </si>
  <si>
    <t>Joel Gutierrez</t>
  </si>
  <si>
    <t>6105-9407</t>
  </si>
  <si>
    <t>12:40 p.m.</t>
  </si>
  <si>
    <t>Elmer Ortiz</t>
  </si>
  <si>
    <t>6497-2186</t>
  </si>
  <si>
    <t>12:36 p.m.</t>
  </si>
  <si>
    <t>Francisco Pitti</t>
  </si>
  <si>
    <t>6556-7967</t>
  </si>
  <si>
    <t>12:34 p.m.</t>
  </si>
  <si>
    <t>Ruby González</t>
  </si>
  <si>
    <t>6630-2856</t>
  </si>
  <si>
    <t>12:29 p.m.</t>
  </si>
  <si>
    <t>Kerral Méndez</t>
  </si>
  <si>
    <t>6584-1381</t>
  </si>
  <si>
    <t>12:28 p.m</t>
  </si>
  <si>
    <t>Aixa Castillo</t>
  </si>
  <si>
    <t>6051-7199</t>
  </si>
  <si>
    <t>12:23 p.m.</t>
  </si>
  <si>
    <t>Yanira Gallego</t>
  </si>
  <si>
    <t>6489-2678</t>
  </si>
  <si>
    <t>12:22 p.m.</t>
  </si>
  <si>
    <t xml:space="preserve">Ariadna Concepción </t>
  </si>
  <si>
    <t>6687-9864</t>
  </si>
  <si>
    <t>12:16 p.m.</t>
  </si>
  <si>
    <t>Ledia Medianero</t>
  </si>
  <si>
    <t>6403-8333</t>
  </si>
  <si>
    <t>12:15 p.m.</t>
  </si>
  <si>
    <t>Willian Aguilar</t>
  </si>
  <si>
    <t>6530-3168</t>
  </si>
  <si>
    <t>12:09 p.m.</t>
  </si>
  <si>
    <t>Pablo Saavedra</t>
  </si>
  <si>
    <t>6258-1666</t>
  </si>
  <si>
    <t>12:05 p.m.</t>
  </si>
  <si>
    <t>Jaime Lezcano</t>
  </si>
  <si>
    <t>6584-6722</t>
  </si>
  <si>
    <t>12:04 p.m.</t>
  </si>
  <si>
    <t>Yenifer Almengor</t>
  </si>
  <si>
    <t>6728-9330</t>
  </si>
  <si>
    <t>12:03 p.m.</t>
  </si>
  <si>
    <t>Ligoria Cortez</t>
  </si>
  <si>
    <t>6794-2750</t>
  </si>
  <si>
    <t>12:02 p.m.</t>
  </si>
  <si>
    <t>Lisbeth Castillo</t>
  </si>
  <si>
    <t>6804-7726</t>
  </si>
  <si>
    <t>12:01 p.m.</t>
  </si>
  <si>
    <t xml:space="preserve">Mapis Guerra </t>
  </si>
  <si>
    <t>6861-2301</t>
  </si>
  <si>
    <t>12:00 m.d.</t>
  </si>
  <si>
    <t>Abel Yanguez</t>
  </si>
  <si>
    <t>6561-8012</t>
  </si>
  <si>
    <t>11:55 a.m.</t>
  </si>
  <si>
    <t>Eredis Caballero</t>
  </si>
  <si>
    <t>6662-8240</t>
  </si>
  <si>
    <t>Enilda Santos</t>
  </si>
  <si>
    <t>6974-2197</t>
  </si>
  <si>
    <t>Jovany Caballero</t>
  </si>
  <si>
    <t>11:52 a.m.</t>
  </si>
  <si>
    <t>Yoselyn Espinoza</t>
  </si>
  <si>
    <t>Zuli Vega</t>
  </si>
  <si>
    <t>Ricardo Patiño</t>
  </si>
  <si>
    <t>775-5332/6430-7954</t>
  </si>
  <si>
    <t>11:48 a.m.</t>
  </si>
  <si>
    <t>Lenis Sanchéz</t>
  </si>
  <si>
    <t>6435-5968</t>
  </si>
  <si>
    <t>11:30 a.m.</t>
  </si>
  <si>
    <t>Vive en Panamá</t>
  </si>
  <si>
    <t>Heidi De Gracia</t>
  </si>
  <si>
    <t>6396-7267</t>
  </si>
  <si>
    <t>11:27 a.m.</t>
  </si>
  <si>
    <t>Luisa Darking</t>
  </si>
  <si>
    <t>6893-7368</t>
  </si>
  <si>
    <t xml:space="preserve">11:23 a.m. </t>
  </si>
  <si>
    <t>vive en Tonosí</t>
  </si>
  <si>
    <t xml:space="preserve">Noriel Guerra </t>
  </si>
  <si>
    <t>6477-9251</t>
  </si>
  <si>
    <t>Jhony Bonilla</t>
  </si>
  <si>
    <t>6454-8505</t>
  </si>
  <si>
    <t>11:00 a.m.</t>
  </si>
  <si>
    <t xml:space="preserve">Karen Muñoz </t>
  </si>
  <si>
    <t>6977-3781</t>
  </si>
  <si>
    <t>10:57 a.m.</t>
  </si>
  <si>
    <t>Keity Quintero</t>
  </si>
  <si>
    <t>6719-3398</t>
  </si>
  <si>
    <t xml:space="preserve">Edgar Pitti </t>
  </si>
  <si>
    <t>6298-1800</t>
  </si>
  <si>
    <t>10:55 a.m.</t>
  </si>
  <si>
    <t xml:space="preserve">Yurik Lasso </t>
  </si>
  <si>
    <t>6233-8339</t>
  </si>
  <si>
    <t>10:54 a.m.</t>
  </si>
  <si>
    <t xml:space="preserve">Iris Caballero </t>
  </si>
  <si>
    <t>6713-4217</t>
  </si>
  <si>
    <t>10:53 a.m.</t>
  </si>
  <si>
    <t>Kelyn Palacios</t>
  </si>
  <si>
    <t>6284-7069</t>
  </si>
  <si>
    <t>10:51 a.m.</t>
  </si>
  <si>
    <t>Maichel Rivera</t>
  </si>
  <si>
    <t>6782-8662</t>
  </si>
  <si>
    <t>10:50 a.m.</t>
  </si>
  <si>
    <t>Dalila Madrid</t>
  </si>
  <si>
    <t>6242-7758</t>
  </si>
  <si>
    <t>10:46 a.m.</t>
  </si>
  <si>
    <t>Wilfredo Samunio</t>
  </si>
  <si>
    <t>6287-1183</t>
  </si>
  <si>
    <t>Fatima  Vargas</t>
  </si>
  <si>
    <t>6234-2404</t>
  </si>
  <si>
    <t>Mariela Estevez</t>
  </si>
  <si>
    <t>6710-5288</t>
  </si>
  <si>
    <t>10:39 a.m.</t>
  </si>
  <si>
    <t>Belsy Pinillo</t>
  </si>
  <si>
    <t>6552-0620</t>
  </si>
  <si>
    <t>Judith V. Castillo</t>
  </si>
  <si>
    <t>6672-1488</t>
  </si>
  <si>
    <t>10:36 a.m.</t>
  </si>
  <si>
    <t xml:space="preserve">Jordan Morales </t>
  </si>
  <si>
    <t>6819-2900</t>
  </si>
  <si>
    <t>10:34 a.m.</t>
  </si>
  <si>
    <t>Elvia Serrano</t>
  </si>
  <si>
    <t>6345-7365</t>
  </si>
  <si>
    <t>Abdiel Aparicio</t>
  </si>
  <si>
    <t>6829-7136</t>
  </si>
  <si>
    <t>10:31 a.m.</t>
  </si>
  <si>
    <t>Raúl Gallimore</t>
  </si>
  <si>
    <t>6616-7825</t>
  </si>
  <si>
    <t>EULALIA PIMENTEL</t>
  </si>
  <si>
    <t>6445-0308</t>
  </si>
  <si>
    <t>9:49 a.m.</t>
  </si>
  <si>
    <t>Itzela Arauz</t>
  </si>
  <si>
    <t>6827-8511</t>
  </si>
  <si>
    <t xml:space="preserve">AQUELSIO gONZALEZ </t>
  </si>
  <si>
    <t>9:47AM</t>
  </si>
  <si>
    <t>9:50AM</t>
  </si>
  <si>
    <t>9.55am</t>
  </si>
  <si>
    <t>10:15am</t>
  </si>
  <si>
    <t>10:20am</t>
  </si>
  <si>
    <t>10:31am</t>
  </si>
  <si>
    <t>10:41am</t>
  </si>
  <si>
    <t>10:43am</t>
  </si>
  <si>
    <t>10:44am</t>
  </si>
  <si>
    <t>10:45am</t>
  </si>
  <si>
    <t>10:50am</t>
  </si>
  <si>
    <t>10:53am</t>
  </si>
  <si>
    <t>11:38am</t>
  </si>
  <si>
    <t>11;40am</t>
  </si>
  <si>
    <t>11;42am</t>
  </si>
  <si>
    <t>11:43am</t>
  </si>
  <si>
    <t>11:46am</t>
  </si>
  <si>
    <t>11:48am</t>
  </si>
  <si>
    <t>2:15pm</t>
  </si>
  <si>
    <t>2:16pm</t>
  </si>
  <si>
    <t>2.18pm</t>
  </si>
  <si>
    <t>2:20pm</t>
  </si>
  <si>
    <t>2:21pm</t>
  </si>
  <si>
    <t>2:24pm</t>
  </si>
  <si>
    <t>2.24pm</t>
  </si>
  <si>
    <t>2.28pm</t>
  </si>
  <si>
    <t>1:50pm</t>
  </si>
  <si>
    <t>1:52pm</t>
  </si>
  <si>
    <t>1:55pm</t>
  </si>
  <si>
    <t>2:00pm</t>
  </si>
  <si>
    <t>2:03pm</t>
  </si>
  <si>
    <t>2:04pm</t>
  </si>
  <si>
    <t>2:06pm</t>
  </si>
  <si>
    <t>2:10pm</t>
  </si>
  <si>
    <t>2:12pm</t>
  </si>
  <si>
    <t>2:19pm</t>
  </si>
  <si>
    <t>2:26pm</t>
  </si>
  <si>
    <t>2:29pm</t>
  </si>
  <si>
    <t>2:38PM</t>
  </si>
  <si>
    <t>2:40PM</t>
  </si>
  <si>
    <t>2:41PM</t>
  </si>
  <si>
    <t>2:42PM</t>
  </si>
  <si>
    <t>2:45PM</t>
  </si>
  <si>
    <t>2:47PM</t>
  </si>
  <si>
    <t>2:48PM</t>
  </si>
  <si>
    <t>2:50PM</t>
  </si>
  <si>
    <t>2:54PM</t>
  </si>
  <si>
    <t>2:55PM</t>
  </si>
  <si>
    <t>2:56PM</t>
  </si>
  <si>
    <t>2:57:PM</t>
  </si>
  <si>
    <t>2:58PM</t>
  </si>
  <si>
    <t>3:00PM</t>
  </si>
  <si>
    <t>3:02PM</t>
  </si>
  <si>
    <t>3:04PM</t>
  </si>
  <si>
    <t>3:05PM</t>
  </si>
  <si>
    <t>3:06PM</t>
  </si>
  <si>
    <t>3:07PM</t>
  </si>
  <si>
    <t>3:11PM</t>
  </si>
  <si>
    <t>3:12PM</t>
  </si>
  <si>
    <t>3.17PM</t>
  </si>
  <si>
    <t>8:15am</t>
  </si>
  <si>
    <t xml:space="preserve">8:16am </t>
  </si>
  <si>
    <t>3:15pm</t>
  </si>
  <si>
    <t xml:space="preserve">GERMAN CASTRO </t>
  </si>
  <si>
    <t>TALLER Y LLANTERIA DARIO</t>
  </si>
  <si>
    <t xml:space="preserve">Greta Suira </t>
  </si>
  <si>
    <t>6595-7356</t>
  </si>
  <si>
    <t xml:space="preserve">Solange Pitti </t>
  </si>
  <si>
    <t>6558-4640</t>
  </si>
  <si>
    <t xml:space="preserve">Rafael Abrego </t>
  </si>
  <si>
    <t>6769-9147</t>
  </si>
  <si>
    <t xml:space="preserve">Juan Sanchéz </t>
  </si>
  <si>
    <t>6869-1973</t>
  </si>
  <si>
    <t xml:space="preserve">Jonathan Cedeño </t>
  </si>
  <si>
    <t>6930-9767</t>
  </si>
  <si>
    <t xml:space="preserve">Edwin Peña </t>
  </si>
  <si>
    <t>6862-1451</t>
  </si>
  <si>
    <t xml:space="preserve">Hector Caballero </t>
  </si>
  <si>
    <t>6401-7373</t>
  </si>
  <si>
    <t>Nusis Gutierrez</t>
  </si>
  <si>
    <t>6791-3177</t>
  </si>
  <si>
    <t>Ledy Acosta</t>
  </si>
  <si>
    <t>6872-1647</t>
  </si>
  <si>
    <t xml:space="preserve">Leidis de León </t>
  </si>
  <si>
    <t>6645-4092</t>
  </si>
  <si>
    <t xml:space="preserve">Ariel Miranda </t>
  </si>
  <si>
    <t>6831-9688</t>
  </si>
  <si>
    <t>Carmen Rodríguez</t>
  </si>
  <si>
    <t>6205-6918</t>
  </si>
  <si>
    <t xml:space="preserve">Jose Del Cid </t>
  </si>
  <si>
    <t>6698-3192</t>
  </si>
  <si>
    <t>Abel Pitti</t>
  </si>
  <si>
    <t>6496-0327</t>
  </si>
  <si>
    <t>Mitzila Caballero</t>
  </si>
  <si>
    <t>6739-4709</t>
  </si>
  <si>
    <t>Sandra Velazquez</t>
  </si>
  <si>
    <t>6854-2225</t>
  </si>
  <si>
    <t xml:space="preserve">Yasmin Guerra </t>
  </si>
  <si>
    <t>6646-1869</t>
  </si>
  <si>
    <t>Marcos Monterrey</t>
  </si>
  <si>
    <t>6996-1430</t>
  </si>
  <si>
    <t>Herlinda Hernández</t>
  </si>
  <si>
    <t>6242-1685</t>
  </si>
  <si>
    <t>Zuleika Quiroz</t>
  </si>
  <si>
    <t>6493-9757</t>
  </si>
  <si>
    <t>Omaira Carpinter</t>
  </si>
  <si>
    <t>6749-6600</t>
  </si>
  <si>
    <t>Abdialy Moreno</t>
  </si>
  <si>
    <t>6211-9678</t>
  </si>
  <si>
    <t>Ramiro Ramón</t>
  </si>
  <si>
    <t>6479-5232</t>
  </si>
  <si>
    <t xml:space="preserve">Enrique Grajales </t>
  </si>
  <si>
    <t>6473-8610</t>
  </si>
  <si>
    <t>Yohanis Cerceño</t>
  </si>
  <si>
    <t>6516-5514</t>
  </si>
  <si>
    <t>Gonzalo Saldaña</t>
  </si>
  <si>
    <t>6725-5986</t>
  </si>
  <si>
    <t>Melanie Millan</t>
  </si>
  <si>
    <t>6686-6424</t>
  </si>
  <si>
    <t>Yorlenis Samaniego</t>
  </si>
  <si>
    <t>6569-3855</t>
  </si>
  <si>
    <t xml:space="preserve">César Morales </t>
  </si>
  <si>
    <t>6608-2357</t>
  </si>
  <si>
    <t>Generoso Jiménez</t>
  </si>
  <si>
    <t>6271-2298</t>
  </si>
  <si>
    <t>Emerita Rivera</t>
  </si>
  <si>
    <t>6022-7723</t>
  </si>
  <si>
    <t>Alejandro Otero</t>
  </si>
  <si>
    <t>6960-1252</t>
  </si>
  <si>
    <t xml:space="preserve">Andrea Montezuma </t>
  </si>
  <si>
    <t>6399-3723</t>
  </si>
  <si>
    <t>Delia Staff</t>
  </si>
  <si>
    <t>6235-0983</t>
  </si>
  <si>
    <t>Ricauter Nuñez</t>
  </si>
  <si>
    <t>6368-0254</t>
  </si>
  <si>
    <t>Siuyin Wong</t>
  </si>
  <si>
    <t>6841-2416</t>
  </si>
  <si>
    <t>Walter Atón</t>
  </si>
  <si>
    <t>Journey Castillo</t>
  </si>
  <si>
    <t>Enrrique Moreno</t>
  </si>
  <si>
    <t>6960-2615</t>
  </si>
  <si>
    <t>Rocio López</t>
  </si>
  <si>
    <t>6412-2762</t>
  </si>
  <si>
    <t>Jorge Varga</t>
  </si>
  <si>
    <t>6276-5381</t>
  </si>
  <si>
    <t>Ilka Jordan</t>
  </si>
  <si>
    <t>6309-0851</t>
  </si>
  <si>
    <t>Leydis Quintero</t>
  </si>
  <si>
    <t>6659-7646</t>
  </si>
  <si>
    <t>Carlos Guerra</t>
  </si>
  <si>
    <t>6821-1391</t>
  </si>
  <si>
    <t>Jose Luis Cubilla</t>
  </si>
  <si>
    <t>6601-4783</t>
  </si>
  <si>
    <t>Lisbeth Fuentes</t>
  </si>
  <si>
    <t>6185-6576</t>
  </si>
  <si>
    <t>Benigno Castillo</t>
  </si>
  <si>
    <t>6839-6827</t>
  </si>
  <si>
    <t>Jeimy oberto</t>
  </si>
  <si>
    <t>6748-9455</t>
  </si>
  <si>
    <t>Romina Cruz</t>
  </si>
  <si>
    <t>6478-7581</t>
  </si>
  <si>
    <t>Josefina Montezuma</t>
  </si>
  <si>
    <t xml:space="preserve">Jose Gantes </t>
  </si>
  <si>
    <t>6459-4224</t>
  </si>
  <si>
    <t xml:space="preserve">Elizardo Miranda </t>
  </si>
  <si>
    <t>6828-2188</t>
  </si>
  <si>
    <t>Karla Gutierrez</t>
  </si>
  <si>
    <t>6443-6580</t>
  </si>
  <si>
    <t>Maikel Wald</t>
  </si>
  <si>
    <t>6717-8922</t>
  </si>
  <si>
    <t>Luis Saavedra</t>
  </si>
  <si>
    <t>6988-3682</t>
  </si>
  <si>
    <t>Marian  Sajel</t>
  </si>
  <si>
    <t>6904-1055</t>
  </si>
  <si>
    <t>Krislly Ramirez</t>
  </si>
  <si>
    <t>6613-5445</t>
  </si>
  <si>
    <t>Isrrael Samuels</t>
  </si>
  <si>
    <t>6549-8362</t>
  </si>
  <si>
    <t>Edith Miranda</t>
  </si>
  <si>
    <t>6705-0708</t>
  </si>
  <si>
    <t>Alvaro Martínez</t>
  </si>
  <si>
    <t>Oscar Afú</t>
  </si>
  <si>
    <t>67471841/67005511</t>
  </si>
  <si>
    <t>Ana Delia Morales</t>
  </si>
  <si>
    <t>Isidoro Vega</t>
  </si>
  <si>
    <t>Tilcia Juarez</t>
  </si>
  <si>
    <t>6954-0673</t>
  </si>
  <si>
    <t>Abelardo Acosta</t>
  </si>
  <si>
    <t>6587-7667</t>
  </si>
  <si>
    <t>ANA CAMPOS</t>
  </si>
  <si>
    <t>asistirá el dia 12</t>
  </si>
  <si>
    <t>asistirá el 11</t>
  </si>
  <si>
    <t>300 pm</t>
  </si>
  <si>
    <t>303 pm</t>
  </si>
  <si>
    <t>3;26 PM</t>
  </si>
  <si>
    <t>YERINA CEDEÑO</t>
  </si>
  <si>
    <t xml:space="preserve">YERINA CEDEÑO </t>
  </si>
  <si>
    <t>p</t>
  </si>
  <si>
    <t>TANIA DELGADO</t>
  </si>
  <si>
    <t>VANESSA MEDINA</t>
  </si>
  <si>
    <t>JOEL HERNANDEZ</t>
  </si>
  <si>
    <t>8:42am</t>
  </si>
  <si>
    <t xml:space="preserve">DAYANA VERGARA </t>
  </si>
  <si>
    <t>8:44am</t>
  </si>
  <si>
    <t>8:29am</t>
  </si>
  <si>
    <t>Numero Equivocado</t>
  </si>
  <si>
    <t>8:31am</t>
  </si>
  <si>
    <t>info@escap-panama.com</t>
  </si>
  <si>
    <t>8:33am</t>
  </si>
  <si>
    <t>8:34am</t>
  </si>
  <si>
    <t>8:37am</t>
  </si>
  <si>
    <t>8:40am</t>
  </si>
  <si>
    <t>8:49am</t>
  </si>
  <si>
    <t>9:00am</t>
  </si>
  <si>
    <t>9:18am</t>
  </si>
  <si>
    <t>9:23am</t>
  </si>
  <si>
    <t>9:24am</t>
  </si>
  <si>
    <t>9:26am</t>
  </si>
  <si>
    <t>9:49am</t>
  </si>
  <si>
    <t>:53am</t>
  </si>
  <si>
    <t>10:23am</t>
  </si>
  <si>
    <t xml:space="preserve">Numero incompleto </t>
  </si>
  <si>
    <t>10:36am</t>
  </si>
  <si>
    <t>10:39am</t>
  </si>
  <si>
    <t>10:46am</t>
  </si>
  <si>
    <t>10:47am</t>
  </si>
  <si>
    <t>10:51am</t>
  </si>
  <si>
    <t>ashannais99@gmail.com</t>
  </si>
  <si>
    <t>Numero equivocado</t>
  </si>
  <si>
    <t>11:00am</t>
  </si>
  <si>
    <t>11.01am</t>
  </si>
  <si>
    <t>11:03am</t>
  </si>
  <si>
    <t>11:07am</t>
  </si>
  <si>
    <t>fmigdalian@gmail.com</t>
  </si>
  <si>
    <t>11:11am</t>
  </si>
  <si>
    <t>11:20am</t>
  </si>
  <si>
    <t>11:23am</t>
  </si>
  <si>
    <t>2:05pm</t>
  </si>
  <si>
    <t>2:37am</t>
  </si>
  <si>
    <t>2:39pm</t>
  </si>
  <si>
    <t>2:40pm</t>
  </si>
  <si>
    <t>2:41pm</t>
  </si>
  <si>
    <t>YILENA FLORES</t>
  </si>
  <si>
    <t>3:11p.m.</t>
  </si>
  <si>
    <t>Carlos Gomez</t>
  </si>
  <si>
    <t>6734-0573</t>
  </si>
  <si>
    <t>3:15 p.m.</t>
  </si>
  <si>
    <t>Dayana Ruíz</t>
  </si>
  <si>
    <t>6250-5912</t>
  </si>
  <si>
    <t>Marlon Flores</t>
  </si>
  <si>
    <t>6505-1229</t>
  </si>
  <si>
    <t>Itzel Zambrano</t>
  </si>
  <si>
    <t>6456-9877</t>
  </si>
  <si>
    <t>3:22 p.m.</t>
  </si>
  <si>
    <t>Anais Tathis</t>
  </si>
  <si>
    <t xml:space="preserve">Gabriela Rodríguez </t>
  </si>
  <si>
    <t>6247-4030</t>
  </si>
  <si>
    <t>Eduardo Salazar</t>
  </si>
  <si>
    <t>6464-8665</t>
  </si>
  <si>
    <t>3:29 p.m.</t>
  </si>
  <si>
    <t>César Guerra</t>
  </si>
  <si>
    <t>6360-2375</t>
  </si>
  <si>
    <t xml:space="preserve">3:00 p.m. </t>
  </si>
  <si>
    <t>Nemesio Espinoza</t>
  </si>
  <si>
    <t>6718-8650</t>
  </si>
  <si>
    <t>3:34 p.m.</t>
  </si>
  <si>
    <t>Jorge Martínez</t>
  </si>
  <si>
    <t>6529-5893</t>
  </si>
  <si>
    <t>jorgel020576@gmail.com</t>
  </si>
  <si>
    <t>enviar información al correo.</t>
  </si>
  <si>
    <t xml:space="preserve">Alfredo Santamaría </t>
  </si>
  <si>
    <t>6212-0673</t>
  </si>
  <si>
    <t>3:39 p.m.</t>
  </si>
  <si>
    <t>Jenys Ríos</t>
  </si>
  <si>
    <t>6498-8583</t>
  </si>
  <si>
    <t>3:41 p.m.</t>
  </si>
  <si>
    <t>Katherine Rivera</t>
  </si>
  <si>
    <t>6448-8487</t>
  </si>
  <si>
    <t>3:42 p.m.</t>
  </si>
  <si>
    <t xml:space="preserve">Lorena Hurtado </t>
  </si>
  <si>
    <t>6283-2432</t>
  </si>
  <si>
    <t>Isolina González</t>
  </si>
  <si>
    <t>6470-4917</t>
  </si>
  <si>
    <t>Richard Batista</t>
  </si>
  <si>
    <t>6226-3592</t>
  </si>
  <si>
    <t xml:space="preserve">Caridad Escobar </t>
  </si>
  <si>
    <t>6239-5284</t>
  </si>
  <si>
    <t>David Jordan</t>
  </si>
  <si>
    <t>6304-7184</t>
  </si>
  <si>
    <t>Kevin Gónzalez</t>
  </si>
  <si>
    <t>6051-9775</t>
  </si>
  <si>
    <t xml:space="preserve">Suany Rodriguez </t>
  </si>
  <si>
    <t>6096-3637</t>
  </si>
  <si>
    <t>Damian Cigarrista</t>
  </si>
  <si>
    <t>6980-2542</t>
  </si>
  <si>
    <t>Donna Boraga</t>
  </si>
  <si>
    <t>6977-7929</t>
  </si>
  <si>
    <t>llamar a las 12:00m.d</t>
  </si>
  <si>
    <t xml:space="preserve">Cheyeni Montas </t>
  </si>
  <si>
    <t>6641-6550</t>
  </si>
  <si>
    <t>Enma Caballero</t>
  </si>
  <si>
    <t>6461-2267</t>
  </si>
  <si>
    <t>Manuel Espinoza</t>
  </si>
  <si>
    <t>6876-4803</t>
  </si>
  <si>
    <t>Diego Velazque</t>
  </si>
  <si>
    <t>6446-5580</t>
  </si>
  <si>
    <t>Karen González</t>
  </si>
  <si>
    <t>6869-9891</t>
  </si>
  <si>
    <t>Manuel Gutierrez</t>
  </si>
  <si>
    <t>6435-9609</t>
  </si>
  <si>
    <t>Mikel Wald</t>
  </si>
  <si>
    <t>GENEROSO JIMENEZ</t>
  </si>
  <si>
    <t>6644-2667</t>
  </si>
  <si>
    <t>Shirlley Gutiérrez</t>
  </si>
  <si>
    <t>6787-9349</t>
  </si>
  <si>
    <t xml:space="preserve">Evelin Colindre </t>
  </si>
  <si>
    <t>6020-5812</t>
  </si>
  <si>
    <t>Damaris Rodriguéz</t>
  </si>
  <si>
    <t>6033-0001</t>
  </si>
  <si>
    <t>Yessica Gómez</t>
  </si>
  <si>
    <t>Diego Gutierrez</t>
  </si>
  <si>
    <t>6797-5125</t>
  </si>
  <si>
    <t>James González</t>
  </si>
  <si>
    <t>6329-2703</t>
  </si>
  <si>
    <t>Isael Quintero</t>
  </si>
  <si>
    <t>6197-4552</t>
  </si>
  <si>
    <t>6367-4973</t>
  </si>
  <si>
    <t>Teresa Morales</t>
  </si>
  <si>
    <t>6240-0618</t>
  </si>
  <si>
    <t>Alexis González</t>
  </si>
  <si>
    <t>6364-4924</t>
  </si>
  <si>
    <t>MarIo de Roux</t>
  </si>
  <si>
    <t>6424-5924</t>
  </si>
  <si>
    <t>Edwin Zurita</t>
  </si>
  <si>
    <t>6948-7060</t>
  </si>
  <si>
    <t>Olmedo Correa</t>
  </si>
  <si>
    <t>6747-6126</t>
  </si>
  <si>
    <t>Belisario Santamaría</t>
  </si>
  <si>
    <t>6823-0726</t>
  </si>
  <si>
    <t>Josue Ríos</t>
  </si>
  <si>
    <t>6612-4403</t>
  </si>
  <si>
    <t>Arelys Coronel</t>
  </si>
  <si>
    <t>6275-3686</t>
  </si>
  <si>
    <t>Oscar Miranda</t>
  </si>
  <si>
    <t>6762-2540</t>
  </si>
  <si>
    <t xml:space="preserve">Marielis Faria </t>
  </si>
  <si>
    <t>6868-7404</t>
  </si>
  <si>
    <t xml:space="preserve">Jordan Miranda </t>
  </si>
  <si>
    <t>6330-7201</t>
  </si>
  <si>
    <t>Edith Guerra</t>
  </si>
  <si>
    <t>6465-8375</t>
  </si>
  <si>
    <t>Taide Montenegro</t>
  </si>
  <si>
    <t>6312-3295</t>
  </si>
  <si>
    <t xml:space="preserve">Angelica Miranda </t>
  </si>
  <si>
    <t>6663-9774</t>
  </si>
  <si>
    <t>Candida Araúz</t>
  </si>
  <si>
    <t>6108-9254</t>
  </si>
  <si>
    <t>Erick Rodríguez</t>
  </si>
  <si>
    <t>6241-8093</t>
  </si>
  <si>
    <t>Pauleth Valdés</t>
  </si>
  <si>
    <t>6953-8637</t>
  </si>
  <si>
    <t>Eulalia Pimentel</t>
  </si>
  <si>
    <t>6457-4091</t>
  </si>
  <si>
    <t>José Ramirez</t>
  </si>
  <si>
    <t>6271-4245</t>
  </si>
  <si>
    <t>Debi Saldaña</t>
  </si>
  <si>
    <t>6350-7544</t>
  </si>
  <si>
    <t>Dimas Ramirez</t>
  </si>
  <si>
    <t>6411-8284</t>
  </si>
  <si>
    <t>Eliseo Santos</t>
  </si>
  <si>
    <t>Angela Valdes</t>
  </si>
  <si>
    <t>Maribel M Cedeño</t>
  </si>
  <si>
    <t>Herry Guerra</t>
  </si>
  <si>
    <t>Otoniel Rodríguez</t>
  </si>
  <si>
    <t>6781-7655</t>
  </si>
  <si>
    <t xml:space="preserve">Abril Pimentel </t>
  </si>
  <si>
    <t>6931-6482</t>
  </si>
  <si>
    <t>Edibeth Concepción</t>
  </si>
  <si>
    <t>6651-5958</t>
  </si>
  <si>
    <t xml:space="preserve">Carolina Caballero </t>
  </si>
  <si>
    <t>6427-2762</t>
  </si>
  <si>
    <t>Benjamín Quiroz</t>
  </si>
  <si>
    <t>6428-0344</t>
  </si>
  <si>
    <t xml:space="preserve">Roby Acosta </t>
  </si>
  <si>
    <t>6493-7727</t>
  </si>
  <si>
    <t xml:space="preserve">Doris Villarreal </t>
  </si>
  <si>
    <t>6351-9445</t>
  </si>
  <si>
    <t>2:00PM</t>
  </si>
  <si>
    <t xml:space="preserve">Libania Cortéz </t>
  </si>
  <si>
    <t>6794-2450</t>
  </si>
  <si>
    <t>2:01PM</t>
  </si>
  <si>
    <t xml:space="preserve">Isabel Caballero </t>
  </si>
  <si>
    <t>6829-9105</t>
  </si>
  <si>
    <t>2:04PM</t>
  </si>
  <si>
    <t xml:space="preserve">Mauricio Abrego </t>
  </si>
  <si>
    <t>6879-7492</t>
  </si>
  <si>
    <t>2:05PM</t>
  </si>
  <si>
    <t>Sindy Valdés</t>
  </si>
  <si>
    <t>6565-4751</t>
  </si>
  <si>
    <t>2:07PM</t>
  </si>
  <si>
    <t>6696-1309</t>
  </si>
  <si>
    <t>2:09PM</t>
  </si>
  <si>
    <t>Eilyn Contreras</t>
  </si>
  <si>
    <t>6469-0040</t>
  </si>
  <si>
    <t>2:11PM</t>
  </si>
  <si>
    <t>Allison González</t>
  </si>
  <si>
    <t>6881-2110</t>
  </si>
  <si>
    <t>2:18PM</t>
  </si>
  <si>
    <t>Victoriano Prado</t>
  </si>
  <si>
    <t>6401-0994</t>
  </si>
  <si>
    <t>2:20PM</t>
  </si>
  <si>
    <t xml:space="preserve">Isabel Quintero </t>
  </si>
  <si>
    <t>6641-6184</t>
  </si>
  <si>
    <t>2:21PM</t>
  </si>
  <si>
    <t>Melva R. Quintero</t>
  </si>
  <si>
    <t>6515-8449</t>
  </si>
  <si>
    <t>2:23PM</t>
  </si>
  <si>
    <t>Francely Martinez</t>
  </si>
  <si>
    <t>6726-1721</t>
  </si>
  <si>
    <t>2:25PM</t>
  </si>
  <si>
    <t>Elio Chacón</t>
  </si>
  <si>
    <t>6850-5670</t>
  </si>
  <si>
    <t>2 :27PM</t>
  </si>
  <si>
    <t xml:space="preserve">Adolfo Pitti </t>
  </si>
  <si>
    <t>6878-0874</t>
  </si>
  <si>
    <t>2:28PM</t>
  </si>
  <si>
    <t>Osvaldo Casasola</t>
  </si>
  <si>
    <t>6863-9358</t>
  </si>
  <si>
    <t>2:30PM</t>
  </si>
  <si>
    <t>OSCAR AFÚ</t>
  </si>
  <si>
    <t>6924-5084</t>
  </si>
  <si>
    <t>2:31PM</t>
  </si>
  <si>
    <t>YESSICA SANTAMARÍA</t>
  </si>
  <si>
    <t>6901-4380</t>
  </si>
  <si>
    <t>2:32PM</t>
  </si>
  <si>
    <t xml:space="preserve">Alex Guerra </t>
  </si>
  <si>
    <t>6717-1594</t>
  </si>
  <si>
    <t>2:36PM</t>
  </si>
  <si>
    <t>ELIZABETH DOMINGUEZ</t>
  </si>
  <si>
    <t>mercadeo@feriadeboquete.com</t>
  </si>
  <si>
    <t>enviar informacion al correo</t>
  </si>
  <si>
    <t>rafaelg8614@gmail.com</t>
  </si>
  <si>
    <t>magalisayala@gmail.com</t>
  </si>
  <si>
    <t>caballeroyaravis362@gmail.com</t>
  </si>
  <si>
    <t>cafejavajuice7@gmail.com</t>
  </si>
  <si>
    <t>Indira nuñez</t>
  </si>
  <si>
    <t>indira.anaika@hotmail.com</t>
  </si>
  <si>
    <t>zuleika alvarez</t>
  </si>
  <si>
    <t>zuleikazalvarez744@gmail.com</t>
  </si>
  <si>
    <t>miriam Martinez</t>
  </si>
  <si>
    <t>denia carrillo</t>
  </si>
  <si>
    <t>edilma De gracia</t>
  </si>
  <si>
    <t>luis mendez</t>
  </si>
  <si>
    <t>analeida montezuma</t>
  </si>
  <si>
    <t>montezumaanaleyda@gmail.com</t>
  </si>
  <si>
    <t>jorge cubilla</t>
  </si>
  <si>
    <t>jorgecubi1316@gmail.com</t>
  </si>
  <si>
    <t>anabela barria</t>
  </si>
  <si>
    <t>anabonita1704@hotmail.com</t>
  </si>
  <si>
    <t>sandra quintero</t>
  </si>
  <si>
    <t>sandramilenaquinterovilla0821@gmail.com</t>
  </si>
  <si>
    <t>Bertha jimenez</t>
  </si>
  <si>
    <t>ceverina Rios</t>
  </si>
  <si>
    <t>xinia martinez</t>
  </si>
  <si>
    <t>xiniacruz1529@gmail.com</t>
  </si>
  <si>
    <t>carolina castrellon</t>
  </si>
  <si>
    <t>carolinacastrellon29@gmail.com</t>
  </si>
  <si>
    <t>nereida castillo</t>
  </si>
  <si>
    <t>NUMERO NO EXISTE</t>
  </si>
  <si>
    <t>NUMERO EQUIVOCADO</t>
  </si>
  <si>
    <t>cristobalina guerra</t>
  </si>
  <si>
    <t>equivocado</t>
  </si>
  <si>
    <t>negocio inactivo</t>
  </si>
  <si>
    <t>NOEMI CORDOBA</t>
  </si>
  <si>
    <t>9:57 A.M.</t>
  </si>
  <si>
    <t>9:58 A.M.</t>
  </si>
  <si>
    <t>10:03 A.M.</t>
  </si>
  <si>
    <t>10:01 A.M.</t>
  </si>
  <si>
    <t>No llamar (Numero equivocado)</t>
  </si>
  <si>
    <t>10:05 A.M.</t>
  </si>
  <si>
    <t>10:08 A.M.</t>
  </si>
  <si>
    <t>10:17 A.M.</t>
  </si>
  <si>
    <t>10:19 A.M.</t>
  </si>
  <si>
    <t>2:11 P.M.</t>
  </si>
  <si>
    <t>2:12 P.M.</t>
  </si>
  <si>
    <t>2:17 P.M.</t>
  </si>
  <si>
    <t>2:19 P.M.</t>
  </si>
  <si>
    <t>2:21 P.M.</t>
  </si>
  <si>
    <t>2:22 P.M.</t>
  </si>
  <si>
    <t>2:24 P.M.</t>
  </si>
  <si>
    <t>2:25 P.M.</t>
  </si>
  <si>
    <t>2:27 P.M.</t>
  </si>
  <si>
    <t>2:34 P.M.</t>
  </si>
  <si>
    <t>2:37 P.M.</t>
  </si>
  <si>
    <t>2:44 P.M.</t>
  </si>
  <si>
    <t>2:52 P.M.</t>
  </si>
  <si>
    <t>2:53 P.M.</t>
  </si>
  <si>
    <t>3:03 P.M.</t>
  </si>
  <si>
    <t>3:07 P.M.</t>
  </si>
  <si>
    <t>|NOEMI CORDOBA</t>
  </si>
  <si>
    <t>3:09 P.M.</t>
  </si>
  <si>
    <t>8:16 A.M.</t>
  </si>
  <si>
    <t>8:17 A.M.</t>
  </si>
  <si>
    <t>3:01 P.M.</t>
  </si>
  <si>
    <t>3:02 P.M.</t>
  </si>
  <si>
    <t>3:04 P.M.</t>
  </si>
  <si>
    <t>10:22 A.M.</t>
  </si>
  <si>
    <t>10:25 A.M.</t>
  </si>
  <si>
    <t>10:26 A.M.</t>
  </si>
  <si>
    <t>10:27 A.M.</t>
  </si>
  <si>
    <t>10:28 A.M.</t>
  </si>
  <si>
    <t>10:59 A.M.</t>
  </si>
  <si>
    <t>11:01 A.M.</t>
  </si>
  <si>
    <t>11:02 A.M.</t>
  </si>
  <si>
    <t>11:04 A.M.</t>
  </si>
  <si>
    <t>María Peñalba</t>
  </si>
  <si>
    <t>6513-3374</t>
  </si>
  <si>
    <t>11:05 A.M.</t>
  </si>
  <si>
    <t xml:space="preserve">Mireya Acosta </t>
  </si>
  <si>
    <t>6350-9823</t>
  </si>
  <si>
    <t>11:06 A.M.</t>
  </si>
  <si>
    <t>Carlos Echeverria</t>
  </si>
  <si>
    <t>6497-6161</t>
  </si>
  <si>
    <t>11:07 A.M.</t>
  </si>
  <si>
    <t>LA SEÑORA RESIDE EN LA CIUDAD DE PANAMA</t>
  </si>
  <si>
    <t xml:space="preserve">Solagenl Araúz </t>
  </si>
  <si>
    <t>6669-9956</t>
  </si>
  <si>
    <t>11:09 A.M.</t>
  </si>
  <si>
    <t xml:space="preserve">Geraldine Ortíz </t>
  </si>
  <si>
    <t>6212-1089</t>
  </si>
  <si>
    <t>11:11 A.M.</t>
  </si>
  <si>
    <t xml:space="preserve">Milka Lain </t>
  </si>
  <si>
    <t>6450-1928</t>
  </si>
  <si>
    <t>11:12 A.M.</t>
  </si>
  <si>
    <t xml:space="preserve">Rolando Guerrero </t>
  </si>
  <si>
    <t>6677-7275</t>
  </si>
  <si>
    <t>11:54 A.M.</t>
  </si>
  <si>
    <t>José alvarez</t>
  </si>
  <si>
    <t>6485-2889</t>
  </si>
  <si>
    <t>11:57 A.M.</t>
  </si>
  <si>
    <t xml:space="preserve">Raymundo Aparicio </t>
  </si>
  <si>
    <t>6499-4796</t>
  </si>
  <si>
    <t>11:59 A.M.</t>
  </si>
  <si>
    <t>Roger Gonzalez</t>
  </si>
  <si>
    <t>6698-0417</t>
  </si>
  <si>
    <t>12:01 A.M.</t>
  </si>
  <si>
    <t xml:space="preserve">Juan Murgas </t>
  </si>
  <si>
    <t>6309-6331</t>
  </si>
  <si>
    <t>12:02 A.M.</t>
  </si>
  <si>
    <t>Iris Caballero</t>
  </si>
  <si>
    <t>12: 04 A.M.</t>
  </si>
  <si>
    <t>Nivardo Jaramillo</t>
  </si>
  <si>
    <t>6967-1034</t>
  </si>
  <si>
    <t>12:05  A.M.</t>
  </si>
  <si>
    <t>Efraín González</t>
  </si>
  <si>
    <t>12:09 P.M.</t>
  </si>
  <si>
    <t>Monica Suira</t>
  </si>
  <si>
    <t>6562-9923</t>
  </si>
  <si>
    <t>12:12 P.M.</t>
  </si>
  <si>
    <t>Gerardo Estribi</t>
  </si>
  <si>
    <t>6372-5027</t>
  </si>
  <si>
    <t>12:13 P.M</t>
  </si>
  <si>
    <t>Andrea Cordan</t>
  </si>
  <si>
    <t>6423-6006</t>
  </si>
  <si>
    <t>12:14 P.M.</t>
  </si>
  <si>
    <t>Keneth Orocu</t>
  </si>
  <si>
    <t>6617-0749</t>
  </si>
  <si>
    <t>12:15 P.M.</t>
  </si>
  <si>
    <t>Rosalis Rodriguéz</t>
  </si>
  <si>
    <t>6907-4404</t>
  </si>
  <si>
    <t>12.24 P.M.</t>
  </si>
  <si>
    <t xml:space="preserve">Stevens Aizprua </t>
  </si>
  <si>
    <t>6711-0381</t>
  </si>
  <si>
    <t>12:28 P.M.</t>
  </si>
  <si>
    <t xml:space="preserve">Karen Pineda </t>
  </si>
  <si>
    <t>6767-5990</t>
  </si>
  <si>
    <t>12:29 P.M.</t>
  </si>
  <si>
    <t xml:space="preserve">Alexis Montezuma </t>
  </si>
  <si>
    <t>6825-9778</t>
  </si>
  <si>
    <t>11:51 A.M.</t>
  </si>
  <si>
    <t>Angellys Castillo</t>
  </si>
  <si>
    <t>6362-6578</t>
  </si>
  <si>
    <t>11:50 A.M.</t>
  </si>
  <si>
    <t xml:space="preserve">Arcadio Zapata </t>
  </si>
  <si>
    <t>6704-0476</t>
  </si>
  <si>
    <t>11:49 A.M.</t>
  </si>
  <si>
    <t>Lorieth Enith Cerceño</t>
  </si>
  <si>
    <t>6351-7830</t>
  </si>
  <si>
    <t>11:47 A.M.</t>
  </si>
  <si>
    <t>Aquilino Pitti</t>
  </si>
  <si>
    <t>6475-3896</t>
  </si>
  <si>
    <t>11:42 A.M.</t>
  </si>
  <si>
    <t>11:39 A.M.</t>
  </si>
  <si>
    <t>6313-4321</t>
  </si>
  <si>
    <t>11:38 A.M.</t>
  </si>
  <si>
    <t>Eduardo Díaz</t>
  </si>
  <si>
    <t>6808-1111</t>
  </si>
  <si>
    <t xml:space="preserve">Benjamín Caballero </t>
  </si>
  <si>
    <t>6030-8721</t>
  </si>
  <si>
    <t>11:36 A.M.</t>
  </si>
  <si>
    <t>Rainol Rodríguez</t>
  </si>
  <si>
    <t>6559-7459</t>
  </si>
  <si>
    <t>11:35 A.M.</t>
  </si>
  <si>
    <t>Joicy Ríos</t>
  </si>
  <si>
    <t>6897-5915</t>
  </si>
  <si>
    <t>Vanessa Rodriguéz</t>
  </si>
  <si>
    <t>6817-9395</t>
  </si>
  <si>
    <t>11:34 A.M.</t>
  </si>
  <si>
    <t>Juan Lezcano</t>
  </si>
  <si>
    <t>6704-6053</t>
  </si>
  <si>
    <t>11:32 A.M.</t>
  </si>
  <si>
    <t>Manuel Rodriguéz</t>
  </si>
  <si>
    <t>6760-9921</t>
  </si>
  <si>
    <t>11:31 A.M.</t>
  </si>
  <si>
    <t>Melissa Valdéz</t>
  </si>
  <si>
    <t>6976-8453</t>
  </si>
  <si>
    <t>11:30 A.M.</t>
  </si>
  <si>
    <t>Danis Aparicio</t>
  </si>
  <si>
    <t>6522-1005</t>
  </si>
  <si>
    <t>11:23 A.M.</t>
  </si>
  <si>
    <t>Berta González</t>
  </si>
  <si>
    <t>11:22 A.M.</t>
  </si>
  <si>
    <t>Victor Díaz</t>
  </si>
  <si>
    <t>6384-4948</t>
  </si>
  <si>
    <t>11:21 A.M.</t>
  </si>
  <si>
    <t>Hazel Acosta</t>
  </si>
  <si>
    <t>6821-2104</t>
  </si>
  <si>
    <t>11:20 A.M.</t>
  </si>
  <si>
    <t>Santiago de Roux</t>
  </si>
  <si>
    <t>6446-9375</t>
  </si>
  <si>
    <t>11:19 A.M.</t>
  </si>
  <si>
    <t>Tania Lara</t>
  </si>
  <si>
    <t>6285-6283</t>
  </si>
  <si>
    <t>11:18 A.M.</t>
  </si>
  <si>
    <t>Alberto Cervantes</t>
  </si>
  <si>
    <t>6358-0697</t>
  </si>
  <si>
    <t>11:17 A.M.</t>
  </si>
  <si>
    <t>Eduardo Melendez</t>
  </si>
  <si>
    <t>6412-1716</t>
  </si>
  <si>
    <t>11:16 A.M.</t>
  </si>
  <si>
    <t>Porfirio Ríos</t>
  </si>
  <si>
    <t>6468-0890</t>
  </si>
  <si>
    <t>11:15 A.M.</t>
  </si>
  <si>
    <t>Moises Acosta</t>
  </si>
  <si>
    <t>6411-8326</t>
  </si>
  <si>
    <t>11:14 A.M.</t>
  </si>
  <si>
    <t>ANGELA JIMENEZ</t>
  </si>
  <si>
    <t>Perla Samudio</t>
  </si>
  <si>
    <t>6280-3328</t>
  </si>
  <si>
    <t>Darianis Miranda</t>
  </si>
  <si>
    <t>6520-0342</t>
  </si>
  <si>
    <t>Felix Cubilla</t>
  </si>
  <si>
    <t>6753-3281</t>
  </si>
  <si>
    <t>Dario González</t>
  </si>
  <si>
    <t>6965-4900</t>
  </si>
  <si>
    <t>Krystel Villarreal</t>
  </si>
  <si>
    <t>6924-4063</t>
  </si>
  <si>
    <t>Allersha Sharmin</t>
  </si>
  <si>
    <t>6467-2558</t>
  </si>
  <si>
    <t>Jaime Naranjo</t>
  </si>
  <si>
    <t>6030-6659</t>
  </si>
  <si>
    <t>Isis Amaya</t>
  </si>
  <si>
    <t>6643-8813</t>
  </si>
  <si>
    <t>Alirio Miranda</t>
  </si>
  <si>
    <t>6796-334</t>
  </si>
  <si>
    <t>NUMERO INCOMPLETO</t>
  </si>
  <si>
    <t>Fernando Moreno</t>
  </si>
  <si>
    <t>6253-2065</t>
  </si>
  <si>
    <t>Gloria Vasquez</t>
  </si>
  <si>
    <t>6678-4098</t>
  </si>
  <si>
    <t>María Pitti</t>
  </si>
  <si>
    <t>6866-8611</t>
  </si>
  <si>
    <t>FUERA DE COBERTURA</t>
  </si>
  <si>
    <t>Hender Hernández</t>
  </si>
  <si>
    <t>Marisol Pinto</t>
  </si>
  <si>
    <t>Maritsenia M. Quiroz</t>
  </si>
  <si>
    <t>Grace Bejerano</t>
  </si>
  <si>
    <t xml:space="preserve">María González </t>
  </si>
  <si>
    <t>6910-6339</t>
  </si>
  <si>
    <t>Vielka Fonseca</t>
  </si>
  <si>
    <t>6908-2807</t>
  </si>
  <si>
    <t>Marlon Moreno</t>
  </si>
  <si>
    <t>6899-5202</t>
  </si>
  <si>
    <t>Iria Hurtado</t>
  </si>
  <si>
    <t>6278-5238</t>
  </si>
  <si>
    <t xml:space="preserve">Lourdes Vega </t>
  </si>
  <si>
    <t>Diana Pitti</t>
  </si>
  <si>
    <t>6613-9826</t>
  </si>
  <si>
    <t>Libania Cortez</t>
  </si>
  <si>
    <t>Yamileth Solorzano</t>
  </si>
  <si>
    <t>6691-2004</t>
  </si>
  <si>
    <t xml:space="preserve">Sandra Mulino </t>
  </si>
  <si>
    <t>6579-2400</t>
  </si>
  <si>
    <t xml:space="preserve">Orly Rojas </t>
  </si>
  <si>
    <t>6777-3904</t>
  </si>
  <si>
    <t>Rocío Santamaría</t>
  </si>
  <si>
    <t>6793-1801</t>
  </si>
  <si>
    <t>Juan Santamaria</t>
  </si>
  <si>
    <t>6168-2722</t>
  </si>
  <si>
    <t>YA LO LLAMARON</t>
  </si>
  <si>
    <t>Joselyn Estribí</t>
  </si>
  <si>
    <t>6417-2346</t>
  </si>
  <si>
    <t>Estelvina Serrano</t>
  </si>
  <si>
    <t>6403-0461</t>
  </si>
  <si>
    <t>Isabel Victorio</t>
  </si>
  <si>
    <t>6647-5062</t>
  </si>
  <si>
    <t>Dario Montezuma</t>
  </si>
  <si>
    <t>6160-3967</t>
  </si>
  <si>
    <t>Judith Quintero</t>
  </si>
  <si>
    <t>Henrry Abrego</t>
  </si>
  <si>
    <t>6629-0075</t>
  </si>
  <si>
    <t xml:space="preserve">Fong Chacón  </t>
  </si>
  <si>
    <t>6921-6988</t>
  </si>
  <si>
    <t xml:space="preserve">Patrick Gruber </t>
  </si>
  <si>
    <t>6167-5633</t>
  </si>
  <si>
    <t>gruber@duck.com</t>
  </si>
  <si>
    <t xml:space="preserve">Malory Contreras </t>
  </si>
  <si>
    <t>6847-6225</t>
  </si>
  <si>
    <t>Nitzia Espinoza</t>
  </si>
  <si>
    <t>6390-1732</t>
  </si>
  <si>
    <t>EDWUAR ALVARADO</t>
  </si>
  <si>
    <t>6488-3342</t>
  </si>
  <si>
    <t>Rosalia Serracin</t>
  </si>
  <si>
    <t>6452-0769</t>
  </si>
  <si>
    <t xml:space="preserve">JUANA </t>
  </si>
  <si>
    <t>11,18am</t>
  </si>
  <si>
    <t>11,19am</t>
  </si>
  <si>
    <t>11,22am</t>
  </si>
  <si>
    <t>11,23am</t>
  </si>
  <si>
    <t>11,25am</t>
  </si>
  <si>
    <t>3,13pm</t>
  </si>
  <si>
    <t>3,14pm</t>
  </si>
  <si>
    <t xml:space="preserve"> NO TIENEN LOS NUMEROS DEL CELULAR COMPLETO</t>
  </si>
  <si>
    <t>3,17PM</t>
  </si>
  <si>
    <t>3,18PM</t>
  </si>
  <si>
    <t>3,19PM</t>
  </si>
  <si>
    <t>3,21PM</t>
  </si>
  <si>
    <t>3,22PM</t>
  </si>
  <si>
    <t>3,24PM</t>
  </si>
  <si>
    <t>3,26PM</t>
  </si>
  <si>
    <t>3,28PM</t>
  </si>
  <si>
    <t>3,29PM</t>
  </si>
  <si>
    <t>3,32PM</t>
  </si>
  <si>
    <t>3,33PM</t>
  </si>
  <si>
    <t>3,34PM</t>
  </si>
  <si>
    <t>3,36PM</t>
  </si>
  <si>
    <t>10,42am</t>
  </si>
  <si>
    <t>10,44am</t>
  </si>
  <si>
    <t xml:space="preserve">10,47am </t>
  </si>
  <si>
    <t xml:space="preserve">EQUIVOCADO </t>
  </si>
  <si>
    <t>10,48AM</t>
  </si>
  <si>
    <t>10,49AM</t>
  </si>
  <si>
    <t>10,52AM</t>
  </si>
  <si>
    <t>10,53AM</t>
  </si>
  <si>
    <t>2,06pm</t>
  </si>
  <si>
    <t>2,14pm</t>
  </si>
  <si>
    <t>2,15pm</t>
  </si>
  <si>
    <t>2,45pm</t>
  </si>
  <si>
    <t>2,47pm</t>
  </si>
  <si>
    <t>2,48pm</t>
  </si>
  <si>
    <t>2,50pm</t>
  </si>
  <si>
    <t>2,52pm</t>
  </si>
  <si>
    <t>2,53pm</t>
  </si>
  <si>
    <t>2,56pm</t>
  </si>
  <si>
    <t>2,57pm</t>
  </si>
  <si>
    <t>2,59pm</t>
  </si>
  <si>
    <t>3,00pm</t>
  </si>
  <si>
    <t>3,01pm</t>
  </si>
  <si>
    <t>3,04pm</t>
  </si>
  <si>
    <t>3,05pm</t>
  </si>
  <si>
    <t>3,06pm</t>
  </si>
  <si>
    <t>3,07pm</t>
  </si>
  <si>
    <t>3,08pm</t>
  </si>
  <si>
    <t>3,09pm</t>
  </si>
  <si>
    <t>3,11pm</t>
  </si>
  <si>
    <t>3,12pm</t>
  </si>
  <si>
    <t>3,17pm</t>
  </si>
  <si>
    <t>3,22pm</t>
  </si>
  <si>
    <t>3,23pm</t>
  </si>
  <si>
    <t>3,26pm</t>
  </si>
  <si>
    <t>3,27pm</t>
  </si>
  <si>
    <t>3,28pm</t>
  </si>
  <si>
    <t>3,29pm</t>
  </si>
  <si>
    <t>3,30pm</t>
  </si>
  <si>
    <t>3,32pm</t>
  </si>
  <si>
    <t>PAISANO NO CONOCE DE AMPYME</t>
  </si>
  <si>
    <t>3,35PM</t>
  </si>
  <si>
    <t>3,37PM</t>
  </si>
  <si>
    <t>3,38PM</t>
  </si>
  <si>
    <t>3,39PM</t>
  </si>
  <si>
    <t>3,40PM</t>
  </si>
  <si>
    <t>3,42PM</t>
  </si>
  <si>
    <t>2,23pm</t>
  </si>
  <si>
    <t>2,28pm</t>
  </si>
  <si>
    <t>2,29pm</t>
  </si>
  <si>
    <t>2,30pm</t>
  </si>
  <si>
    <t>2,32pm</t>
  </si>
  <si>
    <t>2,33pm</t>
  </si>
  <si>
    <t>2,35pm</t>
  </si>
  <si>
    <t>2,37pm</t>
  </si>
  <si>
    <t>2,38pm</t>
  </si>
  <si>
    <t>2,40pm</t>
  </si>
  <si>
    <t>2,42pm</t>
  </si>
  <si>
    <t>2,43pm</t>
  </si>
  <si>
    <t>2,44pm</t>
  </si>
  <si>
    <t>2,,50pm</t>
  </si>
  <si>
    <t>2,51pm</t>
  </si>
  <si>
    <t>2,58pm</t>
  </si>
  <si>
    <t>3,02pm</t>
  </si>
  <si>
    <t>3,15pm</t>
  </si>
  <si>
    <t>3,16pm</t>
  </si>
  <si>
    <t>3,19pm</t>
  </si>
  <si>
    <t>3,20pm</t>
  </si>
  <si>
    <t>3,21pm</t>
  </si>
  <si>
    <t>6-03-23026</t>
  </si>
  <si>
    <t>3,24pm</t>
  </si>
  <si>
    <t>3,25pm</t>
  </si>
  <si>
    <t>3,31pm</t>
  </si>
  <si>
    <t>3,33pm</t>
  </si>
  <si>
    <t>3,34pm</t>
  </si>
  <si>
    <t>3,35pm</t>
  </si>
  <si>
    <t>3,36pm</t>
  </si>
  <si>
    <t>3,37pm</t>
  </si>
  <si>
    <t>3,38pm</t>
  </si>
  <si>
    <t>3,39pm</t>
  </si>
  <si>
    <t>3,40pm</t>
  </si>
  <si>
    <t>3,41pm</t>
  </si>
  <si>
    <t>3,42pm</t>
  </si>
  <si>
    <t>3,45pm</t>
  </si>
  <si>
    <t xml:space="preserve">ABDIEL </t>
  </si>
  <si>
    <t xml:space="preserve">ESTA EN CONTRA DEL GOBIERNO ACTUAL </t>
  </si>
  <si>
    <t xml:space="preserve">jorgeluisreyesgodoy@gmail.com </t>
  </si>
  <si>
    <t xml:space="preserve">LA OPERADORA INDICA QUE EL NUMERO NO ES CORRECTO </t>
  </si>
  <si>
    <t>nerhyle@gmail.com</t>
  </si>
  <si>
    <t xml:space="preserve">NO TIENE </t>
  </si>
  <si>
    <t xml:space="preserve">NUMERO EQUIVOCADO </t>
  </si>
  <si>
    <t>healthypetdavid@gmail.com</t>
  </si>
  <si>
    <t>secretaria@parscomputer.com</t>
  </si>
  <si>
    <t xml:space="preserve">NO LE INTERESA </t>
  </si>
  <si>
    <t>JON0817@HOTMAIL.COM</t>
  </si>
  <si>
    <t xml:space="preserve">Benjamin Peren </t>
  </si>
  <si>
    <t>6340-1396</t>
  </si>
  <si>
    <t>Virgilio de Gracia</t>
  </si>
  <si>
    <t>6460-6908</t>
  </si>
  <si>
    <t>Maritza Suira</t>
  </si>
  <si>
    <t>6450-4241</t>
  </si>
  <si>
    <t>Celena Araúz</t>
  </si>
  <si>
    <t>6901-7800</t>
  </si>
  <si>
    <t>celenaarauz4321@gmail.com</t>
  </si>
  <si>
    <t>Alex Valdéz</t>
  </si>
  <si>
    <t>6614-4530</t>
  </si>
  <si>
    <t xml:space="preserve">Simio Santiago </t>
  </si>
  <si>
    <t>6544-6181</t>
  </si>
  <si>
    <t xml:space="preserve">simeolorenzo@gmail.com </t>
  </si>
  <si>
    <t xml:space="preserve">Betzaida Cheva </t>
  </si>
  <si>
    <t>6774-8585</t>
  </si>
  <si>
    <t>Emmelgine González</t>
  </si>
  <si>
    <t>6575-3171</t>
  </si>
  <si>
    <t>Jorge Samudio</t>
  </si>
  <si>
    <t>6484-1170</t>
  </si>
  <si>
    <t>jorlusaca67@gmail.com</t>
  </si>
  <si>
    <t xml:space="preserve">Francisco Escobar </t>
  </si>
  <si>
    <t>6689-0120</t>
  </si>
  <si>
    <t xml:space="preserve">tiene correo bloqueado </t>
  </si>
  <si>
    <t xml:space="preserve">Aurelio Santamaría </t>
  </si>
  <si>
    <t>6848-5614</t>
  </si>
  <si>
    <t>Marlenis González</t>
  </si>
  <si>
    <t>6920-9401</t>
  </si>
  <si>
    <t>Gloriela Reyes</t>
  </si>
  <si>
    <t>6474-8860</t>
  </si>
  <si>
    <t xml:space="preserve">Susana Quiel </t>
  </si>
  <si>
    <t>6873-3113</t>
  </si>
  <si>
    <t xml:space="preserve">Benerdina Santamaría </t>
  </si>
  <si>
    <t>6337-6365</t>
  </si>
  <si>
    <t xml:space="preserve">no se acuerda </t>
  </si>
  <si>
    <t>Stanly Mendoza</t>
  </si>
  <si>
    <t>6307-9955</t>
  </si>
  <si>
    <t>mrmendozacarrental@gmail.com</t>
  </si>
  <si>
    <t>María Mejia</t>
  </si>
  <si>
    <t>6936-2282</t>
  </si>
  <si>
    <t xml:space="preserve">almidoccucine@gmail.com </t>
  </si>
  <si>
    <t>Ruth Barrera</t>
  </si>
  <si>
    <t>6569-2797</t>
  </si>
  <si>
    <t>Jean Carlos Barraza</t>
  </si>
  <si>
    <t>6967-7240</t>
  </si>
  <si>
    <t xml:space="preserve">jbarrazaserrano@gmail.com </t>
  </si>
  <si>
    <t>Lourdes Lezcano</t>
  </si>
  <si>
    <t>6710-4950</t>
  </si>
  <si>
    <t>ONELIA/Analia Castillo</t>
  </si>
  <si>
    <t>6515-7012</t>
  </si>
  <si>
    <t xml:space="preserve">castillodg.oneliam@gmail.com </t>
  </si>
  <si>
    <t>Mario Montezuma</t>
  </si>
  <si>
    <t>Ares Quintero</t>
  </si>
  <si>
    <t>6651-1466</t>
  </si>
  <si>
    <t xml:space="preserve">EL NUMERO NO ES CORRECTO SEGUN LA OPERADORA </t>
  </si>
  <si>
    <t>Alejandra Miranda</t>
  </si>
  <si>
    <t>6405-4206</t>
  </si>
  <si>
    <t>Bazar Cabrera</t>
  </si>
  <si>
    <t>6974-7567</t>
  </si>
  <si>
    <t xml:space="preserve">baltazarcabreralopez601@gmail.com </t>
  </si>
  <si>
    <t>Guillermo Jonhan</t>
  </si>
  <si>
    <t>6944-2874</t>
  </si>
  <si>
    <t xml:space="preserve">Ruben Vargas </t>
  </si>
  <si>
    <t>6490-1733</t>
  </si>
  <si>
    <t xml:space="preserve">vargasruben1987@gmail.com </t>
  </si>
  <si>
    <t xml:space="preserve">Carlos Olivera </t>
  </si>
  <si>
    <t>6402-3885</t>
  </si>
  <si>
    <t xml:space="preserve">stwartcarlos@gmail.com </t>
  </si>
  <si>
    <t>Luzmila Pinzón</t>
  </si>
  <si>
    <t>6884-5521</t>
  </si>
  <si>
    <t xml:space="preserve">Flora Concepción </t>
  </si>
  <si>
    <t>6340-1046</t>
  </si>
  <si>
    <t>Maryorie González</t>
  </si>
  <si>
    <t>6445-5406</t>
  </si>
  <si>
    <t xml:space="preserve">mrorie735@gmail.com </t>
  </si>
  <si>
    <t>Tatiana Rodriguéz</t>
  </si>
  <si>
    <t>6138-7015</t>
  </si>
  <si>
    <t xml:space="preserve">browntamara45@gmail.com </t>
  </si>
  <si>
    <t xml:space="preserve">Angie Ríos </t>
  </si>
  <si>
    <t>6546-5700</t>
  </si>
  <si>
    <t>Leticia Rodríguez</t>
  </si>
  <si>
    <t>6727-5982</t>
  </si>
  <si>
    <t xml:space="preserve">Roman Santos </t>
  </si>
  <si>
    <t>6901-4080</t>
  </si>
  <si>
    <t>Edgar Pitty</t>
  </si>
  <si>
    <t>Daysi Castillo</t>
  </si>
  <si>
    <t>6005-5232</t>
  </si>
  <si>
    <t xml:space="preserve">Ariel Montezuma </t>
  </si>
  <si>
    <t>6400-1415</t>
  </si>
  <si>
    <t xml:space="preserve">arielmomontezuma774@gmail.com </t>
  </si>
  <si>
    <t>Daysi Miranda</t>
  </si>
  <si>
    <t>6329-7820</t>
  </si>
  <si>
    <t>Elizabeth Valdes</t>
  </si>
  <si>
    <t>6523-5977</t>
  </si>
  <si>
    <t xml:space="preserve">NO LO RECUERDA </t>
  </si>
  <si>
    <t>Jesús Gonzalez</t>
  </si>
  <si>
    <t>6665-0890</t>
  </si>
  <si>
    <t>Jeremias Sanchez</t>
  </si>
  <si>
    <t>6515-9474</t>
  </si>
  <si>
    <t>María Palacios</t>
  </si>
  <si>
    <t>6248-0782</t>
  </si>
  <si>
    <t xml:space="preserve">latidos57@gmail.com </t>
  </si>
  <si>
    <t>Ricardo Candanedo</t>
  </si>
  <si>
    <t>6252-3961</t>
  </si>
  <si>
    <t>candanedoricardo@gmail.com</t>
  </si>
  <si>
    <t>Cristian Reyes</t>
  </si>
  <si>
    <t>6292-3536</t>
  </si>
  <si>
    <t>Alex López</t>
  </si>
  <si>
    <t>6834-2008</t>
  </si>
  <si>
    <t>Alejandra Wohn</t>
  </si>
  <si>
    <t>6636-0975</t>
  </si>
  <si>
    <t xml:space="preserve">zulmaguerra0707@yahoo.com </t>
  </si>
  <si>
    <t>Leonel Carrera</t>
  </si>
  <si>
    <t>6492-9530</t>
  </si>
  <si>
    <t>Maria Aguirre</t>
  </si>
  <si>
    <t>6371-8858</t>
  </si>
  <si>
    <t xml:space="preserve">NO ESTA INTERESADA </t>
  </si>
  <si>
    <t>Yuraisma Moreno</t>
  </si>
  <si>
    <t>6676-0077</t>
  </si>
  <si>
    <t>yuraisma@gmail.com</t>
  </si>
  <si>
    <t>Noely Caballero</t>
  </si>
  <si>
    <t>6297-1764</t>
  </si>
  <si>
    <t>Yuseth Espinoza</t>
  </si>
  <si>
    <t>6879-9479</t>
  </si>
  <si>
    <t>jusseff2005@gmail.com</t>
  </si>
  <si>
    <t xml:space="preserve">Ilka Monrroy </t>
  </si>
  <si>
    <t>6782-7667</t>
  </si>
  <si>
    <t>Vicente Sánchez</t>
  </si>
  <si>
    <t>6790-8539</t>
  </si>
  <si>
    <t>Francisco Miranda</t>
  </si>
  <si>
    <t>6488-7817</t>
  </si>
  <si>
    <t>franciscojuradov07@gmail.com</t>
  </si>
  <si>
    <t xml:space="preserve">Allison Vega </t>
  </si>
  <si>
    <t>6011-7443</t>
  </si>
  <si>
    <t>gaby27mr16@gmail.com</t>
  </si>
  <si>
    <t>Gustavo Wong</t>
  </si>
  <si>
    <t>6647-5039</t>
  </si>
  <si>
    <t xml:space="preserve">no tiene </t>
  </si>
  <si>
    <t>Irving Jimenez</t>
  </si>
  <si>
    <t>6578-6882</t>
  </si>
  <si>
    <t xml:space="preserve">jimenezirving185@gmail.com </t>
  </si>
  <si>
    <t>Marieth Gónzalez</t>
  </si>
  <si>
    <t>Ashley Quintero</t>
  </si>
  <si>
    <t>ashleyquintero880@gmail.com</t>
  </si>
  <si>
    <t>Marys Alvarez</t>
  </si>
  <si>
    <t xml:space="preserve">marthamont18@hotmail.com </t>
  </si>
  <si>
    <t xml:space="preserve">Eduardo Miranda </t>
  </si>
  <si>
    <t>6422-9626</t>
  </si>
  <si>
    <t xml:space="preserve">eduardomiranda072010@hotmail.com </t>
  </si>
  <si>
    <t xml:space="preserve">Dayris Araúz </t>
  </si>
  <si>
    <t>6920-1275</t>
  </si>
  <si>
    <t xml:space="preserve">Emerito Lezcano </t>
  </si>
  <si>
    <t>6786-2130</t>
  </si>
  <si>
    <t>Nedelka Sanchez</t>
  </si>
  <si>
    <t>6889-0972</t>
  </si>
  <si>
    <t xml:space="preserve">Alina Beita </t>
  </si>
  <si>
    <t>6906-1399</t>
  </si>
  <si>
    <t xml:space="preserve">Mitzi Concepción </t>
  </si>
  <si>
    <t>6540-5862</t>
  </si>
  <si>
    <t xml:space="preserve">Eliphas Morales </t>
  </si>
  <si>
    <t>6348-6154</t>
  </si>
  <si>
    <t xml:space="preserve">eliphasmorales@hotmail.com </t>
  </si>
  <si>
    <t xml:space="preserve">José Del Cid </t>
  </si>
  <si>
    <t xml:space="preserve">Fabian Parrado </t>
  </si>
  <si>
    <t>6956-1244</t>
  </si>
  <si>
    <t>Erick Sianca</t>
  </si>
  <si>
    <t>6890-0475</t>
  </si>
  <si>
    <t xml:space="preserve">erickrolandosianca@gmail.com </t>
  </si>
  <si>
    <t>Sergio Guerra</t>
  </si>
  <si>
    <t>6813-1884</t>
  </si>
  <si>
    <t>Alexis Rodríguez</t>
  </si>
  <si>
    <t>6414-6708</t>
  </si>
  <si>
    <t>Daniel de León</t>
  </si>
  <si>
    <t>6889-6435</t>
  </si>
  <si>
    <t xml:space="preserve">danielleonmirian25@gmail.com </t>
  </si>
  <si>
    <t>Oldanis Pitti</t>
  </si>
  <si>
    <t>6470-1964</t>
  </si>
  <si>
    <t xml:space="preserve">oldanispitti296@gmail.com </t>
  </si>
  <si>
    <t>Katia Riono</t>
  </si>
  <si>
    <t>6516-0453</t>
  </si>
  <si>
    <t xml:space="preserve">YA PARTICIPO CON NOSOTROS SIGUE MALA OCN LA PC </t>
  </si>
  <si>
    <t>Mirna Villarreal</t>
  </si>
  <si>
    <t>6947-0084</t>
  </si>
  <si>
    <t>Carlos Rojas</t>
  </si>
  <si>
    <t>6486-5607</t>
  </si>
  <si>
    <t xml:space="preserve">transporteguarumal07@gmail.com </t>
  </si>
  <si>
    <t>Joselyn Cubilla</t>
  </si>
  <si>
    <t>6270-8552</t>
  </si>
  <si>
    <t xml:space="preserve">meayleen28@hotmail.com </t>
  </si>
  <si>
    <t>Gerardo Barroso</t>
  </si>
  <si>
    <t>6662-7200</t>
  </si>
  <si>
    <t xml:space="preserve">QUE POR FAVOR LE TENGAN CAFE </t>
  </si>
  <si>
    <t>Lili Zandoya</t>
  </si>
  <si>
    <t>6478-1799</t>
  </si>
  <si>
    <t>Cesar Santamaría</t>
  </si>
  <si>
    <t>6231-1584</t>
  </si>
  <si>
    <t xml:space="preserve">NUEMERO EQUIVOCADO </t>
  </si>
  <si>
    <t>Manuel Barreiro</t>
  </si>
  <si>
    <t>CARLOS GÓNZALEZ</t>
  </si>
  <si>
    <t>6683-9278</t>
  </si>
  <si>
    <t>Minerva Lizondro</t>
  </si>
  <si>
    <t>6691-8449</t>
  </si>
  <si>
    <t>ANA ENTEBI</t>
  </si>
  <si>
    <t>Carlos Zapata</t>
  </si>
  <si>
    <t>Rigoberto Pitty</t>
  </si>
  <si>
    <t xml:space="preserve">moralesmoralesabogados7@gmail.com </t>
  </si>
  <si>
    <t>Lic. Andres Neil</t>
  </si>
  <si>
    <t>Se contacto al Lic en el número 6112-3493</t>
  </si>
  <si>
    <t>Tel. no programado</t>
  </si>
  <si>
    <t>Indican que llame mañana que esta la persona encargada</t>
  </si>
  <si>
    <t>Luis Hernandez</t>
  </si>
  <si>
    <t>luis23-@hotmail.com</t>
  </si>
  <si>
    <t>Tel. esta equivocado</t>
  </si>
  <si>
    <t>Geronimo Váldez</t>
  </si>
  <si>
    <t>geronimovaldez1112@hotmail.com</t>
  </si>
  <si>
    <t>Karen Alvarado</t>
  </si>
  <si>
    <t>multiproventa@gmail.com</t>
  </si>
  <si>
    <t>Llamar en la semana para ver si el dueño del neocio confirma asistencia</t>
  </si>
  <si>
    <t>Maribel Arauz</t>
  </si>
  <si>
    <t>maribelarauz7@gmail.com</t>
  </si>
  <si>
    <t>Que le envien la información por correo</t>
  </si>
  <si>
    <t>Tel. no esta programado</t>
  </si>
  <si>
    <t>Danilo Mendoza</t>
  </si>
  <si>
    <t>No tiene correo</t>
  </si>
  <si>
    <t>Esteban Serracin</t>
  </si>
  <si>
    <t>jreteb@gmail.,com</t>
  </si>
  <si>
    <t>Yonathan Saldaña</t>
  </si>
  <si>
    <t>yonathaneduardosaldaña83@gmail.com</t>
  </si>
  <si>
    <t>Luis Caballero</t>
  </si>
  <si>
    <t>caballerogeovani@gmail.com</t>
  </si>
  <si>
    <t>el. no asignado indica</t>
  </si>
  <si>
    <t>Ricarlo Casorla</t>
  </si>
  <si>
    <t>autogaragepro2025@gmail.com</t>
  </si>
  <si>
    <t>Antonio Jaramillo</t>
  </si>
  <si>
    <t>Alberto Espinoza</t>
  </si>
  <si>
    <t>Ricardo Bonilla</t>
  </si>
  <si>
    <t>José Zapata</t>
  </si>
  <si>
    <t>Yajelis Morales</t>
  </si>
  <si>
    <t>Jacinto Valdes</t>
  </si>
  <si>
    <t>chintoiv08@gmail.com</t>
  </si>
  <si>
    <t>Sergio de Leon</t>
  </si>
  <si>
    <t>tallerkoki1969@gmail.com</t>
  </si>
  <si>
    <t>Wilberto Castillo</t>
  </si>
  <si>
    <t>servitalleragricola@gmail.com</t>
  </si>
  <si>
    <t>Tel. no esta en servicio</t>
  </si>
  <si>
    <t>Tel. no asignado indica</t>
  </si>
  <si>
    <t>Mayerli Rodriguez</t>
  </si>
  <si>
    <t>sujeidi2083@gmail.com</t>
  </si>
  <si>
    <t>Fulvia Gomez</t>
  </si>
  <si>
    <t>ividecsa@hotmail.com</t>
  </si>
  <si>
    <t>Yamini Montenegro</t>
  </si>
  <si>
    <t>7222118/6611-9453</t>
  </si>
  <si>
    <t>gerencia@subastaganadera.com</t>
  </si>
  <si>
    <t>Tel. fuera de servicio</t>
  </si>
  <si>
    <t>Indica que volver a llamar que la llamada no se puede completar y que intente mas tarde</t>
  </si>
  <si>
    <t>Número no es correcto indican</t>
  </si>
  <si>
    <t>Tel. equivocado</t>
  </si>
  <si>
    <t>cerraron el teléfono</t>
  </si>
  <si>
    <t>Que llame en otra ocasion ya que el dueño no se encuentra y es la unica persona que confirman asistencia</t>
  </si>
  <si>
    <t>Noemi Sánchez</t>
  </si>
  <si>
    <t>noemisanchez1976@gmail.com</t>
  </si>
  <si>
    <t xml:space="preserve">iIndica que llamada no se puede completar que llame de nuevo </t>
  </si>
  <si>
    <t>Fuera de servicio</t>
  </si>
  <si>
    <t>Ana Maria Nuñez</t>
  </si>
  <si>
    <t>yarlindiaz069@gmail.com</t>
  </si>
  <si>
    <t>Iclis Anderson</t>
  </si>
  <si>
    <t>chaguitoanderson@gmail.com</t>
  </si>
  <si>
    <t>Luis Rios</t>
  </si>
  <si>
    <t>Itza Arauz</t>
  </si>
  <si>
    <t>Maria Wong</t>
  </si>
  <si>
    <t>7888010/6430-7950</t>
  </si>
  <si>
    <t>Tel. no es correcto</t>
  </si>
  <si>
    <t>Tel. apagado</t>
  </si>
  <si>
    <t>Raul Aguirre</t>
  </si>
  <si>
    <t>raulgonzalo1975@gmail.com</t>
  </si>
  <si>
    <t>jenifer jhonson</t>
  </si>
  <si>
    <t>KEISY TAPIA</t>
  </si>
  <si>
    <t xml:space="preserve">ANGIE MORALES MENDOZA </t>
  </si>
  <si>
    <t>am01021421@gmail.com</t>
  </si>
  <si>
    <t xml:space="preserve">11:37 A.M </t>
  </si>
  <si>
    <t>11:41 A.M</t>
  </si>
  <si>
    <t>11:44 A.M</t>
  </si>
  <si>
    <t xml:space="preserve">INCAPACITADA POR CIRUGÍA </t>
  </si>
  <si>
    <t xml:space="preserve">11:46 A.M </t>
  </si>
  <si>
    <t>ZOILA AROSEMENA</t>
  </si>
  <si>
    <t>shekinahgroup786@gmail.com</t>
  </si>
  <si>
    <t>11:49 A.M</t>
  </si>
  <si>
    <t>RUBIELA TELLO</t>
  </si>
  <si>
    <t>rubielatello2@gmail.com</t>
  </si>
  <si>
    <t>12:02 P.M</t>
  </si>
  <si>
    <t xml:space="preserve">YOLANDA SAMUDIO </t>
  </si>
  <si>
    <t xml:space="preserve">12:05 A.M </t>
  </si>
  <si>
    <t>POR TRABAJO</t>
  </si>
  <si>
    <t>12:10 P.M</t>
  </si>
  <si>
    <t>ELIDA PATIÑO</t>
  </si>
  <si>
    <t xml:space="preserve">12:27 P.M </t>
  </si>
  <si>
    <t xml:space="preserve">VIVE LEJOS DEL ÁREA </t>
  </si>
  <si>
    <t xml:space="preserve">MARCELA COBA </t>
  </si>
  <si>
    <t xml:space="preserve">12:30 P.M </t>
  </si>
  <si>
    <t>12:31 P.M</t>
  </si>
  <si>
    <t>IDALIDES</t>
  </si>
  <si>
    <t xml:space="preserve">12:33 P.M </t>
  </si>
  <si>
    <t xml:space="preserve">12:38 P.M </t>
  </si>
  <si>
    <t xml:space="preserve">CARMEN NOGUERA </t>
  </si>
  <si>
    <t>shadaica704@gmail.com</t>
  </si>
  <si>
    <t xml:space="preserve">12:44 P.M </t>
  </si>
  <si>
    <t>2:09 P.M</t>
  </si>
  <si>
    <t>2:10 P.M</t>
  </si>
  <si>
    <t xml:space="preserve">MASIEL </t>
  </si>
  <si>
    <t>aguirreantonella136@gmail.com</t>
  </si>
  <si>
    <t>2:16 P.M</t>
  </si>
  <si>
    <t xml:space="preserve">NO PUEDE DEJAR LA FONDA SOLA </t>
  </si>
  <si>
    <t>MITZILA PIMENTEL</t>
  </si>
  <si>
    <t xml:space="preserve">2:19 P.M </t>
  </si>
  <si>
    <t>EN CASO DE IR ASISTIRIA EL DIA MIERCOLES</t>
  </si>
  <si>
    <t xml:space="preserve">2:22 P.M </t>
  </si>
  <si>
    <t xml:space="preserve">JUAN CASTILLO </t>
  </si>
  <si>
    <t xml:space="preserve">2:26 P.M </t>
  </si>
  <si>
    <t xml:space="preserve">NO SABE SI TENDRÁ DISPONIBILIDAD ESOS DÍAS </t>
  </si>
  <si>
    <t xml:space="preserve">2:27 P.M </t>
  </si>
  <si>
    <t xml:space="preserve">BUZÓN DE VOZ </t>
  </si>
  <si>
    <t>2:36 P.M</t>
  </si>
  <si>
    <t xml:space="preserve">DIGNA CASTRO </t>
  </si>
  <si>
    <t xml:space="preserve">2:42 P.M </t>
  </si>
  <si>
    <t xml:space="preserve">2:49 P.M </t>
  </si>
  <si>
    <t xml:space="preserve">PRIMITIVO GONZALEZ </t>
  </si>
  <si>
    <t xml:space="preserve">2:52 P.M </t>
  </si>
  <si>
    <t xml:space="preserve">2:53 P.M </t>
  </si>
  <si>
    <t>DAMARIS CUBILLA</t>
  </si>
  <si>
    <t xml:space="preserve">2:58 P.M </t>
  </si>
  <si>
    <t xml:space="preserve">NO SABE SI PODRÁ IR POR TEMAS LABORALES </t>
  </si>
  <si>
    <t xml:space="preserve">3:24 P.M </t>
  </si>
  <si>
    <t xml:space="preserve">IDALVY MARTINEZ </t>
  </si>
  <si>
    <t xml:space="preserve">3:25 P.M </t>
  </si>
  <si>
    <t xml:space="preserve">NO TIENE QUIEN SE QUEDE EN SU NEGOCIO </t>
  </si>
  <si>
    <t>CATARINA MOSS</t>
  </si>
  <si>
    <t>moss.catarina@gmail.com</t>
  </si>
  <si>
    <t>3:35 P.M</t>
  </si>
  <si>
    <t xml:space="preserve">DORIS FUENTES </t>
  </si>
  <si>
    <t>11:29 P.M</t>
  </si>
  <si>
    <t xml:space="preserve">11:32 A.M </t>
  </si>
  <si>
    <t>11:42 A.M</t>
  </si>
  <si>
    <t xml:space="preserve">FUERA DE SERVICIO </t>
  </si>
  <si>
    <t xml:space="preserve">ANDREA PINZON </t>
  </si>
  <si>
    <t>11:43 A.M</t>
  </si>
  <si>
    <t>12:28 P.M</t>
  </si>
  <si>
    <t xml:space="preserve">LA INFORMARÍA A LA DUEÑA DEL NEGOCIO </t>
  </si>
  <si>
    <t xml:space="preserve">NO ESTÁ DISPONIBLE </t>
  </si>
  <si>
    <t xml:space="preserve">GERARDO CASTILLO </t>
  </si>
  <si>
    <t xml:space="preserve">12:31 P.M </t>
  </si>
  <si>
    <t xml:space="preserve">NO ESTÁ INTERESADO </t>
  </si>
  <si>
    <t xml:space="preserve">12:40 P.M </t>
  </si>
  <si>
    <t xml:space="preserve">EULALIA VARGAS </t>
  </si>
  <si>
    <t>12:44 P.M</t>
  </si>
  <si>
    <t xml:space="preserve">FREDERICO CABALLERO </t>
  </si>
  <si>
    <t xml:space="preserve">12:49 P.M </t>
  </si>
  <si>
    <t xml:space="preserve">2:02 P.M </t>
  </si>
  <si>
    <t xml:space="preserve">2:03 P.M </t>
  </si>
  <si>
    <t xml:space="preserve">NÚMERO NO ASIGNADO </t>
  </si>
  <si>
    <t>RENE SANJUR</t>
  </si>
  <si>
    <t>2:06 P.M</t>
  </si>
  <si>
    <t xml:space="preserve">POR UN VIAJE DE TRABAJO </t>
  </si>
  <si>
    <t xml:space="preserve">2:09 P.M </t>
  </si>
  <si>
    <t xml:space="preserve">2:12 P.M </t>
  </si>
  <si>
    <t>2:15 P.M</t>
  </si>
  <si>
    <t xml:space="preserve">NO ESTÁ INTERESADA </t>
  </si>
  <si>
    <t xml:space="preserve">2:59 P.M </t>
  </si>
  <si>
    <t>ERICK ALVIZU</t>
  </si>
  <si>
    <t xml:space="preserve">3:02 P.M </t>
  </si>
  <si>
    <t xml:space="preserve">NO SABE SI PODRÁ IR </t>
  </si>
  <si>
    <t xml:space="preserve">3:18 P.M </t>
  </si>
  <si>
    <t>10:16 A.M</t>
  </si>
  <si>
    <t xml:space="preserve">POR QUEBRANTOS DE SALUD </t>
  </si>
  <si>
    <t>MARCELINO ALVAREZ</t>
  </si>
  <si>
    <t xml:space="preserve">10:19 A.M </t>
  </si>
  <si>
    <t xml:space="preserve">SE LE COMPLICA POR LOS DÍAS </t>
  </si>
  <si>
    <t xml:space="preserve">ANEL GONZALES </t>
  </si>
  <si>
    <t xml:space="preserve">10:32 A.M </t>
  </si>
  <si>
    <t xml:space="preserve">EDWARD MOLINA </t>
  </si>
  <si>
    <t xml:space="preserve">10:35 A.M </t>
  </si>
  <si>
    <t xml:space="preserve">10:38 A.M </t>
  </si>
  <si>
    <t xml:space="preserve">YA DEJÓ DE FUNCIONAR EL NEGOCIO </t>
  </si>
  <si>
    <t xml:space="preserve">10:57 A.M </t>
  </si>
  <si>
    <t xml:space="preserve">NO TIENEN KIOSKO </t>
  </si>
  <si>
    <t xml:space="preserve">11:11 A.M </t>
  </si>
  <si>
    <t>11:18 A.M</t>
  </si>
  <si>
    <t>11:22 A.M</t>
  </si>
  <si>
    <t xml:space="preserve">FUERA DE COBERTURA </t>
  </si>
  <si>
    <t>TANIA CABRERA</t>
  </si>
  <si>
    <t xml:space="preserve">11:57 A.M </t>
  </si>
  <si>
    <t xml:space="preserve">12:01 P.M </t>
  </si>
  <si>
    <t xml:space="preserve">ERA EL CONTADOR Y YA NO TIENE LAZOS CON LOS DUEÑOS </t>
  </si>
  <si>
    <t xml:space="preserve">12:13 P.M </t>
  </si>
  <si>
    <t xml:space="preserve">2:17 P.M </t>
  </si>
  <si>
    <t>NO ESTÁ INTERESADA</t>
  </si>
  <si>
    <t xml:space="preserve">2:18 P.M </t>
  </si>
  <si>
    <t>2:19 P.M</t>
  </si>
  <si>
    <t>2:22 P.M</t>
  </si>
  <si>
    <t xml:space="preserve">ARACELYS DEL CARMEN </t>
  </si>
  <si>
    <t>2:25 P.M</t>
  </si>
  <si>
    <t xml:space="preserve">ARCADIO SÁNCHEZ </t>
  </si>
  <si>
    <t xml:space="preserve">2:28 P.M </t>
  </si>
  <si>
    <t>2:31 P.M</t>
  </si>
  <si>
    <t>ANTONIO GALLARDO</t>
  </si>
  <si>
    <t xml:space="preserve">2:35 P.M </t>
  </si>
  <si>
    <t>BLANCA GONZALEZ</t>
  </si>
  <si>
    <t xml:space="preserve">2:37 P.M </t>
  </si>
  <si>
    <t>2:40 P.M</t>
  </si>
  <si>
    <t>EDITH VIQUEZ</t>
  </si>
  <si>
    <t xml:space="preserve">2:43 P.M </t>
  </si>
  <si>
    <t xml:space="preserve">AMELIA </t>
  </si>
  <si>
    <t xml:space="preserve">2:47 P.M </t>
  </si>
  <si>
    <t>dice que no esta interesada</t>
  </si>
  <si>
    <t>se incapacitado</t>
  </si>
  <si>
    <t>dice que confirm con su esposa</t>
  </si>
  <si>
    <t>numero no disponible</t>
  </si>
  <si>
    <t>nos llamara para confirmar</t>
  </si>
  <si>
    <t>AGUEDA PEÑA</t>
  </si>
  <si>
    <t>NUMERO NO DISPONIBLE</t>
  </si>
  <si>
    <t>MANDO A BUZON</t>
  </si>
  <si>
    <t>POR HORARIOS DE TRABAJO</t>
  </si>
  <si>
    <t>ECD,SANANTONIOLM@GMAIL.COM</t>
  </si>
  <si>
    <t>ENVIARLE LA INFORMACION A EL CORREO</t>
  </si>
  <si>
    <t xml:space="preserve">me salio la contestadoral </t>
  </si>
  <si>
    <t>le informara a la encargada</t>
  </si>
  <si>
    <t>me salio la contestadora</t>
  </si>
  <si>
    <t>laboratorioeconodisel@gmail.com</t>
  </si>
  <si>
    <t>enviar informacion y dara su respuesta</t>
  </si>
  <si>
    <t>tiene que preguntarle a el jefe</t>
  </si>
  <si>
    <t>tratara de asistir</t>
  </si>
  <si>
    <t>tiene compromisos que atender esos dias</t>
  </si>
  <si>
    <t>iene que hablar con el jefe</t>
  </si>
  <si>
    <t>dice que debe de comunicar a la gerencia</t>
  </si>
  <si>
    <t>mando a buzon</t>
  </si>
  <si>
    <t>esta equivocado</t>
  </si>
  <si>
    <t>tiene que revisar su agenda</t>
  </si>
  <si>
    <t>alrios784@gmail.com</t>
  </si>
  <si>
    <t>informacion</t>
  </si>
  <si>
    <t>va hacer lo posible  para asistir</t>
  </si>
  <si>
    <t>BELSYGUERRA01@GMAIL.COM</t>
  </si>
  <si>
    <t>EN ESE HORARIO ESTA  OCUPADO</t>
  </si>
  <si>
    <t>IENE QUE REVISR SU AGENDA</t>
  </si>
  <si>
    <t>CERRO LA LLAMADA</t>
  </si>
  <si>
    <t>RATARA DE ASISTIR</t>
  </si>
  <si>
    <t>OMUNICARA A SU ESPOSA</t>
  </si>
  <si>
    <t>HELCI SALAZAR</t>
  </si>
  <si>
    <t>11:42 a.m.</t>
  </si>
  <si>
    <t>apagado.</t>
  </si>
  <si>
    <t>11:43 a.m.</t>
  </si>
  <si>
    <t>9:55 a.m.</t>
  </si>
  <si>
    <t>no contesta.</t>
  </si>
  <si>
    <t>SONIA AGUILA/ AGUSTÍN SANTOS</t>
  </si>
  <si>
    <t>jennifersoniasantos@gmail.com</t>
  </si>
  <si>
    <t>JAIME GONZÁLEZ</t>
  </si>
  <si>
    <t>alexisjustavino9@gmail.com</t>
  </si>
  <si>
    <t>12:56 a.m.</t>
  </si>
  <si>
    <t>11:59 a.m.</t>
  </si>
  <si>
    <t>9:57 a.m.</t>
  </si>
  <si>
    <t>Fuera de servicio.</t>
  </si>
  <si>
    <t>No contesta.</t>
  </si>
  <si>
    <t>ALEXIS CEDEÑO</t>
  </si>
  <si>
    <t>cedenoalexi2308@gmail.com</t>
  </si>
  <si>
    <t>1:09 p.m.</t>
  </si>
  <si>
    <t>Apagado.</t>
  </si>
  <si>
    <t>VICTORIA MORAL</t>
  </si>
  <si>
    <t>1:36 p.m.</t>
  </si>
  <si>
    <t>10:05 a.m.</t>
  </si>
  <si>
    <t>No podrá asistir.</t>
  </si>
  <si>
    <t>1:48 p.m.</t>
  </si>
  <si>
    <t>1:57 p.m.</t>
  </si>
  <si>
    <t>ODELIS GONZÁLEZ</t>
  </si>
  <si>
    <t>odelis1073@hotmail.com</t>
  </si>
  <si>
    <t>2:04 p.m.</t>
  </si>
  <si>
    <t>ROMELIA SAMUDIO</t>
  </si>
  <si>
    <t>2:23 p.m.</t>
  </si>
  <si>
    <t>ANGEL CASTRELLÓN</t>
  </si>
  <si>
    <t>2:39 P.M.</t>
  </si>
  <si>
    <t>Se encuentra en Punta Búrica, muy lejos.</t>
  </si>
  <si>
    <t>2:47 p.m.</t>
  </si>
  <si>
    <t>2:49 p.m.</t>
  </si>
  <si>
    <t>YOVANA FUENTES</t>
  </si>
  <si>
    <t>3:19 p.m.</t>
  </si>
  <si>
    <t>3:44 p.m.</t>
  </si>
  <si>
    <t>3:45 p.m.</t>
  </si>
  <si>
    <t>3:47 p.m.</t>
  </si>
  <si>
    <t>DAVIS ARIEL NAVARRO</t>
  </si>
  <si>
    <t>3:50 p.m.</t>
  </si>
  <si>
    <t>3:52 p.m.</t>
  </si>
  <si>
    <t>3:55 p.m.</t>
  </si>
  <si>
    <t xml:space="preserve">IBETH VEGA </t>
  </si>
  <si>
    <t>4:00 p.m.</t>
  </si>
  <si>
    <t>9:54 a.m.</t>
  </si>
  <si>
    <t xml:space="preserve">PELUQUERÍA ACOSTA/ </t>
  </si>
  <si>
    <t xml:space="preserve">CASITA LAS PIPAS/ </t>
  </si>
  <si>
    <t>MARIELA CERCEÑO</t>
  </si>
  <si>
    <t>VIRGINIA GUERRA</t>
  </si>
  <si>
    <t>10:18 a.m.</t>
  </si>
  <si>
    <t>SALLYS NEDELKA MORRICE</t>
  </si>
  <si>
    <t>10:23 a.m.</t>
  </si>
  <si>
    <t>10:24 a.m.</t>
  </si>
  <si>
    <t>10:25 a.m.</t>
  </si>
  <si>
    <t>ROCÍO ROJAS</t>
  </si>
  <si>
    <t>10:29 a.m.</t>
  </si>
  <si>
    <t>DORIS CHACÓN</t>
  </si>
  <si>
    <t>10:40 a.m.</t>
  </si>
  <si>
    <t>10:49 a.m.</t>
  </si>
  <si>
    <t xml:space="preserve">ARISTIDES MARTÍNEZ </t>
  </si>
  <si>
    <t>11:03 a.m.</t>
  </si>
  <si>
    <t>IRIA ISABEL QUINTERO QUINTERO</t>
  </si>
  <si>
    <t>risaquintero12022009@gmail.com</t>
  </si>
  <si>
    <t>11:18 a.m.</t>
  </si>
  <si>
    <t>11:20 a.m.</t>
  </si>
  <si>
    <t>11:21 a.m.</t>
  </si>
  <si>
    <t>11:24 a.m.</t>
  </si>
  <si>
    <t>11:26 a.m.</t>
  </si>
  <si>
    <t>número equivocado.</t>
  </si>
  <si>
    <t>11:32 a.m.</t>
  </si>
  <si>
    <t>11:33 a.m.</t>
  </si>
  <si>
    <t>11:36 a.m.</t>
  </si>
  <si>
    <t>11:41 a.m.</t>
  </si>
  <si>
    <t xml:space="preserve">FONDA KEITLIN/ </t>
  </si>
  <si>
    <t>11:45 a.m.</t>
  </si>
  <si>
    <t>helci Salazar</t>
  </si>
  <si>
    <t>NEREYDA REYES</t>
  </si>
  <si>
    <t>ascopias26@gmail.com</t>
  </si>
  <si>
    <t xml:space="preserve">Debido al mismo horario que atiende el negocio será en otra ocasión </t>
  </si>
  <si>
    <t>Debido a que la mamá era la del negocio y ya no lo tiene,</t>
  </si>
  <si>
    <t>Sra. Edra</t>
  </si>
  <si>
    <t>ejqgliz@gmail.com</t>
  </si>
  <si>
    <t>Ana Victoria Julio</t>
  </si>
  <si>
    <t>anaacosta0213@gma</t>
  </si>
  <si>
    <t>NO puede dejar el negocio solo no tiene empleados</t>
  </si>
  <si>
    <t xml:space="preserve">Karla Vega </t>
  </si>
  <si>
    <t>6026-7586</t>
  </si>
  <si>
    <t>Ana Castillo</t>
  </si>
  <si>
    <t>6971-4141</t>
  </si>
  <si>
    <t>justavinoana2@gmail.com</t>
  </si>
  <si>
    <t>Tiene negocio informal y desea mucha orientación.</t>
  </si>
  <si>
    <t xml:space="preserve">David Pineda </t>
  </si>
  <si>
    <t>6391-7277</t>
  </si>
  <si>
    <t xml:space="preserve">Gipsy López </t>
  </si>
  <si>
    <t>6203-5359</t>
  </si>
  <si>
    <t xml:space="preserve">Yarelis Flores </t>
  </si>
  <si>
    <t>6811-0392</t>
  </si>
  <si>
    <t>yarelisalexandraf@gmail.com</t>
  </si>
  <si>
    <t>Se dedica a la siembra de diferentes rubros.</t>
  </si>
  <si>
    <t xml:space="preserve">Laura Nieto </t>
  </si>
  <si>
    <t>6292-0862</t>
  </si>
  <si>
    <t>No tiene negocio es Prof. a tiempo medio en U.</t>
  </si>
  <si>
    <t>Lavandreria Clean a Fast</t>
  </si>
  <si>
    <t xml:space="preserve">Antonio Guerrero </t>
  </si>
  <si>
    <t>6675-6354</t>
  </si>
  <si>
    <t>c4latinbeats@gmail.com</t>
  </si>
  <si>
    <t>El confirma sin ningun compromiso,</t>
  </si>
  <si>
    <t xml:space="preserve">Carlos Contreras </t>
  </si>
  <si>
    <t>6506-5901</t>
  </si>
  <si>
    <t xml:space="preserve">Elipas Morales </t>
  </si>
  <si>
    <t>eliphasmorales@hotmail.com</t>
  </si>
  <si>
    <t>Debe revisar agenda y devolvera llamada,</t>
  </si>
  <si>
    <t>Iris Beitia</t>
  </si>
  <si>
    <t>Dayra Chacón</t>
  </si>
  <si>
    <t>6515-4225</t>
  </si>
  <si>
    <t>Emprendimiento de ajies mejorado</t>
  </si>
  <si>
    <t>Raúl Ortega</t>
  </si>
  <si>
    <t>6231-9820</t>
  </si>
  <si>
    <t>Alexandra Araúz</t>
  </si>
  <si>
    <t>6664-4604</t>
  </si>
  <si>
    <t>Jorge Espinoza</t>
  </si>
  <si>
    <t>Conversa con su socio y devolvera llamada</t>
  </si>
  <si>
    <t>Creaciones Jecita</t>
  </si>
  <si>
    <t xml:space="preserve">Jose Montezuma </t>
  </si>
  <si>
    <t>6978-5776</t>
  </si>
  <si>
    <t>nidulymp24@gmail.com</t>
  </si>
  <si>
    <t>Hacen vestidos de molas,</t>
  </si>
  <si>
    <t>Miguel Jimenez</t>
  </si>
  <si>
    <t>6063-4445</t>
  </si>
  <si>
    <t>Taller de Electrónica</t>
  </si>
  <si>
    <t>Nubia de González</t>
  </si>
  <si>
    <t>6986-7762</t>
  </si>
  <si>
    <t>nuviadegonzalez1970@gmail.com</t>
  </si>
  <si>
    <t>Va a llevar a la hija que tiene un emprendimiento y su empresa tiene 20 año.</t>
  </si>
  <si>
    <t>Bienvenido Samudio</t>
  </si>
  <si>
    <t>6648-7944</t>
  </si>
  <si>
    <t>Yessica Montenegro</t>
  </si>
  <si>
    <t>6667-8107</t>
  </si>
  <si>
    <t>Dayelis Rodriguez</t>
  </si>
  <si>
    <t>6435-2095</t>
  </si>
  <si>
    <t>rodriguezdayelis280@gmail.com</t>
  </si>
  <si>
    <t>Tiene una abarrotería y esta Puerto  Armuelles</t>
  </si>
  <si>
    <t xml:space="preserve">Usiel Guerra </t>
  </si>
  <si>
    <t>6398-3370</t>
  </si>
  <si>
    <t>Angelica Samudio</t>
  </si>
  <si>
    <t>6916-7901</t>
  </si>
  <si>
    <t>Ileana Navarro</t>
  </si>
  <si>
    <t>6712-2311</t>
  </si>
  <si>
    <t>6838-0102</t>
  </si>
  <si>
    <t>María Andrade</t>
  </si>
  <si>
    <t>6725-6779</t>
  </si>
  <si>
    <t>marife15andrade50@gmail.com</t>
  </si>
  <si>
    <t>Emprendimiento de yougur, y derivados alimentos</t>
  </si>
  <si>
    <t>Javier Fernández</t>
  </si>
  <si>
    <t>6733-9804</t>
  </si>
  <si>
    <t>SRG SOLUCIONES</t>
  </si>
  <si>
    <t>Samuel González</t>
  </si>
  <si>
    <t>6671-9238</t>
  </si>
  <si>
    <t>ventas@srgsoluciones.com</t>
  </si>
  <si>
    <t>Se dedica a la Construcción y Tecnología.Tiene Registro Empresarial,</t>
  </si>
  <si>
    <t>Abanis González</t>
  </si>
  <si>
    <t>6864-0077</t>
  </si>
  <si>
    <t>Edward Caballero</t>
  </si>
  <si>
    <t>6897-7322</t>
  </si>
  <si>
    <t>Adriana Vasquéz</t>
  </si>
  <si>
    <t>6194-6079</t>
  </si>
  <si>
    <t>Sati Madrid</t>
  </si>
  <si>
    <t>6208-6337</t>
  </si>
  <si>
    <t>Constructora y Equipo 3 M, S.A.</t>
  </si>
  <si>
    <t xml:space="preserve">Mario E. Quintero </t>
  </si>
  <si>
    <t>6657-7845</t>
  </si>
  <si>
    <t>contrucyequipo3m@hotmail.com</t>
  </si>
  <si>
    <t>Constructora en general y esta RE</t>
  </si>
  <si>
    <t>MULTISERVICIOS VALDES</t>
  </si>
  <si>
    <t>Melquis Valdes</t>
  </si>
  <si>
    <t>6233-4371</t>
  </si>
  <si>
    <t>melquis21valdes@gmail.com</t>
  </si>
  <si>
    <t>Servicio de electricidad, aire acondicionado,y ,amtenimientyo</t>
  </si>
  <si>
    <t>MandelcaKffee</t>
  </si>
  <si>
    <t xml:space="preserve">Roderick Tedman </t>
  </si>
  <si>
    <t>6447-2672</t>
  </si>
  <si>
    <t>roderick.tedman@gmail.com</t>
  </si>
  <si>
    <t>Tiene SEP y Registro Empresarial Pregunta si vamos a tener Refrigerio</t>
  </si>
  <si>
    <t>Mabys Mogaly</t>
  </si>
  <si>
    <t>6265-6262</t>
  </si>
  <si>
    <t>Venta de equipo de senderismo y Más</t>
  </si>
  <si>
    <t>José Cabrera</t>
  </si>
  <si>
    <t>6165-0616</t>
  </si>
  <si>
    <t>Esta molesto por tener 6 meses tramitar SEP y no ha podico hacerla y cuando va a David, nadie sabe nada.</t>
  </si>
  <si>
    <t>Marcial Contreras</t>
  </si>
  <si>
    <t>6668-7528</t>
  </si>
  <si>
    <t>Cabañas Marinas</t>
  </si>
  <si>
    <t>Kenth Castillo</t>
  </si>
  <si>
    <t>kenthcastillo16@gmail.com</t>
  </si>
  <si>
    <t>Carlos Cruz</t>
  </si>
  <si>
    <t>6732-0775</t>
  </si>
  <si>
    <t>Mayra Quiroz</t>
  </si>
  <si>
    <t>6973-2428</t>
  </si>
  <si>
    <t>Salon J PITTI NEY</t>
  </si>
  <si>
    <t xml:space="preserve">Joselin Pitti </t>
  </si>
  <si>
    <t>6473-5967</t>
  </si>
  <si>
    <t>pittijoseline0@gmail.com</t>
  </si>
  <si>
    <t>JR WARRIOR</t>
  </si>
  <si>
    <t>Julissa Ríos</t>
  </si>
  <si>
    <t>6534-4433</t>
  </si>
  <si>
    <t>july18971@hotmail.com</t>
  </si>
  <si>
    <t>Registro Sanitario y Redes sociales necesita,</t>
  </si>
  <si>
    <t>Sideira Martinez</t>
  </si>
  <si>
    <t>6870-1454</t>
  </si>
  <si>
    <t>Milagros Dueñas</t>
  </si>
  <si>
    <t>6397-7878</t>
  </si>
  <si>
    <t xml:space="preserve">Vielka Ibarra </t>
  </si>
  <si>
    <t>6824-0299</t>
  </si>
  <si>
    <t>Fausta Justavino</t>
  </si>
  <si>
    <t>6595-0681</t>
  </si>
  <si>
    <t xml:space="preserve">HERRERIA </t>
  </si>
  <si>
    <t>Bryan Pineda</t>
  </si>
  <si>
    <t>6091-4212</t>
  </si>
  <si>
    <t>Estara muy ocupado y no puede participar.</t>
  </si>
  <si>
    <t>Carlos Saldaña</t>
  </si>
  <si>
    <t>6553-6983</t>
  </si>
  <si>
    <t>Melanie Sánchez</t>
  </si>
  <si>
    <t>6787-4861</t>
  </si>
  <si>
    <t>ROBERTO CAMPBELL</t>
  </si>
  <si>
    <t>MINI MARKET IVAN</t>
  </si>
  <si>
    <t>Erick Espinoza</t>
  </si>
  <si>
    <t>6465-4105</t>
  </si>
  <si>
    <t xml:space="preserve">Sabina Morales </t>
  </si>
  <si>
    <t>6435-7842</t>
  </si>
  <si>
    <t>SE CONVERSO CON EL ESPOSO Y LA MISMA ESTA DE VIAJE</t>
  </si>
  <si>
    <t>ABARROTERIA YERAI</t>
  </si>
  <si>
    <t>Yadira Torres</t>
  </si>
  <si>
    <t>6514-0378</t>
  </si>
  <si>
    <t>AR CREATION</t>
  </si>
  <si>
    <t>Nataly Pitti</t>
  </si>
  <si>
    <t>6311-5600</t>
  </si>
  <si>
    <t>KIOSKO YELENA</t>
  </si>
  <si>
    <t>Itzel Barria</t>
  </si>
  <si>
    <t>6461-5105</t>
  </si>
  <si>
    <t>Keilin Bejerano</t>
  </si>
  <si>
    <t>6865-3933</t>
  </si>
  <si>
    <t>APOCAT VT</t>
  </si>
  <si>
    <t>Emily Haworth</t>
  </si>
  <si>
    <t>6713-0043</t>
  </si>
  <si>
    <t>ENVIAR INFORMACION POR WAP.</t>
  </si>
  <si>
    <t>Juan Ríos</t>
  </si>
  <si>
    <t>Francia Noriega</t>
  </si>
  <si>
    <t>6724-1860</t>
  </si>
  <si>
    <t>BATERIA AUTOMOTRICES</t>
  </si>
  <si>
    <t>Pamela Pitti</t>
  </si>
  <si>
    <t>María Cedeño Mulino</t>
  </si>
  <si>
    <t>CREACIONES YESSY</t>
  </si>
  <si>
    <t>Yesenia Lezcano</t>
  </si>
  <si>
    <t>CONSTRUCTORA ORUS</t>
  </si>
  <si>
    <t>Erikc Medina</t>
  </si>
  <si>
    <t>NICOLE STUDIO</t>
  </si>
  <si>
    <t xml:space="preserve">Daysi Acosta </t>
  </si>
  <si>
    <t>6433-6646</t>
  </si>
  <si>
    <t xml:space="preserve">Carlos Atencio </t>
  </si>
  <si>
    <t>6451-7558</t>
  </si>
  <si>
    <t>MARIELA HERNANDEZ</t>
  </si>
  <si>
    <t>PRODUCTO MAR Y TIERRA</t>
  </si>
  <si>
    <t>CARMEN MONDRAGON</t>
  </si>
  <si>
    <t>MERCADITO CHERLIN</t>
  </si>
  <si>
    <t>ELIECER BERROA</t>
  </si>
  <si>
    <t>ENEMIAS BRUNO</t>
  </si>
  <si>
    <t>DENIS LOPEZ</t>
  </si>
  <si>
    <t>IVAN SERRRACIN</t>
  </si>
  <si>
    <t>6-326</t>
  </si>
  <si>
    <t>LOIRA ALOBRIDE</t>
  </si>
  <si>
    <t>NO ESTA INTERESADA</t>
  </si>
  <si>
    <t>MARIA VARGAS</t>
  </si>
  <si>
    <t>David Morán</t>
  </si>
  <si>
    <t>6709-6655</t>
  </si>
  <si>
    <t>Enrrique Archivol</t>
  </si>
  <si>
    <t>6922-4408</t>
  </si>
  <si>
    <t xml:space="preserve">Michael Contrera </t>
  </si>
  <si>
    <t>6471-0264</t>
  </si>
  <si>
    <t xml:space="preserve">Chaneiska Montero </t>
  </si>
  <si>
    <t>6821-3234</t>
  </si>
  <si>
    <t xml:space="preserve">Fredy Santos </t>
  </si>
  <si>
    <t>6411-8318</t>
  </si>
  <si>
    <t>Marco Briceño</t>
  </si>
  <si>
    <t xml:space="preserve">Ana Atencio </t>
  </si>
  <si>
    <t>6620-5782</t>
  </si>
  <si>
    <t xml:space="preserve">Edita Suira </t>
  </si>
  <si>
    <t>6440-8241</t>
  </si>
  <si>
    <t xml:space="preserve">Oscar Miranda </t>
  </si>
  <si>
    <t xml:space="preserve">Moises Ortega </t>
  </si>
  <si>
    <t>6659-9361</t>
  </si>
  <si>
    <t>Xiomara Perez</t>
  </si>
  <si>
    <t>6499-8355</t>
  </si>
  <si>
    <t>Michael Ruiz</t>
  </si>
  <si>
    <t>6709-3221</t>
  </si>
  <si>
    <t xml:space="preserve">Rafael Gómez </t>
  </si>
  <si>
    <t>6367-9926</t>
  </si>
  <si>
    <t>Jonny Martinez</t>
  </si>
  <si>
    <t>6395-8932</t>
  </si>
  <si>
    <t xml:space="preserve">Diana Espinoza </t>
  </si>
  <si>
    <t>6834-2588</t>
  </si>
  <si>
    <t>Nodier Polanco</t>
  </si>
  <si>
    <t>6514-9975</t>
  </si>
  <si>
    <t>Roy Rodríguez</t>
  </si>
  <si>
    <t>6312-3271</t>
  </si>
  <si>
    <t>Michelle Saldaña</t>
  </si>
  <si>
    <t>6677-6644</t>
  </si>
  <si>
    <t xml:space="preserve">MARICELA GONZALEZ </t>
  </si>
  <si>
    <t>DACC. Inversiones y Servicios</t>
  </si>
  <si>
    <t>Ilka Castillo</t>
  </si>
  <si>
    <t>6618-6630</t>
  </si>
  <si>
    <t>daac.inversionesyservicios@gmail.com</t>
  </si>
  <si>
    <t>Enviar invitacion por correo</t>
  </si>
  <si>
    <t xml:space="preserve">Nuestra tienda </t>
  </si>
  <si>
    <t>Elias Santos</t>
  </si>
  <si>
    <t>6897-8178</t>
  </si>
  <si>
    <t xml:space="preserve">Enviar dirección por Whatsapp </t>
  </si>
  <si>
    <t xml:space="preserve">César Sanjur </t>
  </si>
  <si>
    <t>6505-3994</t>
  </si>
  <si>
    <t>Empresa de Catering</t>
  </si>
  <si>
    <t>Hector Melendez</t>
  </si>
  <si>
    <t>6244-4354</t>
  </si>
  <si>
    <t>136 p.m.</t>
  </si>
  <si>
    <t>TECNYSERVICES</t>
  </si>
  <si>
    <t>Orlando Perez</t>
  </si>
  <si>
    <t>6690-1353</t>
  </si>
  <si>
    <t>oipereztecnyservices@gmail.com</t>
  </si>
  <si>
    <t>1:59 p.m</t>
  </si>
  <si>
    <t>Manuel Alveo</t>
  </si>
  <si>
    <t>6533-0422</t>
  </si>
  <si>
    <t>Micaias Diaz</t>
  </si>
  <si>
    <t>6748-2807</t>
  </si>
  <si>
    <t>Sevai Andrades</t>
  </si>
  <si>
    <t>6985-1858</t>
  </si>
  <si>
    <t>2:16 P.M.</t>
  </si>
  <si>
    <t>Roy Espinoza</t>
  </si>
  <si>
    <t>6490-7761</t>
  </si>
  <si>
    <t>2:54 P.M.</t>
  </si>
  <si>
    <t>Debora Carrillo</t>
  </si>
  <si>
    <t>6272-3598</t>
  </si>
  <si>
    <t>3:16 P.M.</t>
  </si>
  <si>
    <t>Luisa Pineda</t>
  </si>
  <si>
    <t>6261-3930</t>
  </si>
  <si>
    <t>8:24 a.m.</t>
  </si>
  <si>
    <t>Ramon Wong</t>
  </si>
  <si>
    <t>6626-3094</t>
  </si>
  <si>
    <t>8:25 a.m.</t>
  </si>
  <si>
    <t>Jorge Menéndez</t>
  </si>
  <si>
    <t>6630-6986</t>
  </si>
  <si>
    <t>8:296 a.m.</t>
  </si>
  <si>
    <t>Eduardo Sanchéz</t>
  </si>
  <si>
    <t>8:29 a.m.</t>
  </si>
  <si>
    <t>Número equivocado</t>
  </si>
  <si>
    <t>Eugenia Caballero</t>
  </si>
  <si>
    <t>6453-0687</t>
  </si>
  <si>
    <t xml:space="preserve">Mayuri Lezcano </t>
  </si>
  <si>
    <t>6728-1808</t>
  </si>
  <si>
    <t>8:39 a.m.</t>
  </si>
  <si>
    <t>Leicy Beitia</t>
  </si>
  <si>
    <t>6456-7895</t>
  </si>
  <si>
    <t>8:40 a.m.</t>
  </si>
  <si>
    <t>Katherine Mendoza</t>
  </si>
  <si>
    <t>Juan Orocú</t>
  </si>
  <si>
    <t>6393-3577</t>
  </si>
  <si>
    <t>12:13 m.</t>
  </si>
  <si>
    <t xml:space="preserve">SAMBUCOPY </t>
  </si>
  <si>
    <t>Ebony Moreno</t>
  </si>
  <si>
    <t>6835-7925</t>
  </si>
  <si>
    <t>8:54 a.m.</t>
  </si>
  <si>
    <t>ACTIVARA SU NEGOCIO (TIENDA)</t>
  </si>
  <si>
    <t>Alanis Goméz</t>
  </si>
  <si>
    <t>6754-2198</t>
  </si>
  <si>
    <t>8:56 A.M.</t>
  </si>
  <si>
    <t>SABORES DEL ALMA</t>
  </si>
  <si>
    <t>Alma Andrade</t>
  </si>
  <si>
    <t>6237-6447</t>
  </si>
  <si>
    <t>8:59 A.M.</t>
  </si>
  <si>
    <t>Diogenes Jimenez</t>
  </si>
  <si>
    <t>6967-4205</t>
  </si>
  <si>
    <t>9:01 a.m.</t>
  </si>
  <si>
    <t>Por empezar su emprendimiento</t>
  </si>
  <si>
    <t>Guillermo Vargas</t>
  </si>
  <si>
    <t>6231-1273</t>
  </si>
  <si>
    <t>Abdiel Araúz</t>
  </si>
  <si>
    <t>6636-7972</t>
  </si>
  <si>
    <t>Auristel Morales</t>
  </si>
  <si>
    <t>6978-4618</t>
  </si>
  <si>
    <t>Sivelys Fuente</t>
  </si>
  <si>
    <t>6826-6748</t>
  </si>
  <si>
    <t>9:25 a.m.</t>
  </si>
  <si>
    <t>Bellanira González</t>
  </si>
  <si>
    <t>6267-6134</t>
  </si>
  <si>
    <t>9:27 a.m</t>
  </si>
  <si>
    <t>Crianza de Puercos</t>
  </si>
  <si>
    <t>Eliseo Guerra</t>
  </si>
  <si>
    <t>6619-9782</t>
  </si>
  <si>
    <t>Oriel Muñoz</t>
  </si>
  <si>
    <t>6575-9815</t>
  </si>
  <si>
    <t>Josue Rivera</t>
  </si>
  <si>
    <t>6790-2174</t>
  </si>
  <si>
    <t xml:space="preserve">Todo en Soldura Chacon </t>
  </si>
  <si>
    <t>Jorge Chacón</t>
  </si>
  <si>
    <t>6513-5832</t>
  </si>
  <si>
    <t>10:16 a.m.</t>
  </si>
  <si>
    <t>Se comuniquen por Whatsapp</t>
  </si>
  <si>
    <t xml:space="preserve">Christina Cubilla </t>
  </si>
  <si>
    <t>6350-5856</t>
  </si>
  <si>
    <t>No tiene emprendimiento</t>
  </si>
  <si>
    <t xml:space="preserve">Reparaciones Dios es Fiel </t>
  </si>
  <si>
    <t>Oscar Elinton</t>
  </si>
  <si>
    <t>6903-7183</t>
  </si>
  <si>
    <t>Manuel Soto</t>
  </si>
  <si>
    <t>6857-2223</t>
  </si>
  <si>
    <t xml:space="preserve">Deisy Miranda </t>
  </si>
  <si>
    <t>Gabriel Jaramillo</t>
  </si>
  <si>
    <t>6860-6589</t>
  </si>
  <si>
    <t>9.53 a.m.</t>
  </si>
  <si>
    <t>Arelis Landeras</t>
  </si>
  <si>
    <t>6345-8461</t>
  </si>
  <si>
    <t>LUIS ORTEGA</t>
  </si>
  <si>
    <t>Victorio Sánchez</t>
  </si>
  <si>
    <t>6669-8056</t>
  </si>
  <si>
    <t>Alex  Alvarado</t>
  </si>
  <si>
    <t>Zaira Arces</t>
  </si>
  <si>
    <t>Yamileth Santamaría</t>
  </si>
  <si>
    <t>Damaris M. Pitti</t>
  </si>
  <si>
    <t>Juzbeika Chavarría</t>
  </si>
  <si>
    <t>6467-1515</t>
  </si>
  <si>
    <t>María Pérez</t>
  </si>
  <si>
    <t xml:space="preserve">Maria Teresa Armuelles </t>
  </si>
  <si>
    <t>6982-4433</t>
  </si>
  <si>
    <t xml:space="preserve">Eveline Santamaría </t>
  </si>
  <si>
    <t>6832-4493</t>
  </si>
  <si>
    <t xml:space="preserve">Regina Vargas </t>
  </si>
  <si>
    <t>6274-2894</t>
  </si>
  <si>
    <t>YEIMI578@GMAIL.COM</t>
  </si>
  <si>
    <t>KAREN DAMIAN</t>
  </si>
  <si>
    <t>KIOSCO MARKUSI</t>
  </si>
  <si>
    <t>Alexis Atencio</t>
  </si>
  <si>
    <t>6483-6227</t>
  </si>
  <si>
    <t>2:30 P.M.</t>
  </si>
  <si>
    <t>Aura Navarro</t>
  </si>
  <si>
    <t>6550-2845</t>
  </si>
  <si>
    <t xml:space="preserve">NO TIENE NEGOCIO </t>
  </si>
  <si>
    <t>3:04 P.M</t>
  </si>
  <si>
    <t>Luz Rivera</t>
  </si>
  <si>
    <t>6810-9670</t>
  </si>
  <si>
    <t>3:39 P.M.</t>
  </si>
  <si>
    <t>Queen Ney Studio</t>
  </si>
  <si>
    <t>Keily Quintero</t>
  </si>
  <si>
    <t>6266-3826</t>
  </si>
  <si>
    <t>3:42 p-m-</t>
  </si>
  <si>
    <t>Creaciones Dayana</t>
  </si>
  <si>
    <t xml:space="preserve">Iris Salazar </t>
  </si>
  <si>
    <t>6371-7508</t>
  </si>
  <si>
    <t>3:43 p.m.</t>
  </si>
  <si>
    <t xml:space="preserve">Abarroteria Louana </t>
  </si>
  <si>
    <t xml:space="preserve">Regino Vargas </t>
  </si>
  <si>
    <t>3:48 a.m.</t>
  </si>
  <si>
    <t>Hector López</t>
  </si>
  <si>
    <t>6696-1283</t>
  </si>
  <si>
    <t xml:space="preserve">3:50 p.m. </t>
  </si>
  <si>
    <t>Liboria Cortéz</t>
  </si>
  <si>
    <t>8:20 a.m</t>
  </si>
  <si>
    <t>Luz Guerra</t>
  </si>
  <si>
    <t>6384-4634</t>
  </si>
  <si>
    <t>Mayra Estribi</t>
  </si>
  <si>
    <t>6593-2342</t>
  </si>
  <si>
    <t>8:26 a.m</t>
  </si>
  <si>
    <t>Noemi Solis</t>
  </si>
  <si>
    <t>6364-4258</t>
  </si>
  <si>
    <t xml:space="preserve">8:29 a.m. </t>
  </si>
  <si>
    <t>Rachel González</t>
  </si>
  <si>
    <t>6196-3411</t>
  </si>
  <si>
    <t>8:30 a.m-</t>
  </si>
  <si>
    <t xml:space="preserve">Buena Vista flawers </t>
  </si>
  <si>
    <t>Luis Fong</t>
  </si>
  <si>
    <t>6340-3243</t>
  </si>
  <si>
    <t>8:32 a.</t>
  </si>
  <si>
    <t>6531-8342</t>
  </si>
  <si>
    <t>8:35 a.m.</t>
  </si>
  <si>
    <t>numero equibocado</t>
  </si>
  <si>
    <t xml:space="preserve">Tilapias del Brujo </t>
  </si>
  <si>
    <t>Juan Diego Batista</t>
  </si>
  <si>
    <t>6443-6629</t>
  </si>
  <si>
    <t xml:space="preserve">8:37 a.m. </t>
  </si>
  <si>
    <t xml:space="preserve">Mini super naomi </t>
  </si>
  <si>
    <t>Noemi Urriola</t>
  </si>
  <si>
    <t>6736-3257</t>
  </si>
  <si>
    <t xml:space="preserve">8:41 a.m. </t>
  </si>
  <si>
    <t xml:space="preserve">no tiene el negocio activado </t>
  </si>
  <si>
    <t>floristeria yire</t>
  </si>
  <si>
    <t xml:space="preserve">Ana Suira </t>
  </si>
  <si>
    <t>6172-2941</t>
  </si>
  <si>
    <t xml:space="preserve">8:45 a.m. </t>
  </si>
  <si>
    <t>Talleres Jaen Arrocha</t>
  </si>
  <si>
    <t>RICARDO JAÉN</t>
  </si>
  <si>
    <t>6296-8311</t>
  </si>
  <si>
    <t xml:space="preserve">8:477 a.m. </t>
  </si>
  <si>
    <t xml:space="preserve">Ingenieria Ced </t>
  </si>
  <si>
    <t>MAYDA ORTEGA</t>
  </si>
  <si>
    <t>6320-3879</t>
  </si>
  <si>
    <t>8:47 a.m.</t>
  </si>
  <si>
    <t xml:space="preserve">Dulces Deleites </t>
  </si>
  <si>
    <t>CLAUDIO BONILLA</t>
  </si>
  <si>
    <t>6298-4878</t>
  </si>
  <si>
    <t xml:space="preserve">8:57 a.m. </t>
  </si>
  <si>
    <t xml:space="preserve">Leandro Rojas </t>
  </si>
  <si>
    <t>6633-5052</t>
  </si>
  <si>
    <t xml:space="preserve">8:59 a.m. </t>
  </si>
  <si>
    <t xml:space="preserve">numero equivocado </t>
  </si>
  <si>
    <t>Multi SERVICIOS JYC</t>
  </si>
  <si>
    <t>6242-0521</t>
  </si>
  <si>
    <t>9:00 A.M.</t>
  </si>
  <si>
    <t xml:space="preserve">Alia Acosta </t>
  </si>
  <si>
    <t>6495-0310</t>
  </si>
  <si>
    <t xml:space="preserve">9:01 A.M. </t>
  </si>
  <si>
    <t xml:space="preserve">AGRICULTURA Y GANADERIA </t>
  </si>
  <si>
    <t xml:space="preserve">Juan Santamaría </t>
  </si>
  <si>
    <t xml:space="preserve">9:09 A.M. </t>
  </si>
  <si>
    <t>Maricarmen Montengro</t>
  </si>
  <si>
    <t>6510-5659</t>
  </si>
  <si>
    <t xml:space="preserve">9:10 A.M. </t>
  </si>
  <si>
    <t>10:01 a.m</t>
  </si>
  <si>
    <t>Sindy Sanchez</t>
  </si>
  <si>
    <t>6216-1652</t>
  </si>
  <si>
    <t xml:space="preserve">9:12 a.m </t>
  </si>
  <si>
    <t xml:space="preserve">no tiene negocio igual se le brindo la informacion </t>
  </si>
  <si>
    <t>Hugo Cruz</t>
  </si>
  <si>
    <t>6002-9319</t>
  </si>
  <si>
    <t xml:space="preserve">9:13 a.m. </t>
  </si>
  <si>
    <t>B</t>
  </si>
  <si>
    <t xml:space="preserve">Iska Clemente </t>
  </si>
  <si>
    <t>6634-8275</t>
  </si>
  <si>
    <t>AR CONSTRUCTORA</t>
  </si>
  <si>
    <t>Arleth Villarreal</t>
  </si>
  <si>
    <t>6580-5019</t>
  </si>
  <si>
    <t>10:02 A.M.</t>
  </si>
  <si>
    <t xml:space="preserve">MAIZZIMO PRODUCTOS DE MAIZ </t>
  </si>
  <si>
    <t>Elizabel Araúz</t>
  </si>
  <si>
    <t>6846-2721</t>
  </si>
  <si>
    <t>kIOSCO ELISA</t>
  </si>
  <si>
    <t>Elisa Sanchéz</t>
  </si>
  <si>
    <t>6359-0310</t>
  </si>
  <si>
    <t xml:space="preserve">10:06 A.M. </t>
  </si>
  <si>
    <t xml:space="preserve">COMPRA Y VENTA DED MARISCO </t>
  </si>
  <si>
    <t>Elmer Hernández</t>
  </si>
  <si>
    <t>6990-9745</t>
  </si>
  <si>
    <t>Marcelino Quintero</t>
  </si>
  <si>
    <t>6363-1785</t>
  </si>
  <si>
    <t xml:space="preserve">10:11 a.m. </t>
  </si>
  <si>
    <t>no tiene negocio igual se le dio la informacion</t>
  </si>
  <si>
    <t xml:space="preserve">Yanaisi de Gracia </t>
  </si>
  <si>
    <t>6547-0391</t>
  </si>
  <si>
    <t>Alexis Sanchéz</t>
  </si>
  <si>
    <t>6383-7749</t>
  </si>
  <si>
    <t>Jeane Rojas</t>
  </si>
  <si>
    <t>6476-5018</t>
  </si>
  <si>
    <t>PRODUCTO ARTESAL EXIBA</t>
  </si>
  <si>
    <t>Maria Lucrecia González</t>
  </si>
  <si>
    <t>6823-2340</t>
  </si>
  <si>
    <t>CONTESTO</t>
  </si>
  <si>
    <t>Eusebio Aguirre</t>
  </si>
  <si>
    <t>6619-8516</t>
  </si>
  <si>
    <t>Mario Zapata</t>
  </si>
  <si>
    <t>Maribel Algarín</t>
  </si>
  <si>
    <t>6885-7936</t>
  </si>
  <si>
    <t>10:19 A.M</t>
  </si>
  <si>
    <t>EQUIBOCADO</t>
  </si>
  <si>
    <t>Rolando Caballero</t>
  </si>
  <si>
    <t>6615-8513</t>
  </si>
  <si>
    <t>AGRICULTOR</t>
  </si>
  <si>
    <t>JORGE TRIBALDOS</t>
  </si>
  <si>
    <t>6671-4918</t>
  </si>
  <si>
    <t>Daniel Moreno</t>
  </si>
  <si>
    <t>8:42 A.M.</t>
  </si>
  <si>
    <t>NO CONTTESTA</t>
  </si>
  <si>
    <t xml:space="preserve">yaris salon </t>
  </si>
  <si>
    <t xml:space="preserve">enviar al whatsaap invitacion </t>
  </si>
  <si>
    <t xml:space="preserve">10.19 am </t>
  </si>
  <si>
    <t xml:space="preserve">invitacion por whatsapp </t>
  </si>
  <si>
    <t xml:space="preserve">2:27PM </t>
  </si>
  <si>
    <t xml:space="preserve">3:8PM </t>
  </si>
  <si>
    <t>11:10 A.M</t>
  </si>
  <si>
    <t>11:12 A.M</t>
  </si>
  <si>
    <t>Adriana Atencio</t>
  </si>
  <si>
    <t>11:14 A.M</t>
  </si>
  <si>
    <t>Lourdes Caballero</t>
  </si>
  <si>
    <t>11:16 A.M</t>
  </si>
  <si>
    <t xml:space="preserve">viernes </t>
  </si>
  <si>
    <t>11:29 A.M</t>
  </si>
  <si>
    <t>11:31 A.M</t>
  </si>
  <si>
    <t>11:33 A.M</t>
  </si>
  <si>
    <t>11:34 A.M</t>
  </si>
  <si>
    <t>ANA REYES</t>
  </si>
  <si>
    <t>11:37 A.M</t>
  </si>
  <si>
    <t>11:38 A.M</t>
  </si>
  <si>
    <t>Kiara Olave</t>
  </si>
  <si>
    <t>Cintia Rivera</t>
  </si>
  <si>
    <t>SOLICITA SE LE ENVIE INFORMACIÓN AL WHATSAPP</t>
  </si>
  <si>
    <t>EN ESE HORARIO ESTA ATENDIENDO SU FONDA</t>
  </si>
  <si>
    <t>12:01 P.M.</t>
  </si>
  <si>
    <t>12:04 P.M.</t>
  </si>
  <si>
    <t>12:05 P.M.</t>
  </si>
  <si>
    <t>2:18 P.M.</t>
  </si>
  <si>
    <t>12.06 P.M.</t>
  </si>
  <si>
    <t>12:07 P.M.</t>
  </si>
  <si>
    <t>12:11 P.M.</t>
  </si>
  <si>
    <t>12:17 P.M.</t>
  </si>
  <si>
    <t>12:18 P.M.</t>
  </si>
  <si>
    <t>2:20 P.M.</t>
  </si>
  <si>
    <t>SOLICITA SE LE ENVIE INFORMACIÓN AL WHATSAPP PARA VERIFICAR SI TIENE DISPONIBILIDAD</t>
  </si>
  <si>
    <t>12:19 P.M.</t>
  </si>
  <si>
    <t>12:20 P.M.</t>
  </si>
  <si>
    <t>12:21 P.M.</t>
  </si>
  <si>
    <t>12:22 P.M.</t>
  </si>
  <si>
    <t>12:23 P.M.</t>
  </si>
  <si>
    <t>SOLICITA SE LE ENVIE INFORMACIÓN AL WHATSAPP PARA INFORLE A LOS DUEÑOS</t>
  </si>
  <si>
    <t>12:24 P.M.</t>
  </si>
  <si>
    <t>12:25 P.M.</t>
  </si>
  <si>
    <t>12:26 P.M.</t>
  </si>
  <si>
    <t>12:48 P.M.</t>
  </si>
  <si>
    <t>12:51 A.M.</t>
  </si>
  <si>
    <t>12:53 P.M.</t>
  </si>
  <si>
    <t>12:58 P.M.</t>
  </si>
  <si>
    <t>SOLICITA SE LE ENVIE INFORMACIÓN AL WHATSAPP PARA AGENDAR</t>
  </si>
  <si>
    <t>1:01 P.M.</t>
  </si>
  <si>
    <t>1:03 P.M.</t>
  </si>
  <si>
    <t>1:04 P.M.</t>
  </si>
  <si>
    <t>2:29 P.M.</t>
  </si>
  <si>
    <t xml:space="preserve">NÚMERO EQUIVOCADO </t>
  </si>
  <si>
    <t>1:05 P.M.</t>
  </si>
  <si>
    <t>1:06 P.M.</t>
  </si>
  <si>
    <t>1:07 P.M.</t>
  </si>
  <si>
    <t>2:31 P.M.</t>
  </si>
  <si>
    <t>1:11 P.M.</t>
  </si>
  <si>
    <t>RUBEN ARAUZ</t>
  </si>
  <si>
    <t>1:14 P.M.</t>
  </si>
  <si>
    <t>1:16 P.M.</t>
  </si>
  <si>
    <t>LA ABARROTERIA CERRO HACE UN AÑO</t>
  </si>
  <si>
    <t>1:17 P.M.</t>
  </si>
  <si>
    <t>1:19 P.M.</t>
  </si>
  <si>
    <t>1:20 P.M.</t>
  </si>
  <si>
    <t>1:22 P.M.</t>
  </si>
  <si>
    <t>2:36 P.M.</t>
  </si>
  <si>
    <t>2:45 P.M.</t>
  </si>
  <si>
    <t>AMADA DE LEÓN</t>
  </si>
  <si>
    <t>2:46 P.M.</t>
  </si>
  <si>
    <t>2.37 P.M.</t>
  </si>
  <si>
    <t>2:48 P.M.</t>
  </si>
  <si>
    <t>2:49 P.M.</t>
  </si>
  <si>
    <t>2:51 P.M.</t>
  </si>
  <si>
    <t>2:40 P.M.</t>
  </si>
  <si>
    <t>SOLICITA SE LE ENVIE INFORMACIÓN AL WHATSAPP PARA AGENDAR LA FECHA</t>
  </si>
  <si>
    <t>2:58 P.M.</t>
  </si>
  <si>
    <t>2:59 P.M.</t>
  </si>
  <si>
    <t>3:05 P.M.</t>
  </si>
  <si>
    <t>2:42 P.M.</t>
  </si>
  <si>
    <t>3:08 P.M.</t>
  </si>
  <si>
    <t>2:43 P.M.</t>
  </si>
  <si>
    <t>3:48 P.M.</t>
  </si>
  <si>
    <t>3:53 P.M.</t>
  </si>
  <si>
    <t>EN ESE HORARIO ESTA TRABAJANDO</t>
  </si>
  <si>
    <t>9:24 P.M.</t>
  </si>
  <si>
    <t>9:25 A.M.</t>
  </si>
  <si>
    <t>9:26 A.M.</t>
  </si>
  <si>
    <t>9:27 A.M.</t>
  </si>
  <si>
    <t>EL NEGOCIO YA NO ESTA FUNCIONANDO</t>
  </si>
  <si>
    <t>9:31 A.M.</t>
  </si>
  <si>
    <t>SOLICITA SE LE ENVIE INFORMACION AL WHATSAPP</t>
  </si>
  <si>
    <t>9:33 A.M.</t>
  </si>
  <si>
    <t>9:35 A.M.</t>
  </si>
  <si>
    <t>9:37 A.M.</t>
  </si>
  <si>
    <t>9:38 A.M.</t>
  </si>
  <si>
    <t>YA CERRO EL NEGOCIO</t>
  </si>
  <si>
    <t>9:39 A.M.</t>
  </si>
  <si>
    <t>9:41 A.M.</t>
  </si>
  <si>
    <t>9:42 A.M.</t>
  </si>
  <si>
    <t>9:43 A.M.</t>
  </si>
  <si>
    <t>9:46 A.M.</t>
  </si>
  <si>
    <t>9:47 A.M.</t>
  </si>
  <si>
    <t>9:52 A.M.</t>
  </si>
  <si>
    <t>9:55 A.M.</t>
  </si>
  <si>
    <t>RODRIGO RUIZ</t>
  </si>
  <si>
    <t>SOLICITA SE LE ENVIE INFORMACIÓN AL WHATSAPP PARA AGENDAR FECHA</t>
  </si>
  <si>
    <t>IRIS SANCHEZ</t>
  </si>
  <si>
    <t>10.00 A.M.</t>
  </si>
  <si>
    <t>10:20 A.M.</t>
  </si>
  <si>
    <t>SOLICITA SE LE ENVIE INFORMACIÓN AL WHATSAPP, PARA EVALUAR SI PUEDE ASISTIR</t>
  </si>
  <si>
    <t>10:21 A.M.</t>
  </si>
  <si>
    <t>10:24 A.M.</t>
  </si>
  <si>
    <t>EVA FORELLA</t>
  </si>
  <si>
    <t>10:30 A.M.</t>
  </si>
  <si>
    <t>SOLICITA SE LE ENVIE INFORMACIÓN AL WHATSAPP, PARA INFORMARLE A LA ENCARGADA</t>
  </si>
  <si>
    <t>10:45 A.M.</t>
  </si>
  <si>
    <t>EL NEGOCIO ESTA CERRADO</t>
  </si>
  <si>
    <t>10:46 A.M.</t>
  </si>
  <si>
    <t>6721-8268</t>
  </si>
  <si>
    <t>10:49 A.M.</t>
  </si>
  <si>
    <t>SOLICITA SE LE ENVIE INFORMACIÓN AL WHATSAPP, PARA INFORMARLE A LA DUEÑA</t>
  </si>
  <si>
    <t>Geani Arauz</t>
  </si>
  <si>
    <t>aruzg04@gmail.com</t>
  </si>
  <si>
    <t>11:26 A.M.</t>
  </si>
  <si>
    <t>SOLICITA SE LE ENVIE INFORMACIÓN AL CORREO PARA AGENDAR LA FECHA</t>
  </si>
  <si>
    <t>11:33 A.M.</t>
  </si>
  <si>
    <t>11:53 A.M.</t>
  </si>
  <si>
    <t>11:55 A.M.</t>
  </si>
  <si>
    <t>11:56 A.M.</t>
  </si>
  <si>
    <t>12:02 P.M.</t>
  </si>
  <si>
    <t>9:12 A.M.</t>
  </si>
  <si>
    <t>gosselvin18@gmail.com</t>
  </si>
  <si>
    <t>12:06 P.M.</t>
  </si>
  <si>
    <t>SOLICITA SE LE ENVIE INFORMACIÓN AL CORREO PARA AGENDAR</t>
  </si>
  <si>
    <t>EDITH SANTAMARIA</t>
  </si>
  <si>
    <t>9:08 A.M.</t>
  </si>
  <si>
    <t>12:13 P.M.</t>
  </si>
  <si>
    <t>11:40 A.M</t>
  </si>
  <si>
    <t>EDEVINA PEREZ</t>
  </si>
  <si>
    <t>12:16 P.M.</t>
  </si>
  <si>
    <t>SOLICITA SE LE ENVIE AL WHATSAPP</t>
  </si>
  <si>
    <t xml:space="preserve">EL NEGOCIO NO ESTA OPERANDO </t>
  </si>
  <si>
    <t>2:08 P.M.</t>
  </si>
  <si>
    <t>2:09 P.M.</t>
  </si>
  <si>
    <t>2:10 P.M.</t>
  </si>
  <si>
    <t>2:13 P.M.</t>
  </si>
  <si>
    <t>2:14 P.M.</t>
  </si>
  <si>
    <t>2:15 P.M.</t>
  </si>
  <si>
    <t>Donaldo Pineda</t>
  </si>
  <si>
    <t>12:14 p.m.</t>
  </si>
  <si>
    <t>12:24 p.m.</t>
  </si>
  <si>
    <t>12:45 p.m.</t>
  </si>
  <si>
    <t>12:49 p.m.</t>
  </si>
  <si>
    <t>1:03 p.m.</t>
  </si>
  <si>
    <t>3:49 p.m.</t>
  </si>
  <si>
    <t>guerrakaviria@gmail.com</t>
  </si>
  <si>
    <t>9:32 a.m.</t>
  </si>
  <si>
    <t>9:41 a.m.</t>
  </si>
  <si>
    <t>9:45 a.m.</t>
  </si>
  <si>
    <t>10: 07 a.m.</t>
  </si>
  <si>
    <t>floristeria.elclavel@hotmail.com</t>
  </si>
  <si>
    <t>1:28 a.m.</t>
  </si>
  <si>
    <t>1.32.p.m.</t>
  </si>
  <si>
    <t>1:55 p.m.</t>
  </si>
  <si>
    <t>2:15.p.m.</t>
  </si>
  <si>
    <t>2:20 p.m</t>
  </si>
  <si>
    <t>Maria Arosemena</t>
  </si>
  <si>
    <t>12:26.p.m.</t>
  </si>
  <si>
    <t>1:04.p,m.</t>
  </si>
  <si>
    <t>1:16.p.m.</t>
  </si>
  <si>
    <t>1:18.p.m.</t>
  </si>
  <si>
    <t>1:22.p.m.</t>
  </si>
  <si>
    <t>1:27.p.m.</t>
  </si>
  <si>
    <t>1:28.p.m.</t>
  </si>
  <si>
    <t>1:30.p.m.</t>
  </si>
  <si>
    <t>1:34.p.m.</t>
  </si>
  <si>
    <t>1:35.p.m.</t>
  </si>
  <si>
    <t>1:37.p.m.</t>
  </si>
  <si>
    <t>9:35a.m.</t>
  </si>
  <si>
    <t>1:39.p.m.</t>
  </si>
  <si>
    <t>1:41.p.m.</t>
  </si>
  <si>
    <t>9:41.a.m.</t>
  </si>
  <si>
    <t>1:52.p.m.</t>
  </si>
  <si>
    <t>1:56.p.m.</t>
  </si>
  <si>
    <t>1:58.p.m.</t>
  </si>
  <si>
    <t>2:00.p.m.</t>
  </si>
  <si>
    <t>2:02.p.m.</t>
  </si>
  <si>
    <t>10:56.a.m.</t>
  </si>
  <si>
    <t>2:04.p.m.</t>
  </si>
  <si>
    <t>2:07.p.m.</t>
  </si>
  <si>
    <t>2:09.p.m.</t>
  </si>
  <si>
    <t>9:29.a.m.</t>
  </si>
  <si>
    <t>2:13.p.m.</t>
  </si>
  <si>
    <t>2:17.p.m.</t>
  </si>
  <si>
    <t>2:20.p.m.</t>
  </si>
  <si>
    <t>2:23.p.m.</t>
  </si>
  <si>
    <t>231.p.m.</t>
  </si>
  <si>
    <t>10:26.a.m.</t>
  </si>
  <si>
    <t>2:37.p.m.</t>
  </si>
  <si>
    <t>2:43.p.m.</t>
  </si>
  <si>
    <t>2:01.p.m.</t>
  </si>
  <si>
    <t>2:47.p.m.</t>
  </si>
  <si>
    <t>2:48.p.m.</t>
  </si>
  <si>
    <t>2:49.p.m.</t>
  </si>
  <si>
    <t>2:55.p.m.</t>
  </si>
  <si>
    <t>2:59.p.m.</t>
  </si>
  <si>
    <t>3:00.p.m.</t>
  </si>
  <si>
    <t>3:05.p.m.</t>
  </si>
  <si>
    <t>3:07.p.m.</t>
  </si>
  <si>
    <t>3:10.p.m.</t>
  </si>
  <si>
    <t>3:48.p.m.</t>
  </si>
  <si>
    <t>9:23.a.m.</t>
  </si>
  <si>
    <t>3:50.p.m.</t>
  </si>
  <si>
    <t>3:52.p.m.</t>
  </si>
  <si>
    <t>3:55.p.m.</t>
  </si>
  <si>
    <t>9:35.a.m.</t>
  </si>
  <si>
    <t>9:58.a.m.</t>
  </si>
  <si>
    <t>9:40.a.m.</t>
  </si>
  <si>
    <t>9:43.a.m.</t>
  </si>
  <si>
    <t>9:50.a.m.</t>
  </si>
  <si>
    <t>11:38.a.m.</t>
  </si>
  <si>
    <t>9:52.a.m.</t>
  </si>
  <si>
    <t>9:53.a,m.</t>
  </si>
  <si>
    <t>9:56.a.m.</t>
  </si>
  <si>
    <t>Enviar información vía whatsApp</t>
  </si>
  <si>
    <t>10:02.a.m.</t>
  </si>
  <si>
    <t>9:05.a.m.</t>
  </si>
  <si>
    <t>10:05.a.m.</t>
  </si>
  <si>
    <t>10:06.a.m.</t>
  </si>
  <si>
    <t>10:10.a.m.</t>
  </si>
  <si>
    <t>10:18.am..</t>
  </si>
  <si>
    <t>10.21.a.m.</t>
  </si>
  <si>
    <t>10:27.a.m.</t>
  </si>
  <si>
    <t>10:29.a.m.</t>
  </si>
  <si>
    <t>10:32.a.m.</t>
  </si>
  <si>
    <t>10:38,a.m.</t>
  </si>
  <si>
    <t>10:54.a.m.</t>
  </si>
  <si>
    <t>10:59.a.m.</t>
  </si>
  <si>
    <t>11:11.a.m.</t>
  </si>
  <si>
    <t>11:15.a.m.</t>
  </si>
  <si>
    <t>11:17.a.m.</t>
  </si>
  <si>
    <t>11:21.a.m.</t>
  </si>
  <si>
    <t>11:28.a.m.</t>
  </si>
  <si>
    <t>11:31a.m.</t>
  </si>
  <si>
    <t>11:33.a.m.</t>
  </si>
  <si>
    <t>11:43.a.m.</t>
  </si>
  <si>
    <t>11:45.a.m.</t>
  </si>
  <si>
    <t>11:46.a.m.</t>
  </si>
  <si>
    <t>11:48.a.m.</t>
  </si>
  <si>
    <t>11:53.a.m.</t>
  </si>
  <si>
    <t>11:56a.m.</t>
  </si>
  <si>
    <t>12:05.p.m.</t>
  </si>
  <si>
    <t>10:51.a.m.</t>
  </si>
  <si>
    <t>1.31.p.m.</t>
  </si>
  <si>
    <t>1:36.p.m.</t>
  </si>
  <si>
    <t>1:44.p.m.</t>
  </si>
  <si>
    <t>1:46.p.m.</t>
  </si>
  <si>
    <t>1:51.p.m.</t>
  </si>
  <si>
    <t>1:53.p.m.</t>
  </si>
  <si>
    <t>1:59.p.m.</t>
  </si>
  <si>
    <t>2:03.p.m.</t>
  </si>
  <si>
    <t>2:05.p.m.</t>
  </si>
  <si>
    <t>2:11.p.m.</t>
  </si>
  <si>
    <t>2:16.p.m.</t>
  </si>
  <si>
    <t>11:03.a.m.</t>
  </si>
  <si>
    <t>2:19.p.m.</t>
  </si>
  <si>
    <t>2:22.p.m.</t>
  </si>
  <si>
    <t>2:24.p.m.</t>
  </si>
  <si>
    <t>2:27.p.m.</t>
  </si>
  <si>
    <t>2:42.p.m.</t>
  </si>
  <si>
    <t>3:302.p.m.</t>
  </si>
  <si>
    <t>3:09.p.m.</t>
  </si>
  <si>
    <t>11:00.am.</t>
  </si>
  <si>
    <t>3:17.p.m.</t>
  </si>
  <si>
    <t>3:20.p.m,</t>
  </si>
  <si>
    <t>3:23.p.m.</t>
  </si>
  <si>
    <t>10:43.a.m.</t>
  </si>
  <si>
    <t>3:26.p.m.</t>
  </si>
  <si>
    <t>3:28.p.m.</t>
  </si>
  <si>
    <t>Meiby Rodriguez</t>
  </si>
  <si>
    <t xml:space="preserve">EL NUMERO DE TELEFONO NO CORRESPONDE </t>
  </si>
  <si>
    <t xml:space="preserve">COMPARTIRA LA INFORMACION CON OTROS EMPRENDEDORES </t>
  </si>
  <si>
    <t xml:space="preserve">OSCAR </t>
  </si>
  <si>
    <t>12-17PM</t>
  </si>
  <si>
    <t>12-20PM</t>
  </si>
  <si>
    <t>12-18PM</t>
  </si>
  <si>
    <t xml:space="preserve">LE INDICARA A SU SUPERIOR SOBRE LA FERIA </t>
  </si>
  <si>
    <t>12-31PM</t>
  </si>
  <si>
    <t xml:space="preserve">10-49AM </t>
  </si>
  <si>
    <t>12-32PM</t>
  </si>
  <si>
    <t>01-35PM</t>
  </si>
  <si>
    <t xml:space="preserve">Medalain Echeverría </t>
  </si>
  <si>
    <t>6941-8723</t>
  </si>
  <si>
    <t>01-36PM</t>
  </si>
  <si>
    <t>(SIN NOMBRE)</t>
  </si>
  <si>
    <t>María Alvarez</t>
  </si>
  <si>
    <t>6372-6663</t>
  </si>
  <si>
    <t>01-40PM</t>
  </si>
  <si>
    <t xml:space="preserve">VENTA DE PRODUCTOS ARTESANALES </t>
  </si>
  <si>
    <t xml:space="preserve">(SIN NOMBRE) </t>
  </si>
  <si>
    <t xml:space="preserve">Idalia de Gracia </t>
  </si>
  <si>
    <t>6500-3115</t>
  </si>
  <si>
    <t>01-41PM</t>
  </si>
  <si>
    <t xml:space="preserve">VENTA DE AVES DE CORRAL </t>
  </si>
  <si>
    <t xml:space="preserve">Diana Villarreal </t>
  </si>
  <si>
    <t>6480-3886</t>
  </si>
  <si>
    <t xml:space="preserve">Dehilur Araúz </t>
  </si>
  <si>
    <t>6740-5900</t>
  </si>
  <si>
    <t>01-45PM</t>
  </si>
  <si>
    <t xml:space="preserve">DELICIAS CASERAS </t>
  </si>
  <si>
    <t xml:space="preserve">Marisol Samudio </t>
  </si>
  <si>
    <t>6317-4318</t>
  </si>
  <si>
    <t>01-48PM</t>
  </si>
  <si>
    <t xml:space="preserve">Yilka Monrroy </t>
  </si>
  <si>
    <t>6985-2634</t>
  </si>
  <si>
    <t>01-50PM</t>
  </si>
  <si>
    <t xml:space="preserve">Misael Villarreal </t>
  </si>
  <si>
    <t>6470-8964</t>
  </si>
  <si>
    <t xml:space="preserve">César Santamaría </t>
  </si>
  <si>
    <t>6231-1587</t>
  </si>
  <si>
    <t>02-10PM</t>
  </si>
  <si>
    <t xml:space="preserve">Irving Contreras </t>
  </si>
  <si>
    <t>6110-4728</t>
  </si>
  <si>
    <t>Idis Trejos Acosta</t>
  </si>
  <si>
    <t>6830-7551</t>
  </si>
  <si>
    <t>Tomas Samudio</t>
  </si>
  <si>
    <t>6899-2700</t>
  </si>
  <si>
    <t>02-15PM</t>
  </si>
  <si>
    <t xml:space="preserve">INTEGRAL SERVICE </t>
  </si>
  <si>
    <t>Bladimir Vazques</t>
  </si>
  <si>
    <t>6498-3134</t>
  </si>
  <si>
    <t>02-16PM</t>
  </si>
  <si>
    <t xml:space="preserve">Marlin de Gracia </t>
  </si>
  <si>
    <t>6848-0989</t>
  </si>
  <si>
    <t>02-41PM</t>
  </si>
  <si>
    <t xml:space="preserve">VENTA DE COMIDA </t>
  </si>
  <si>
    <t xml:space="preserve">DULCES ALKI </t>
  </si>
  <si>
    <t xml:space="preserve">Mirian Guevara </t>
  </si>
  <si>
    <t>6947-7876</t>
  </si>
  <si>
    <t>2-44PM</t>
  </si>
  <si>
    <t xml:space="preserve">VENTAS DE PASTELES </t>
  </si>
  <si>
    <t>Nodier Gomez</t>
  </si>
  <si>
    <t>6583-8690</t>
  </si>
  <si>
    <t>09-39AM</t>
  </si>
  <si>
    <t>VENTAS CUBILLA VELAZQUEZ</t>
  </si>
  <si>
    <t xml:space="preserve">Keitlen Cubilla </t>
  </si>
  <si>
    <t>6326-1740</t>
  </si>
  <si>
    <t>08-44AM</t>
  </si>
  <si>
    <t xml:space="preserve">VENTAS DE COMIDA ADEMAS VENTA DE ROPA </t>
  </si>
  <si>
    <t xml:space="preserve">Alice Aguirre </t>
  </si>
  <si>
    <t>6902-5773</t>
  </si>
  <si>
    <t>09-20AM</t>
  </si>
  <si>
    <t>Julio Goméz</t>
  </si>
  <si>
    <t>6165-9059</t>
  </si>
  <si>
    <t>Joel Lezcano</t>
  </si>
  <si>
    <t>6678-1515</t>
  </si>
  <si>
    <t>09-21AM</t>
  </si>
  <si>
    <t xml:space="preserve">Froeleni Miranda </t>
  </si>
  <si>
    <t>6129-1362</t>
  </si>
  <si>
    <t>09-23AM</t>
  </si>
  <si>
    <t>Karla Miranda</t>
  </si>
  <si>
    <t>6936-5933</t>
  </si>
  <si>
    <t>Valeria Franceshi</t>
  </si>
  <si>
    <t>6272-2705</t>
  </si>
  <si>
    <t xml:space="preserve">EL NUMERO NO CORRESPONDE </t>
  </si>
  <si>
    <t>Erick Palacios</t>
  </si>
  <si>
    <t>6197-3649</t>
  </si>
  <si>
    <t>09-45AM</t>
  </si>
  <si>
    <t>Lurys Espinoza</t>
  </si>
  <si>
    <t>6780-2697</t>
  </si>
  <si>
    <t>09-28AM</t>
  </si>
  <si>
    <t xml:space="preserve">BRINDARA LA INFORMACION A OTROS EMPRENDEDORES </t>
  </si>
  <si>
    <t>EL MAESTRO DEL RASPAO</t>
  </si>
  <si>
    <t>Moises Pinto</t>
  </si>
  <si>
    <t>6637-5524</t>
  </si>
  <si>
    <t>VENTA DE RASPAO</t>
  </si>
  <si>
    <t xml:space="preserve">09-49AM </t>
  </si>
  <si>
    <t xml:space="preserve">Alfonso Fuente </t>
  </si>
  <si>
    <t>6262-1066</t>
  </si>
  <si>
    <t>09-49AM</t>
  </si>
  <si>
    <t xml:space="preserve">DELICIAS LIZMILA </t>
  </si>
  <si>
    <t>Luzmila Vega</t>
  </si>
  <si>
    <t>6651-9027</t>
  </si>
  <si>
    <t>9-50AM</t>
  </si>
  <si>
    <t xml:space="preserve">FONDA DE COMIDA </t>
  </si>
  <si>
    <t>Domingo Delgado</t>
  </si>
  <si>
    <t>6685-5980</t>
  </si>
  <si>
    <t>10-45AM</t>
  </si>
  <si>
    <t xml:space="preserve">VENTA DE LEGUMBRES </t>
  </si>
  <si>
    <t>David de la Cruz</t>
  </si>
  <si>
    <t>6371-6971</t>
  </si>
  <si>
    <t>10-46AM</t>
  </si>
  <si>
    <t xml:space="preserve">09-58AM </t>
  </si>
  <si>
    <t>SOLICITA QUE SE LE ENVIE AL NUMERO DE WHATSAPP</t>
  </si>
  <si>
    <t xml:space="preserve">MASTER OBRAS </t>
  </si>
  <si>
    <t>Amarilis Carrera</t>
  </si>
  <si>
    <t>6624-7422</t>
  </si>
  <si>
    <t>Jenny A. Tam</t>
  </si>
  <si>
    <t>6864-0250</t>
  </si>
  <si>
    <t>10-53AM</t>
  </si>
  <si>
    <t>10-01AM</t>
  </si>
  <si>
    <t>José A. Manzane</t>
  </si>
  <si>
    <t>6555-2829</t>
  </si>
  <si>
    <t xml:space="preserve">Jeny Morales </t>
  </si>
  <si>
    <t>6606-9555</t>
  </si>
  <si>
    <t>11-10AM</t>
  </si>
  <si>
    <t xml:space="preserve">ENVIAR AL WHATSAPP </t>
  </si>
  <si>
    <t>Marisol Samudio</t>
  </si>
  <si>
    <t>11-19AM</t>
  </si>
  <si>
    <t>10-02AM</t>
  </si>
  <si>
    <t>|</t>
  </si>
  <si>
    <t>6633-1314</t>
  </si>
  <si>
    <t>11-40AM</t>
  </si>
  <si>
    <t>Javier Samudio</t>
  </si>
  <si>
    <t>6929-2363</t>
  </si>
  <si>
    <t xml:space="preserve">Raúl Moreno </t>
  </si>
  <si>
    <t>6779-8089</t>
  </si>
  <si>
    <t>Orlando Moreno</t>
  </si>
  <si>
    <t>6039-2742</t>
  </si>
  <si>
    <t>11-41AM</t>
  </si>
  <si>
    <t>10-03AM</t>
  </si>
  <si>
    <t>Lourdes Estribí</t>
  </si>
  <si>
    <t>6592-8675</t>
  </si>
  <si>
    <t xml:space="preserve">11-42AM </t>
  </si>
  <si>
    <t>10-07AM</t>
  </si>
  <si>
    <t xml:space="preserve">COMPRA Y VENTA DE GANADO </t>
  </si>
  <si>
    <t>Samuel Castillo</t>
  </si>
  <si>
    <t>6417-0928</t>
  </si>
  <si>
    <t>08-56AM</t>
  </si>
  <si>
    <t>10-10AM</t>
  </si>
  <si>
    <t xml:space="preserve">Edna Castillo </t>
  </si>
  <si>
    <t>6345-2839</t>
  </si>
  <si>
    <t>10-11AM</t>
  </si>
  <si>
    <t>Christian Gónzalez</t>
  </si>
  <si>
    <t>6562-3028</t>
  </si>
  <si>
    <t>08-57AM</t>
  </si>
  <si>
    <t>María Zapata</t>
  </si>
  <si>
    <t>6859-6180</t>
  </si>
  <si>
    <t xml:space="preserve">INDICA QUE NO ESTA INTERESASADA      </t>
  </si>
  <si>
    <t>Skiptmmc PHEE</t>
  </si>
  <si>
    <t>6585-3491</t>
  </si>
  <si>
    <t>09-01AM</t>
  </si>
  <si>
    <t>Dayana Nicolle Saldaña</t>
  </si>
  <si>
    <t>6447-8502</t>
  </si>
  <si>
    <t>08-59AM</t>
  </si>
  <si>
    <t>10-12AM</t>
  </si>
  <si>
    <t>SOLICITA ENVIAR AL WHATSAPP</t>
  </si>
  <si>
    <t>Oliver Valenzuela</t>
  </si>
  <si>
    <t>6530-9173</t>
  </si>
  <si>
    <t>10-32AM</t>
  </si>
  <si>
    <t>Inaliz Peren</t>
  </si>
  <si>
    <t>6553-9664</t>
  </si>
  <si>
    <t>11-16AM</t>
  </si>
  <si>
    <t>10-33AM</t>
  </si>
  <si>
    <t>Iris Sanchez</t>
  </si>
  <si>
    <t>6500-9388</t>
  </si>
  <si>
    <t>09-36AM</t>
  </si>
  <si>
    <t>Roberto Araúz</t>
  </si>
  <si>
    <t>6476-6670</t>
  </si>
  <si>
    <t>11-17AM</t>
  </si>
  <si>
    <t>Robert Harmas</t>
  </si>
  <si>
    <t>6307-5929</t>
  </si>
  <si>
    <t>11-15AM</t>
  </si>
  <si>
    <t>Edith Morales</t>
  </si>
  <si>
    <t>6713-2573</t>
  </si>
  <si>
    <t>Yenis Ortíz</t>
  </si>
  <si>
    <t>6589-7571</t>
  </si>
  <si>
    <t>09-38AM</t>
  </si>
  <si>
    <t>César Loaza</t>
  </si>
  <si>
    <t>6926-0334</t>
  </si>
  <si>
    <t>09-40AM</t>
  </si>
  <si>
    <t>Lucero Guerra</t>
  </si>
  <si>
    <t>6397-1674</t>
  </si>
  <si>
    <t>09-41AM</t>
  </si>
  <si>
    <t xml:space="preserve">Maritza Ortega </t>
  </si>
  <si>
    <t>6347-3674</t>
  </si>
  <si>
    <t>10-31AM</t>
  </si>
  <si>
    <t>Rodni Cortez</t>
  </si>
  <si>
    <t>6632-5608</t>
  </si>
  <si>
    <t>09-42AM</t>
  </si>
  <si>
    <t>10-36AM</t>
  </si>
  <si>
    <t>Cristian Jaramillo</t>
  </si>
  <si>
    <t>6448-3121</t>
  </si>
  <si>
    <t xml:space="preserve">FONDA FRANKI </t>
  </si>
  <si>
    <t>Maritza Espinosa</t>
  </si>
  <si>
    <t>Frank Elizondro</t>
  </si>
  <si>
    <t>Mixela Quintero</t>
  </si>
  <si>
    <t>10-43AM</t>
  </si>
  <si>
    <t xml:space="preserve">Yaritza Guevara </t>
  </si>
  <si>
    <t>6822-6761</t>
  </si>
  <si>
    <t xml:space="preserve">Shirey Cubilla </t>
  </si>
  <si>
    <t>6471-5829</t>
  </si>
  <si>
    <t>09-31AM</t>
  </si>
  <si>
    <t xml:space="preserve">TALLER DE MECANICA ADULAM </t>
  </si>
  <si>
    <t>Minerva Cedeño</t>
  </si>
  <si>
    <t>6675-2738</t>
  </si>
  <si>
    <t xml:space="preserve">Jorge Domingo </t>
  </si>
  <si>
    <t>6255-2893</t>
  </si>
  <si>
    <t>01-42PM</t>
  </si>
  <si>
    <t xml:space="preserve">JARDIN DEL EDEN </t>
  </si>
  <si>
    <t>Manuel Mendoza</t>
  </si>
  <si>
    <t>6984-1499</t>
  </si>
  <si>
    <t>09-35AM</t>
  </si>
  <si>
    <t xml:space="preserve">VENTA DE BUHONERIA </t>
  </si>
  <si>
    <t>Regulo Sanchez</t>
  </si>
  <si>
    <t>6619-8709</t>
  </si>
  <si>
    <t>09-32AM</t>
  </si>
  <si>
    <t>10-37AM</t>
  </si>
  <si>
    <t xml:space="preserve">Eusebio Aguirre </t>
  </si>
  <si>
    <t>6933-1268</t>
  </si>
  <si>
    <t xml:space="preserve">LA BOUTIQUE DEL VAQUERO FARIT </t>
  </si>
  <si>
    <t>Mayra Estevéz</t>
  </si>
  <si>
    <t>6958-8500</t>
  </si>
  <si>
    <t>09-11AM</t>
  </si>
  <si>
    <t>SUSSY NAILS</t>
  </si>
  <si>
    <t xml:space="preserve">Susseth Jimenez </t>
  </si>
  <si>
    <t>6896-3639</t>
  </si>
  <si>
    <t>09-09AM</t>
  </si>
  <si>
    <t xml:space="preserve">Dalys Morales </t>
  </si>
  <si>
    <t>6261-0193</t>
  </si>
  <si>
    <t>09-07AM</t>
  </si>
  <si>
    <t>Lorena Jurado</t>
  </si>
  <si>
    <t>6977-3784</t>
  </si>
  <si>
    <t>09-06AM</t>
  </si>
  <si>
    <t>10-38AM</t>
  </si>
  <si>
    <t>09-05AM</t>
  </si>
  <si>
    <t>10-39AM</t>
  </si>
  <si>
    <t>Yaniva Mackay</t>
  </si>
  <si>
    <t>6466-0721</t>
  </si>
  <si>
    <t>José Valdes</t>
  </si>
  <si>
    <t>6859-4544</t>
  </si>
  <si>
    <t>09-04AM</t>
  </si>
  <si>
    <t>Josefa Castillo</t>
  </si>
  <si>
    <t>6531-2620</t>
  </si>
  <si>
    <t>Martir Aguilar</t>
  </si>
  <si>
    <t>6532-8048</t>
  </si>
  <si>
    <t>09-03AM</t>
  </si>
  <si>
    <t>10-41AM</t>
  </si>
  <si>
    <t>Evelyn Bishop</t>
  </si>
  <si>
    <t>6521-4464</t>
  </si>
  <si>
    <t xml:space="preserve">01-21 PM </t>
  </si>
  <si>
    <t>Emilio Flores</t>
  </si>
  <si>
    <t>6608-1580</t>
  </si>
  <si>
    <t xml:space="preserve">01-20 PM </t>
  </si>
  <si>
    <t>Emérito Lezcano</t>
  </si>
  <si>
    <t>01-20PM</t>
  </si>
  <si>
    <t>Gabriela Atencio</t>
  </si>
  <si>
    <t>6398-2419</t>
  </si>
  <si>
    <t xml:space="preserve">01-19PM </t>
  </si>
  <si>
    <t>Jonathan Cedeño</t>
  </si>
  <si>
    <t>01-17PM</t>
  </si>
  <si>
    <t>Nelson González</t>
  </si>
  <si>
    <t>6290-5657</t>
  </si>
  <si>
    <t>CORNELIO FLORES</t>
  </si>
  <si>
    <t>6781-3172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</si>
</sst>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000\-0000"/>
    <numFmt numFmtId="165" formatCode="0.0%"/>
    <numFmt numFmtId="166" formatCode="[$-F400]h:mm:ss\ AM/PM"/>
    <numFmt numFmtId="167" formatCode="[$-409]d\-m\-yy\ h:mm\ AM/PM;@"/>
    <numFmt numFmtId="168" formatCode="d\-m\-yy;@"/>
    <numFmt numFmtId="169" formatCode="000\-0000"/>
    <numFmt numFmtId="170" formatCode="[$-1540A]mm/dd/yy;@"/>
    <numFmt numFmtId="171" formatCode="[$-1540A]m/d/yy;@"/>
    <numFmt numFmtId="172" formatCode="[$-409]h:mm\ AM/PM;@"/>
  </numFmts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0"/>
      <color theme="0"/>
      <name val="Bahnschrift Light"/>
      <family val="2"/>
    </font>
    <font>
      <sz val="26"/>
      <color theme="0"/>
      <name val="Segoe UI Variable Display Semib"/>
    </font>
    <font>
      <b/>
      <sz val="11"/>
      <color theme="0"/>
      <name val="Bahnschrift Light"/>
      <family val="2"/>
    </font>
    <font>
      <sz val="36"/>
      <color theme="0"/>
      <name val="Agency FB"/>
      <family val="2"/>
    </font>
    <font>
      <sz val="12"/>
      <color theme="0"/>
      <name val="Segoe UI Variable Display Semib"/>
    </font>
    <font>
      <sz val="10"/>
      <color theme="0"/>
      <name val="Calibri"/>
      <family val="2"/>
      <scheme val="minor"/>
    </font>
    <font>
      <b/>
      <sz val="28"/>
      <color theme="7"/>
      <name val="Agency FB"/>
      <family val="2"/>
    </font>
    <font>
      <b/>
      <sz val="12"/>
      <color theme="4" tint="-0.499984740745262"/>
      <name val="Bahnschrift Light"/>
      <family val="2"/>
    </font>
    <font>
      <sz val="11"/>
      <color theme="0"/>
      <name val="Bahnschrift SemiBold"/>
      <family val="2"/>
    </font>
    <font>
      <b/>
      <sz val="14"/>
      <color theme="0"/>
      <name val="Bahnschrift Light"/>
      <family val="2"/>
    </font>
    <font>
      <b/>
      <sz val="12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333F4F"/>
      <name val="Calibri"/>
      <family val="2"/>
      <scheme val="minor"/>
    </font>
    <font>
      <b/>
      <sz val="10.5"/>
      <color rgb="FFFF0000"/>
      <name val="Calibri"/>
      <family val="2"/>
      <scheme val="minor"/>
    </font>
    <font>
      <b/>
      <sz val="11"/>
      <name val="Bahnschrift Light"/>
      <family val="2"/>
    </font>
    <font>
      <sz val="28"/>
      <color rgb="FFFF5757"/>
      <name val="Bahnschrift"/>
      <family val="2"/>
    </font>
    <font>
      <b/>
      <sz val="10"/>
      <color rgb="FF000000"/>
      <name val="Arial"/>
      <family val="2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28"/>
      <color theme="9" tint="-0.499984740745262"/>
      <name val="Segoe UI Variable Display Semib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0"/>
      <color theme="1"/>
      <name val="Arial"/>
    </font>
    <font>
      <sz val="11"/>
      <color rgb="FF333F4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u/>
      <sz val="11"/>
      <color theme="1"/>
      <name val="Calibri"/>
      <family val="2"/>
      <scheme val="minor"/>
    </font>
    <font>
      <b/>
      <sz val="10"/>
      <color rgb="FF000000"/>
      <name val="Arial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5121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BDD7EE"/>
        <bgColor rgb="FFDDEBF7"/>
      </patternFill>
    </fill>
    <fill>
      <patternFill patternType="solid">
        <fgColor rgb="FF9BC2E6"/>
        <bgColor rgb="FFDDEBF7"/>
      </patternFill>
    </fill>
    <fill>
      <patternFill patternType="solid">
        <fgColor rgb="FF8497B0"/>
        <bgColor rgb="FF000000"/>
      </patternFill>
    </fill>
    <fill>
      <patternFill patternType="solid">
        <fgColor rgb="FFF2F2F2"/>
        <bgColor rgb="FFDDEBF7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DDEBF7"/>
      </patternFill>
    </fill>
    <fill>
      <patternFill patternType="solid">
        <fgColor rgb="FFEDEDED"/>
        <bgColor rgb="FF000000"/>
      </patternFill>
    </fill>
    <fill>
      <patternFill patternType="solid">
        <fgColor rgb="FFDBDBDB"/>
        <bgColor rgb="FFDDEBF7"/>
      </patternFill>
    </fill>
    <fill>
      <patternFill patternType="solid">
        <fgColor rgb="FFC9C9C9"/>
        <bgColor rgb="FFDDEBF7"/>
      </patternFill>
    </fill>
    <fill>
      <patternFill patternType="solid">
        <fgColor rgb="FFD9E1F2"/>
        <bgColor rgb="FFDDEBF7"/>
      </patternFill>
    </fill>
    <fill>
      <patternFill patternType="solid">
        <fgColor rgb="FFB4C6E7"/>
        <bgColor rgb="FFDDEBF7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5405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rgb="FFFDCBF7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167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1" xfId="0" applyFont="1" applyFill="1" applyBorder="1"/>
    <xf numFmtId="168" fontId="0" fillId="0" borderId="0" xfId="0" applyNumberFormat="1"/>
    <xf numFmtId="0" fontId="0" fillId="5" borderId="0" xfId="0" applyFill="1"/>
    <xf numFmtId="0" fontId="0" fillId="3" borderId="0" xfId="0" applyFill="1"/>
    <xf numFmtId="0" fontId="6" fillId="3" borderId="0" xfId="0" applyFont="1" applyFill="1"/>
    <xf numFmtId="0" fontId="11" fillId="6" borderId="0" xfId="0" applyFont="1" applyFill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165" fontId="14" fillId="3" borderId="0" xfId="1" applyNumberFormat="1" applyFont="1" applyFill="1" applyBorder="1" applyAlignment="1"/>
    <xf numFmtId="0" fontId="0" fillId="3" borderId="5" xfId="0" applyFill="1" applyBorder="1"/>
    <xf numFmtId="0" fontId="9" fillId="3" borderId="2" xfId="0" applyFont="1" applyFill="1" applyBorder="1" applyAlignment="1">
      <alignment vertical="center"/>
    </xf>
    <xf numFmtId="0" fontId="6" fillId="3" borderId="2" xfId="0" applyFont="1" applyFill="1" applyBorder="1"/>
    <xf numFmtId="0" fontId="1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7" fontId="0" fillId="0" borderId="0" xfId="0" applyNumberFormat="1"/>
    <xf numFmtId="14" fontId="0" fillId="0" borderId="0" xfId="0" applyNumberFormat="1"/>
    <xf numFmtId="166" fontId="0" fillId="0" borderId="0" xfId="0" applyNumberFormat="1"/>
    <xf numFmtId="165" fontId="17" fillId="3" borderId="0" xfId="1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/>
    </xf>
    <xf numFmtId="0" fontId="12" fillId="3" borderId="4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 wrapText="1"/>
    </xf>
    <xf numFmtId="0" fontId="12" fillId="19" borderId="7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top"/>
    </xf>
    <xf numFmtId="0" fontId="22" fillId="7" borderId="9" xfId="0" applyFont="1" applyFill="1" applyBorder="1" applyAlignment="1">
      <alignment horizontal="right" wrapText="1"/>
    </xf>
    <xf numFmtId="0" fontId="0" fillId="0" borderId="9" xfId="0" applyBorder="1"/>
    <xf numFmtId="0" fontId="22" fillId="8" borderId="9" xfId="0" applyFont="1" applyFill="1" applyBorder="1" applyAlignment="1">
      <alignment horizontal="right" wrapText="1"/>
    </xf>
    <xf numFmtId="0" fontId="22" fillId="9" borderId="9" xfId="0" applyFont="1" applyFill="1" applyBorder="1" applyAlignment="1">
      <alignment horizontal="right" wrapText="1"/>
    </xf>
    <xf numFmtId="0" fontId="22" fillId="10" borderId="9" xfId="0" applyFont="1" applyFill="1" applyBorder="1" applyAlignment="1">
      <alignment horizontal="right" wrapText="1"/>
    </xf>
    <xf numFmtId="0" fontId="23" fillId="11" borderId="9" xfId="0" applyFont="1" applyFill="1" applyBorder="1" applyAlignment="1">
      <alignment horizontal="right" wrapText="1"/>
    </xf>
    <xf numFmtId="0" fontId="22" fillId="12" borderId="9" xfId="0" applyFont="1" applyFill="1" applyBorder="1" applyAlignment="1">
      <alignment horizontal="right" wrapText="1"/>
    </xf>
    <xf numFmtId="0" fontId="22" fillId="13" borderId="9" xfId="0" applyFont="1" applyFill="1" applyBorder="1" applyAlignment="1">
      <alignment horizontal="right" wrapText="1"/>
    </xf>
    <xf numFmtId="0" fontId="22" fillId="14" borderId="9" xfId="0" applyFont="1" applyFill="1" applyBorder="1" applyAlignment="1">
      <alignment horizontal="right" wrapText="1"/>
    </xf>
    <xf numFmtId="0" fontId="22" fillId="15" borderId="9" xfId="0" applyFont="1" applyFill="1" applyBorder="1" applyAlignment="1">
      <alignment horizontal="right" wrapText="1"/>
    </xf>
    <xf numFmtId="0" fontId="22" fillId="16" borderId="9" xfId="0" applyFont="1" applyFill="1" applyBorder="1" applyAlignment="1">
      <alignment horizontal="right" wrapText="1"/>
    </xf>
    <xf numFmtId="0" fontId="22" fillId="17" borderId="9" xfId="0" applyFont="1" applyFill="1" applyBorder="1" applyAlignment="1">
      <alignment horizontal="right" wrapText="1"/>
    </xf>
    <xf numFmtId="0" fontId="22" fillId="18" borderId="9" xfId="0" applyFont="1" applyFill="1" applyBorder="1" applyAlignment="1">
      <alignment horizontal="right" wrapText="1"/>
    </xf>
    <xf numFmtId="0" fontId="7" fillId="3" borderId="0" xfId="0" applyFont="1" applyFill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6" fillId="25" borderId="0" xfId="0" applyFont="1" applyFill="1" applyAlignment="1">
      <alignment horizontal="left" vertical="center"/>
    </xf>
    <xf numFmtId="0" fontId="2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29" fillId="22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169" fontId="27" fillId="0" borderId="9" xfId="0" applyNumberFormat="1" applyFont="1" applyBorder="1" applyAlignment="1">
      <alignment horizontal="center" vertical="center"/>
    </xf>
    <xf numFmtId="0" fontId="33" fillId="0" borderId="9" xfId="0" applyFont="1" applyBorder="1"/>
    <xf numFmtId="169" fontId="34" fillId="0" borderId="9" xfId="0" applyNumberFormat="1" applyFont="1" applyBorder="1" applyAlignment="1">
      <alignment vertical="center"/>
    </xf>
    <xf numFmtId="169" fontId="34" fillId="0" borderId="9" xfId="0" applyNumberFormat="1" applyFont="1" applyBorder="1" applyAlignment="1">
      <alignment horizontal="right" vertical="center"/>
    </xf>
    <xf numFmtId="0" fontId="22" fillId="0" borderId="9" xfId="0" applyFont="1" applyBorder="1" applyAlignment="1">
      <alignment horizontal="left" wrapText="1"/>
    </xf>
    <xf numFmtId="169" fontId="27" fillId="0" borderId="9" xfId="0" applyNumberFormat="1" applyFont="1" applyBorder="1" applyAlignment="1">
      <alignment vertical="center"/>
    </xf>
    <xf numFmtId="0" fontId="22" fillId="28" borderId="9" xfId="0" applyFont="1" applyFill="1" applyBorder="1" applyAlignment="1">
      <alignment horizontal="left" wrapText="1"/>
    </xf>
    <xf numFmtId="0" fontId="0" fillId="28" borderId="9" xfId="0" applyFill="1" applyBorder="1"/>
    <xf numFmtId="0" fontId="33" fillId="28" borderId="9" xfId="0" applyFont="1" applyFill="1" applyBorder="1"/>
    <xf numFmtId="169" fontId="27" fillId="28" borderId="9" xfId="0" applyNumberFormat="1" applyFont="1" applyFill="1" applyBorder="1" applyAlignment="1">
      <alignment horizontal="center" vertical="center"/>
    </xf>
    <xf numFmtId="169" fontId="34" fillId="28" borderId="9" xfId="0" applyNumberFormat="1" applyFont="1" applyFill="1" applyBorder="1" applyAlignment="1">
      <alignment vertical="center"/>
    </xf>
    <xf numFmtId="169" fontId="27" fillId="28" borderId="9" xfId="0" applyNumberFormat="1" applyFont="1" applyFill="1" applyBorder="1" applyAlignment="1">
      <alignment vertical="center"/>
    </xf>
    <xf numFmtId="0" fontId="23" fillId="28" borderId="9" xfId="0" applyFont="1" applyFill="1" applyBorder="1" applyAlignment="1">
      <alignment horizontal="left" wrapText="1"/>
    </xf>
    <xf numFmtId="0" fontId="23" fillId="0" borderId="9" xfId="0" applyFont="1" applyBorder="1" applyAlignment="1">
      <alignment horizontal="left" wrapText="1"/>
    </xf>
    <xf numFmtId="169" fontId="0" fillId="0" borderId="9" xfId="0" applyNumberFormat="1" applyBorder="1"/>
    <xf numFmtId="0" fontId="0" fillId="28" borderId="10" xfId="0" applyFill="1" applyBorder="1"/>
    <xf numFmtId="0" fontId="33" fillId="28" borderId="10" xfId="0" applyFont="1" applyFill="1" applyBorder="1"/>
    <xf numFmtId="169" fontId="27" fillId="28" borderId="10" xfId="0" applyNumberFormat="1" applyFont="1" applyFill="1" applyBorder="1" applyAlignment="1">
      <alignment horizontal="center" vertical="center"/>
    </xf>
    <xf numFmtId="169" fontId="27" fillId="28" borderId="10" xfId="0" applyNumberFormat="1" applyFont="1" applyFill="1" applyBorder="1" applyAlignment="1">
      <alignment vertical="center"/>
    </xf>
    <xf numFmtId="0" fontId="36" fillId="25" borderId="0" xfId="0" applyFont="1" applyFill="1" applyAlignment="1">
      <alignment vertical="center" wrapText="1"/>
    </xf>
    <xf numFmtId="0" fontId="38" fillId="25" borderId="0" xfId="0" applyFont="1" applyFill="1" applyAlignment="1">
      <alignment vertical="center" wrapText="1"/>
    </xf>
    <xf numFmtId="0" fontId="7" fillId="2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9" fillId="21" borderId="0" xfId="0" applyFont="1" applyFill="1" applyAlignment="1">
      <alignment horizontal="center" vertical="center"/>
    </xf>
    <xf numFmtId="0" fontId="16" fillId="25" borderId="0" xfId="0" applyFont="1" applyFill="1" applyAlignment="1">
      <alignment vertical="center"/>
    </xf>
    <xf numFmtId="0" fontId="33" fillId="0" borderId="0" xfId="0" applyFont="1"/>
    <xf numFmtId="169" fontId="27" fillId="0" borderId="0" xfId="0" applyNumberFormat="1" applyFont="1" applyAlignment="1">
      <alignment horizontal="center" vertical="center"/>
    </xf>
    <xf numFmtId="169" fontId="34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71" fontId="0" fillId="0" borderId="0" xfId="0" applyNumberFormat="1"/>
    <xf numFmtId="0" fontId="40" fillId="0" borderId="0" xfId="0" applyFont="1"/>
    <xf numFmtId="169" fontId="0" fillId="0" borderId="0" xfId="0" applyNumberFormat="1" applyAlignment="1">
      <alignment horizontal="center"/>
    </xf>
    <xf numFmtId="0" fontId="31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41" fillId="0" borderId="0" xfId="0" applyFont="1" applyAlignment="1">
      <alignment horizontal="left" wrapText="1"/>
    </xf>
    <xf numFmtId="0" fontId="33" fillId="0" borderId="0" xfId="0" applyFont="1" applyAlignment="1">
      <alignment wrapText="1"/>
    </xf>
    <xf numFmtId="0" fontId="43" fillId="0" borderId="0" xfId="0" applyFont="1"/>
    <xf numFmtId="0" fontId="42" fillId="0" borderId="0" xfId="2"/>
    <xf numFmtId="169" fontId="27" fillId="0" borderId="0" xfId="0" applyNumberFormat="1" applyFont="1" applyAlignment="1">
      <alignment horizontal="center" vertical="center" wrapText="1"/>
    </xf>
    <xf numFmtId="0" fontId="42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44" fillId="0" borderId="0" xfId="0" applyFont="1" applyAlignment="1">
      <alignment horizontal="center"/>
    </xf>
    <xf numFmtId="172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0" fontId="0" fillId="0" borderId="0" xfId="0" applyNumberFormat="1"/>
    <xf numFmtId="0" fontId="38" fillId="20" borderId="11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/>
    </xf>
    <xf numFmtId="0" fontId="38" fillId="23" borderId="11" xfId="0" applyFont="1" applyFill="1" applyBorder="1" applyAlignment="1">
      <alignment horizontal="center"/>
    </xf>
    <xf numFmtId="168" fontId="38" fillId="20" borderId="11" xfId="0" applyNumberFormat="1" applyFont="1" applyFill="1" applyBorder="1" applyAlignment="1">
      <alignment horizontal="center"/>
    </xf>
    <xf numFmtId="172" fontId="38" fillId="23" borderId="11" xfId="0" applyNumberFormat="1" applyFont="1" applyFill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left" wrapText="1"/>
    </xf>
    <xf numFmtId="0" fontId="0" fillId="0" borderId="11" xfId="0" applyBorder="1"/>
    <xf numFmtId="0" fontId="33" fillId="0" borderId="11" xfId="0" applyFont="1" applyBorder="1"/>
    <xf numFmtId="169" fontId="27" fillId="0" borderId="11" xfId="0" applyNumberFormat="1" applyFont="1" applyBorder="1" applyAlignment="1">
      <alignment horizontal="center" vertical="center"/>
    </xf>
    <xf numFmtId="169" fontId="34" fillId="0" borderId="11" xfId="0" applyNumberFormat="1" applyFont="1" applyBorder="1" applyAlignment="1">
      <alignment horizontal="center" vertical="center"/>
    </xf>
    <xf numFmtId="0" fontId="31" fillId="0" borderId="11" xfId="0" applyFont="1" applyBorder="1" applyAlignment="1">
      <alignment horizontal="left" wrapText="1"/>
    </xf>
    <xf numFmtId="0" fontId="40" fillId="0" borderId="11" xfId="0" applyFont="1" applyBorder="1"/>
    <xf numFmtId="169" fontId="0" fillId="0" borderId="11" xfId="0" applyNumberFormat="1" applyBorder="1" applyAlignment="1">
      <alignment horizontal="center"/>
    </xf>
    <xf numFmtId="0" fontId="7" fillId="30" borderId="0" xfId="0" applyFont="1" applyFill="1" applyAlignment="1">
      <alignment horizontal="left" wrapText="1"/>
    </xf>
    <xf numFmtId="172" fontId="36" fillId="25" borderId="0" xfId="0" applyNumberFormat="1" applyFont="1" applyFill="1" applyAlignment="1">
      <alignment horizontal="center" vertical="center"/>
    </xf>
    <xf numFmtId="172" fontId="31" fillId="27" borderId="0" xfId="0" applyNumberFormat="1" applyFont="1" applyFill="1" applyAlignment="1">
      <alignment horizontal="center"/>
    </xf>
    <xf numFmtId="172" fontId="0" fillId="0" borderId="0" xfId="0" applyNumberFormat="1" applyAlignment="1">
      <alignment horizontal="center"/>
    </xf>
    <xf numFmtId="172" fontId="0" fillId="0" borderId="11" xfId="0" applyNumberFormat="1" applyBorder="1" applyAlignment="1">
      <alignment horizontal="center"/>
    </xf>
    <xf numFmtId="169" fontId="34" fillId="0" borderId="0" xfId="0" applyNumberFormat="1" applyFont="1" applyAlignment="1">
      <alignment horizontal="center" vertical="center" wrapText="1"/>
    </xf>
    <xf numFmtId="0" fontId="36" fillId="25" borderId="0" xfId="0" applyFont="1" applyFill="1" applyAlignment="1">
      <alignment horizontal="center" vertical="center"/>
    </xf>
    <xf numFmtId="170" fontId="1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11" xfId="0" applyNumberFormat="1" applyBorder="1" applyAlignment="1">
      <alignment horizontal="center"/>
    </xf>
    <xf numFmtId="0" fontId="0" fillId="30" borderId="0" xfId="0" applyFill="1"/>
    <xf numFmtId="0" fontId="0" fillId="0" borderId="13" xfId="0" applyBorder="1"/>
    <xf numFmtId="0" fontId="33" fillId="30" borderId="0" xfId="0" applyFont="1" applyFill="1"/>
    <xf numFmtId="0" fontId="40" fillId="0" borderId="14" xfId="0" applyFont="1" applyBorder="1"/>
    <xf numFmtId="0" fontId="40" fillId="0" borderId="13" xfId="0" applyFont="1" applyBorder="1"/>
    <xf numFmtId="169" fontId="27" fillId="30" borderId="0" xfId="0" applyNumberFormat="1" applyFont="1" applyFill="1" applyAlignment="1">
      <alignment horizontal="center" vertical="center"/>
    </xf>
    <xf numFmtId="0" fontId="0" fillId="0" borderId="13" xfId="0" applyBorder="1" applyAlignment="1">
      <alignment horizontal="center"/>
    </xf>
    <xf numFmtId="169" fontId="34" fillId="30" borderId="0" xfId="0" applyNumberFormat="1" applyFont="1" applyFill="1" applyAlignment="1">
      <alignment horizontal="center" vertical="center"/>
    </xf>
    <xf numFmtId="169" fontId="0" fillId="0" borderId="13" xfId="0" applyNumberFormat="1" applyBorder="1" applyAlignment="1">
      <alignment horizontal="center"/>
    </xf>
    <xf numFmtId="0" fontId="42" fillId="30" borderId="0" xfId="2" applyFill="1" applyBorder="1"/>
    <xf numFmtId="0" fontId="42" fillId="0" borderId="11" xfId="2" applyBorder="1"/>
    <xf numFmtId="0" fontId="0" fillId="30" borderId="0" xfId="0" applyFill="1" applyAlignment="1">
      <alignment horizontal="center"/>
    </xf>
    <xf numFmtId="168" fontId="0" fillId="30" borderId="0" xfId="0" applyNumberFormat="1" applyFill="1" applyAlignment="1">
      <alignment horizontal="center"/>
    </xf>
    <xf numFmtId="168" fontId="0" fillId="0" borderId="13" xfId="0" applyNumberFormat="1" applyBorder="1" applyAlignment="1">
      <alignment horizontal="center"/>
    </xf>
    <xf numFmtId="172" fontId="0" fillId="30" borderId="0" xfId="0" applyNumberFormat="1" applyFill="1" applyAlignment="1">
      <alignment horizontal="center"/>
    </xf>
    <xf numFmtId="172" fontId="0" fillId="0" borderId="13" xfId="0" applyNumberFormat="1" applyBorder="1" applyAlignment="1">
      <alignment horizontal="center"/>
    </xf>
    <xf numFmtId="169" fontId="45" fillId="0" borderId="0" xfId="0" applyNumberFormat="1" applyFont="1" applyAlignment="1">
      <alignment horizontal="center" vertical="center"/>
    </xf>
    <xf numFmtId="0" fontId="0" fillId="31" borderId="0" xfId="0" applyFill="1"/>
    <xf numFmtId="0" fontId="0" fillId="24" borderId="0" xfId="0" applyFill="1"/>
    <xf numFmtId="0" fontId="0" fillId="0" borderId="9" xfId="0" applyBorder="1" applyAlignment="1">
      <alignment horizontal="center"/>
    </xf>
    <xf numFmtId="18" fontId="0" fillId="0" borderId="0" xfId="0" applyNumberFormat="1"/>
    <xf numFmtId="0" fontId="8" fillId="3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horizontal="right" vertical="center"/>
    </xf>
    <xf numFmtId="167" fontId="10" fillId="3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 vertical="center" wrapText="1"/>
    </xf>
    <xf numFmtId="0" fontId="7" fillId="22" borderId="0" xfId="0" applyFont="1" applyFill="1" applyAlignment="1">
      <alignment horizontal="center" vertical="center" wrapText="1"/>
    </xf>
    <xf numFmtId="0" fontId="28" fillId="25" borderId="0" xfId="0" applyFont="1" applyFill="1" applyAlignment="1">
      <alignment horizontal="left" vertical="center" wrapText="1"/>
    </xf>
    <xf numFmtId="0" fontId="35" fillId="25" borderId="0" xfId="0" applyFont="1" applyFill="1" applyAlignment="1">
      <alignment horizontal="left" vertical="center"/>
    </xf>
    <xf numFmtId="0" fontId="39" fillId="29" borderId="0" xfId="0" applyFont="1" applyFill="1" applyAlignment="1">
      <alignment horizontal="left" vertical="center"/>
    </xf>
    <xf numFmtId="0" fontId="38" fillId="26" borderId="0" xfId="0" applyFont="1" applyFill="1" applyAlignment="1">
      <alignment horizontal="left" vertical="center"/>
    </xf>
    <xf numFmtId="10" fontId="37" fillId="26" borderId="0" xfId="0" applyNumberFormat="1" applyFont="1" applyFill="1" applyAlignment="1">
      <alignment horizontal="right" vertical="center"/>
    </xf>
  </cellXfs>
  <cellStyles count="3">
    <cellStyle name="Hyperlink" xfId="2" xr:uid="{00000000-000B-0000-0000-000008000000}"/>
    <cellStyle name="Normal" xfId="0" builtinId="0"/>
    <cellStyle name="Porcentaje" xfId="1" builtinId="5"/>
  </cellStyles>
  <dxfs count="1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  <protection locked="1" hidden="0"/>
    </dxf>
    <dxf>
      <numFmt numFmtId="172" formatCode="[$-409]h:mm\ AM/PM;@"/>
      <alignment horizontal="center"/>
    </dxf>
    <dxf>
      <numFmt numFmtId="168" formatCode="d\-m\-yy;@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  <protection locked="1" hidden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9" formatCode="000\-0000"/>
      <fill>
        <patternFill patternType="none">
          <fgColor theme="6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9" formatCode="000\-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  <protection locked="1" hidden="0"/>
    </dxf>
    <dxf>
      <border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E5E8"/>
        </patternFill>
      </fill>
    </dxf>
    <dxf>
      <font>
        <color auto="1"/>
      </font>
      <fill>
        <patternFill>
          <bgColor rgb="FFFFB9B9"/>
        </patternFill>
      </fill>
    </dxf>
    <dxf>
      <font>
        <color auto="1"/>
      </font>
      <fill>
        <patternFill>
          <bgColor rgb="FFB8C3D2"/>
        </patternFill>
      </fill>
    </dxf>
    <dxf>
      <fill>
        <patternFill>
          <bgColor rgb="FFC5B7B7"/>
        </patternFill>
      </fill>
    </dxf>
    <dxf>
      <font>
        <color theme="0"/>
      </font>
      <fill>
        <patternFill>
          <bgColor rgb="FFADADAD"/>
        </patternFill>
      </fill>
    </dxf>
    <dxf>
      <font>
        <b/>
        <i/>
        <u val="none"/>
        <color auto="1"/>
      </font>
      <fill>
        <patternFill>
          <bgColor rgb="FFBADAA6"/>
        </patternFill>
      </fill>
    </dxf>
    <dxf>
      <font>
        <color auto="1"/>
      </font>
      <fill>
        <patternFill>
          <bgColor rgb="FFFFD4B7"/>
        </patternFill>
      </fill>
    </dxf>
    <dxf>
      <fill>
        <patternFill>
          <bgColor rgb="FFFFED9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E5E8"/>
        </patternFill>
      </fill>
    </dxf>
    <dxf>
      <font>
        <color auto="1"/>
      </font>
      <fill>
        <patternFill>
          <bgColor rgb="FFFFB9B9"/>
        </patternFill>
      </fill>
    </dxf>
    <dxf>
      <font>
        <color auto="1"/>
      </font>
      <fill>
        <patternFill>
          <bgColor rgb="FFB8C3D2"/>
        </patternFill>
      </fill>
    </dxf>
    <dxf>
      <fill>
        <patternFill>
          <bgColor rgb="FFC5B7B7"/>
        </patternFill>
      </fill>
    </dxf>
    <dxf>
      <font>
        <color theme="0"/>
      </font>
      <fill>
        <patternFill>
          <bgColor rgb="FFADADAD"/>
        </patternFill>
      </fill>
    </dxf>
    <dxf>
      <font>
        <b/>
        <i/>
        <u val="none"/>
        <color auto="1"/>
      </font>
      <fill>
        <patternFill>
          <bgColor rgb="FFBADAA6"/>
        </patternFill>
      </fill>
    </dxf>
    <dxf>
      <font>
        <color auto="1"/>
      </font>
      <fill>
        <patternFill>
          <bgColor rgb="FFFFD4B7"/>
        </patternFill>
      </fill>
    </dxf>
    <dxf>
      <fill>
        <patternFill>
          <bgColor rgb="FFFFED9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E5E8"/>
        </patternFill>
      </fill>
    </dxf>
    <dxf>
      <font>
        <color auto="1"/>
      </font>
      <fill>
        <patternFill>
          <bgColor rgb="FFFFB9B9"/>
        </patternFill>
      </fill>
    </dxf>
    <dxf>
      <font>
        <color auto="1"/>
      </font>
      <fill>
        <patternFill>
          <bgColor rgb="FFB8C3D2"/>
        </patternFill>
      </fill>
    </dxf>
    <dxf>
      <fill>
        <patternFill>
          <bgColor rgb="FFC5B7B7"/>
        </patternFill>
      </fill>
    </dxf>
    <dxf>
      <font>
        <color theme="0"/>
      </font>
      <fill>
        <patternFill>
          <bgColor rgb="FFADADAD"/>
        </patternFill>
      </fill>
    </dxf>
    <dxf>
      <font>
        <b/>
        <i/>
        <u val="none"/>
        <color auto="1"/>
      </font>
      <fill>
        <patternFill>
          <bgColor rgb="FFBADAA6"/>
        </patternFill>
      </fill>
    </dxf>
    <dxf>
      <font>
        <color auto="1"/>
      </font>
      <fill>
        <patternFill>
          <bgColor rgb="FFFFD4B7"/>
        </patternFill>
      </fill>
    </dxf>
    <dxf>
      <fill>
        <patternFill>
          <bgColor rgb="FFFFED9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E5E8"/>
        </patternFill>
      </fill>
    </dxf>
    <dxf>
      <font>
        <color auto="1"/>
      </font>
      <fill>
        <patternFill>
          <bgColor rgb="FFFFB9B9"/>
        </patternFill>
      </fill>
    </dxf>
    <dxf>
      <font>
        <color auto="1"/>
      </font>
      <fill>
        <patternFill>
          <bgColor rgb="FFB8C3D2"/>
        </patternFill>
      </fill>
    </dxf>
    <dxf>
      <fill>
        <patternFill>
          <bgColor rgb="FFC5B7B7"/>
        </patternFill>
      </fill>
    </dxf>
    <dxf>
      <font>
        <color theme="0"/>
      </font>
      <fill>
        <patternFill>
          <bgColor rgb="FFADADAD"/>
        </patternFill>
      </fill>
    </dxf>
    <dxf>
      <font>
        <b/>
        <i/>
        <u val="none"/>
        <color auto="1"/>
      </font>
      <fill>
        <patternFill>
          <bgColor rgb="FFBADAA6"/>
        </patternFill>
      </fill>
    </dxf>
    <dxf>
      <font>
        <color auto="1"/>
      </font>
      <fill>
        <patternFill>
          <bgColor rgb="FFFFD4B7"/>
        </patternFill>
      </fill>
    </dxf>
    <dxf>
      <fill>
        <patternFill>
          <bgColor rgb="FFFFED9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E5E8"/>
        </patternFill>
      </fill>
    </dxf>
    <dxf>
      <font>
        <color auto="1"/>
      </font>
      <fill>
        <patternFill>
          <bgColor rgb="FFFFB9B9"/>
        </patternFill>
      </fill>
    </dxf>
    <dxf>
      <font>
        <color auto="1"/>
      </font>
      <fill>
        <patternFill>
          <bgColor rgb="FFB8C3D2"/>
        </patternFill>
      </fill>
    </dxf>
    <dxf>
      <fill>
        <patternFill>
          <bgColor rgb="FFC5B7B7"/>
        </patternFill>
      </fill>
    </dxf>
    <dxf>
      <font>
        <color theme="0"/>
      </font>
      <fill>
        <patternFill>
          <bgColor rgb="FFADADAD"/>
        </patternFill>
      </fill>
    </dxf>
    <dxf>
      <font>
        <b/>
        <i/>
        <u val="none"/>
        <color auto="1"/>
      </font>
      <fill>
        <patternFill>
          <bgColor rgb="FFBADAA6"/>
        </patternFill>
      </fill>
    </dxf>
    <dxf>
      <font>
        <color auto="1"/>
      </font>
      <fill>
        <patternFill>
          <bgColor rgb="FFFFD4B7"/>
        </patternFill>
      </fill>
    </dxf>
    <dxf>
      <fill>
        <patternFill>
          <bgColor rgb="FFFFED9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E5E8"/>
        </patternFill>
      </fill>
    </dxf>
    <dxf>
      <font>
        <color auto="1"/>
      </font>
      <fill>
        <patternFill>
          <bgColor rgb="FFFFB9B9"/>
        </patternFill>
      </fill>
    </dxf>
    <dxf>
      <font>
        <color auto="1"/>
      </font>
      <fill>
        <patternFill>
          <bgColor rgb="FFB8C3D2"/>
        </patternFill>
      </fill>
    </dxf>
    <dxf>
      <fill>
        <patternFill>
          <bgColor rgb="FFC5B7B7"/>
        </patternFill>
      </fill>
    </dxf>
    <dxf>
      <font>
        <color theme="0"/>
      </font>
      <fill>
        <patternFill>
          <bgColor rgb="FFADADAD"/>
        </patternFill>
      </fill>
    </dxf>
    <dxf>
      <font>
        <b/>
        <i/>
        <u val="none"/>
        <color auto="1"/>
      </font>
      <fill>
        <patternFill>
          <bgColor rgb="FFBADAA6"/>
        </patternFill>
      </fill>
    </dxf>
    <dxf>
      <font>
        <color auto="1"/>
      </font>
      <fill>
        <patternFill>
          <bgColor rgb="FFFFD4B7"/>
        </patternFill>
      </fill>
    </dxf>
    <dxf>
      <fill>
        <patternFill>
          <bgColor rgb="FFFFED9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E5E8"/>
        </patternFill>
      </fill>
    </dxf>
    <dxf>
      <font>
        <color auto="1"/>
      </font>
      <fill>
        <patternFill>
          <bgColor rgb="FFFFB9B9"/>
        </patternFill>
      </fill>
    </dxf>
    <dxf>
      <font>
        <color auto="1"/>
      </font>
      <fill>
        <patternFill>
          <bgColor rgb="FFB8C3D2"/>
        </patternFill>
      </fill>
    </dxf>
    <dxf>
      <fill>
        <patternFill>
          <bgColor rgb="FFC5B7B7"/>
        </patternFill>
      </fill>
    </dxf>
    <dxf>
      <font>
        <color theme="0"/>
      </font>
      <fill>
        <patternFill>
          <bgColor rgb="FFADADAD"/>
        </patternFill>
      </fill>
    </dxf>
    <dxf>
      <font>
        <b/>
        <i/>
        <u val="none"/>
        <color auto="1"/>
      </font>
      <fill>
        <patternFill>
          <bgColor rgb="FFBADAA6"/>
        </patternFill>
      </fill>
    </dxf>
    <dxf>
      <font>
        <color auto="1"/>
      </font>
      <fill>
        <patternFill>
          <bgColor rgb="FFFFD4B7"/>
        </patternFill>
      </fill>
    </dxf>
    <dxf>
      <fill>
        <patternFill>
          <bgColor rgb="FFFFED9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E5E8"/>
        </patternFill>
      </fill>
    </dxf>
    <dxf>
      <font>
        <color auto="1"/>
      </font>
      <fill>
        <patternFill>
          <bgColor rgb="FFFFB9B9"/>
        </patternFill>
      </fill>
    </dxf>
    <dxf>
      <font>
        <color auto="1"/>
      </font>
      <fill>
        <patternFill>
          <bgColor rgb="FFB8C3D2"/>
        </patternFill>
      </fill>
    </dxf>
    <dxf>
      <fill>
        <patternFill>
          <bgColor rgb="FFC5B7B7"/>
        </patternFill>
      </fill>
    </dxf>
    <dxf>
      <font>
        <color theme="0"/>
      </font>
      <fill>
        <patternFill>
          <bgColor rgb="FFADADAD"/>
        </patternFill>
      </fill>
    </dxf>
    <dxf>
      <font>
        <b/>
        <i/>
        <u val="none"/>
        <color auto="1"/>
      </font>
      <fill>
        <patternFill>
          <bgColor rgb="FFBADAA6"/>
        </patternFill>
      </fill>
    </dxf>
    <dxf>
      <font>
        <color auto="1"/>
      </font>
      <fill>
        <patternFill>
          <bgColor rgb="FFFFD4B7"/>
        </patternFill>
      </fill>
    </dxf>
    <dxf>
      <fill>
        <patternFill>
          <bgColor rgb="FFFFED9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E5E8"/>
        </patternFill>
      </fill>
    </dxf>
    <dxf>
      <font>
        <color auto="1"/>
      </font>
      <fill>
        <patternFill>
          <bgColor rgb="FFFFB9B9"/>
        </patternFill>
      </fill>
    </dxf>
    <dxf>
      <font>
        <color auto="1"/>
      </font>
      <fill>
        <patternFill>
          <bgColor rgb="FFB8C3D2"/>
        </patternFill>
      </fill>
    </dxf>
    <dxf>
      <fill>
        <patternFill>
          <bgColor rgb="FFC5B7B7"/>
        </patternFill>
      </fill>
    </dxf>
    <dxf>
      <font>
        <color theme="0"/>
      </font>
      <fill>
        <patternFill>
          <bgColor rgb="FFADADAD"/>
        </patternFill>
      </fill>
    </dxf>
    <dxf>
      <font>
        <b/>
        <i/>
        <u val="none"/>
        <color auto="1"/>
      </font>
      <fill>
        <patternFill>
          <bgColor rgb="FFBADAA6"/>
        </patternFill>
      </fill>
    </dxf>
    <dxf>
      <font>
        <color auto="1"/>
      </font>
      <fill>
        <patternFill>
          <bgColor rgb="FFFFD4B7"/>
        </patternFill>
      </fill>
    </dxf>
    <dxf>
      <fill>
        <patternFill>
          <bgColor rgb="FFFFED9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E5E8"/>
        </patternFill>
      </fill>
    </dxf>
    <dxf>
      <font>
        <color auto="1"/>
      </font>
      <fill>
        <patternFill>
          <bgColor rgb="FFFFB9B9"/>
        </patternFill>
      </fill>
    </dxf>
    <dxf>
      <font>
        <color auto="1"/>
      </font>
      <fill>
        <patternFill>
          <bgColor rgb="FFB8C3D2"/>
        </patternFill>
      </fill>
    </dxf>
    <dxf>
      <fill>
        <patternFill>
          <bgColor rgb="FFC5B7B7"/>
        </patternFill>
      </fill>
    </dxf>
    <dxf>
      <font>
        <color theme="0"/>
      </font>
      <fill>
        <patternFill>
          <bgColor rgb="FFADADAD"/>
        </patternFill>
      </fill>
    </dxf>
    <dxf>
      <font>
        <b/>
        <i/>
        <u val="none"/>
        <color auto="1"/>
      </font>
      <fill>
        <patternFill>
          <bgColor rgb="FFBADAA6"/>
        </patternFill>
      </fill>
    </dxf>
    <dxf>
      <font>
        <color auto="1"/>
      </font>
      <fill>
        <patternFill>
          <bgColor rgb="FFFFD4B7"/>
        </patternFill>
      </fill>
    </dxf>
    <dxf>
      <fill>
        <patternFill>
          <bgColor rgb="FFFFED9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E5E8"/>
        </patternFill>
      </fill>
    </dxf>
    <dxf>
      <font>
        <color auto="1"/>
      </font>
      <fill>
        <patternFill>
          <bgColor rgb="FFFFB9B9"/>
        </patternFill>
      </fill>
    </dxf>
    <dxf>
      <font>
        <color auto="1"/>
      </font>
      <fill>
        <patternFill>
          <bgColor rgb="FFB8C3D2"/>
        </patternFill>
      </fill>
    </dxf>
    <dxf>
      <fill>
        <patternFill>
          <bgColor rgb="FFC5B7B7"/>
        </patternFill>
      </fill>
    </dxf>
    <dxf>
      <font>
        <color theme="0"/>
      </font>
      <fill>
        <patternFill>
          <bgColor rgb="FFADADAD"/>
        </patternFill>
      </fill>
    </dxf>
    <dxf>
      <font>
        <b/>
        <i/>
        <u val="none"/>
        <color auto="1"/>
      </font>
      <fill>
        <patternFill>
          <bgColor rgb="FFBADAA6"/>
        </patternFill>
      </fill>
    </dxf>
    <dxf>
      <font>
        <color auto="1"/>
      </font>
      <fill>
        <patternFill>
          <bgColor rgb="FFFFD4B7"/>
        </patternFill>
      </fill>
    </dxf>
    <dxf>
      <fill>
        <patternFill>
          <bgColor rgb="FFFFED9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E5E8"/>
        </patternFill>
      </fill>
    </dxf>
    <dxf>
      <font>
        <color auto="1"/>
      </font>
      <fill>
        <patternFill>
          <bgColor rgb="FFFFB9B9"/>
        </patternFill>
      </fill>
    </dxf>
    <dxf>
      <font>
        <color auto="1"/>
      </font>
      <fill>
        <patternFill>
          <bgColor rgb="FFB8C3D2"/>
        </patternFill>
      </fill>
    </dxf>
    <dxf>
      <fill>
        <patternFill>
          <bgColor rgb="FFC5B7B7"/>
        </patternFill>
      </fill>
    </dxf>
    <dxf>
      <font>
        <color theme="0"/>
      </font>
      <fill>
        <patternFill>
          <bgColor rgb="FFADADAD"/>
        </patternFill>
      </fill>
    </dxf>
    <dxf>
      <font>
        <b/>
        <i/>
        <u val="none"/>
        <color auto="1"/>
      </font>
      <fill>
        <patternFill>
          <bgColor rgb="FFBADAA6"/>
        </patternFill>
      </fill>
    </dxf>
    <dxf>
      <font>
        <color auto="1"/>
      </font>
      <fill>
        <patternFill>
          <bgColor rgb="FFFFD4B7"/>
        </patternFill>
      </fill>
    </dxf>
    <dxf>
      <fill>
        <patternFill>
          <bgColor rgb="FFFFED9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E5E8"/>
        </patternFill>
      </fill>
    </dxf>
    <dxf>
      <font>
        <color rgb="FF9C0006"/>
      </font>
      <fill>
        <patternFill>
          <bgColor rgb="FFFFE5E8"/>
        </patternFill>
      </fill>
    </dxf>
    <dxf>
      <font>
        <color auto="1"/>
      </font>
      <fill>
        <patternFill>
          <bgColor rgb="FFFFB9B9"/>
        </patternFill>
      </fill>
    </dxf>
    <dxf>
      <font>
        <color auto="1"/>
      </font>
      <fill>
        <patternFill>
          <bgColor rgb="FFFFB9B9"/>
        </patternFill>
      </fill>
    </dxf>
    <dxf>
      <font>
        <color auto="1"/>
      </font>
      <fill>
        <patternFill>
          <bgColor rgb="FFB8C3D2"/>
        </patternFill>
      </fill>
    </dxf>
    <dxf>
      <font>
        <color auto="1"/>
      </font>
      <fill>
        <patternFill>
          <bgColor rgb="FFB8C3D2"/>
        </patternFill>
      </fill>
    </dxf>
    <dxf>
      <fill>
        <patternFill>
          <bgColor rgb="FFC5B7B7"/>
        </patternFill>
      </fill>
    </dxf>
    <dxf>
      <fill>
        <patternFill>
          <bgColor rgb="FFC5B7B7"/>
        </patternFill>
      </fill>
    </dxf>
    <dxf>
      <font>
        <color theme="0"/>
      </font>
      <fill>
        <patternFill>
          <bgColor rgb="FFADADAD"/>
        </patternFill>
      </fill>
    </dxf>
    <dxf>
      <font>
        <color theme="0"/>
      </font>
      <fill>
        <patternFill>
          <bgColor rgb="FFADADAD"/>
        </patternFill>
      </fill>
    </dxf>
    <dxf>
      <font>
        <b/>
        <i/>
        <u val="none"/>
        <color auto="1"/>
      </font>
      <fill>
        <patternFill>
          <bgColor rgb="FFBADAA6"/>
        </patternFill>
      </fill>
    </dxf>
    <dxf>
      <font>
        <b/>
        <i/>
        <u val="none"/>
        <color auto="1"/>
      </font>
      <fill>
        <patternFill>
          <bgColor rgb="FFBADAA6"/>
        </patternFill>
      </fill>
    </dxf>
    <dxf>
      <font>
        <color auto="1"/>
      </font>
      <fill>
        <patternFill>
          <bgColor rgb="FFFFD4B7"/>
        </patternFill>
      </fill>
    </dxf>
    <dxf>
      <font>
        <color auto="1"/>
      </font>
      <fill>
        <patternFill>
          <bgColor rgb="FFFFD4B7"/>
        </patternFill>
      </fill>
    </dxf>
    <dxf>
      <fill>
        <patternFill>
          <bgColor rgb="FFFFED9F"/>
        </patternFill>
      </fill>
    </dxf>
    <dxf>
      <fill>
        <patternFill>
          <bgColor rgb="FFFFED9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E5E8"/>
        </patternFill>
      </fill>
    </dxf>
    <dxf>
      <font>
        <color auto="1"/>
      </font>
      <fill>
        <patternFill>
          <bgColor rgb="FFFFB9B9"/>
        </patternFill>
      </fill>
    </dxf>
    <dxf>
      <font>
        <color auto="1"/>
      </font>
      <fill>
        <patternFill>
          <bgColor rgb="FFB8C3D2"/>
        </patternFill>
      </fill>
    </dxf>
    <dxf>
      <fill>
        <patternFill>
          <bgColor rgb="FFC5B7B7"/>
        </patternFill>
      </fill>
    </dxf>
    <dxf>
      <font>
        <color theme="0"/>
      </font>
      <fill>
        <patternFill>
          <bgColor rgb="FFADADAD"/>
        </patternFill>
      </fill>
    </dxf>
    <dxf>
      <font>
        <b/>
        <i/>
        <u val="none"/>
        <color auto="1"/>
      </font>
      <fill>
        <patternFill>
          <bgColor rgb="FFBADAA6"/>
        </patternFill>
      </fill>
    </dxf>
    <dxf>
      <font>
        <color auto="1"/>
      </font>
      <fill>
        <patternFill>
          <bgColor rgb="FFFFD4B7"/>
        </patternFill>
      </fill>
    </dxf>
    <dxf>
      <fill>
        <patternFill>
          <bgColor rgb="FFFFED9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5B7B7"/>
      <color rgb="FFFFC9CA"/>
      <color rgb="FFFFED9F"/>
      <color rgb="FFFFCC00"/>
      <color rgb="FFFFB89B"/>
      <color rgb="FFF8D69A"/>
      <color rgb="FFFEECFC"/>
      <color rgb="FFFDCBF7"/>
      <color rgb="FFFF6600"/>
      <color rgb="FF3540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208280</xdr:colOff>
      <xdr:row>14</xdr:row>
      <xdr:rowOff>0</xdr:rowOff>
    </xdr:from>
    <xdr:to>
      <xdr:col>14</xdr:col>
      <xdr:colOff>36830</xdr:colOff>
      <xdr:row>18</xdr:row>
      <xdr:rowOff>19050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449" t="6182" r="-6570" b="5537"/>
        <a:stretch/>
      </xdr:blipFill>
      <xdr:spPr bwMode="auto">
        <a:xfrm>
          <a:off x="6780530" y="619125"/>
          <a:ext cx="3886200" cy="781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9525</xdr:colOff>
      <xdr:row>15</xdr:row>
      <xdr:rowOff>50800</xdr:rowOff>
    </xdr:from>
    <xdr:to>
      <xdr:col>9</xdr:col>
      <xdr:colOff>781050</xdr:colOff>
      <xdr:row>18</xdr:row>
      <xdr:rowOff>9525</xdr:rowOff>
    </xdr:to>
    <xdr:pic>
      <xdr:nvPicPr>
        <xdr:cNvPr id="3" name="LOG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719" r="57879"/>
        <a:stretch/>
      </xdr:blipFill>
      <xdr:spPr bwMode="auto">
        <a:xfrm>
          <a:off x="5267325" y="2955925"/>
          <a:ext cx="3114675" cy="5302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0</xdr:colOff>
      <xdr:row>33</xdr:row>
      <xdr:rowOff>161925</xdr:rowOff>
    </xdr:from>
    <xdr:to>
      <xdr:col>13</xdr:col>
      <xdr:colOff>9525</xdr:colOff>
      <xdr:row>37</xdr:row>
      <xdr:rowOff>0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5257800" y="9563100"/>
          <a:ext cx="5648325" cy="600075"/>
          <a:chOff x="0" y="0"/>
          <a:chExt cx="9627306" cy="718820"/>
        </a:xfrm>
      </xdr:grpSpPr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pSpPr/>
        </xdr:nvGrpSpPr>
        <xdr:grpSpPr>
          <a:xfrm>
            <a:off x="0" y="0"/>
            <a:ext cx="9627306" cy="718820"/>
            <a:chOff x="0" y="0"/>
            <a:chExt cx="9627306" cy="718820"/>
          </a:xfrm>
        </xdr:grpSpPr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/>
          </xdr:blipFill>
          <xdr:spPr>
            <a:xfrm>
              <a:off x="0" y="0"/>
              <a:ext cx="5721350" cy="718820"/>
            </a:xfrm>
            <a:prstGeom prst="rect">
              <a:avLst/>
            </a:prstGeom>
            <a:noFill/>
            <a:ln w="0">
              <a:noFill/>
            </a:ln>
          </xdr:spPr>
        </xdr:pic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/>
          </xdr:blipFill>
          <xdr:spPr>
            <a:xfrm>
              <a:off x="3905956" y="0"/>
              <a:ext cx="5721350" cy="718820"/>
            </a:xfrm>
            <a:prstGeom prst="rect">
              <a:avLst/>
            </a:prstGeom>
            <a:noFill/>
            <a:ln w="0">
              <a:noFill/>
            </a:ln>
          </xdr:spPr>
        </xdr:pic>
      </xdr:grpSp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3947746" y="211015"/>
            <a:ext cx="1855177" cy="27256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PA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ESTADO" displayName="ESTADO" ref="A1:A11" totalsRowShown="0">
  <autoFilter ref="A1:A11" xr:uid="{00000000-0009-0000-0100-000002000000}"/>
  <tableColumns count="1">
    <tableColumn id="1" xr3:uid="{00000000-0010-0000-0000-000001000000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4:L3920" totalsRowShown="0" headerRowDxfId="16" headerRowBorderDxfId="15" headerRowCellStyle="Normal" dataCellStyle="Normal">
  <autoFilter ref="A4:L3920" xr:uid="{00000000-0009-0000-0100-000001000000}"/>
  <sortState xmlns:xlrd2="http://schemas.microsoft.com/office/spreadsheetml/2017/richdata2" ref="A5:L3920">
    <sortCondition ref="A4:A3920"/>
  </sortState>
  <tableColumns count="12">
    <tableColumn id="7" xr3:uid="{00000000-0010-0000-0100-000007000000}" name="REGIONAL" dataDxfId="13" totalsRowDxfId="14" dataCellStyle="Normal"/>
    <tableColumn id="10" xr3:uid="{00000000-0010-0000-0100-00000A000000}" name="COLABORADOR" totalsRowDxfId="12" dataCellStyle="Normal"/>
    <tableColumn id="1" xr3:uid="{00000000-0010-0000-0100-000001000000}" name="NOMBRE DE LA EMPRESA" dataDxfId="11" dataCellStyle="Normal"/>
    <tableColumn id="5" xr3:uid="{00000000-0010-0000-0100-000005000000}" name="NOM. EMPRENDEDOR" dataDxfId="9" totalsRowDxfId="10"/>
    <tableColumn id="2" xr3:uid="{00000000-0010-0000-0100-000002000000}" name="TELEFONO" dataDxfId="8" dataCellStyle="Normal"/>
    <tableColumn id="3" xr3:uid="{00000000-0010-0000-0100-000003000000}" name="CORREO    " totalsRowDxfId="7" dataCellStyle="Normal"/>
    <tableColumn id="4" xr3:uid="{00000000-0010-0000-0100-000004000000}" name="ESTADO" dataDxfId="6"/>
    <tableColumn id="16" xr3:uid="{00000000-0010-0000-0100-000010000000}" name="  LLAMADA 1" dataDxfId="4" totalsRowDxfId="5" dataCellStyle="Normal"/>
    <tableColumn id="17" xr3:uid="{00000000-0010-0000-0100-000011000000}" name="HORA" dataDxfId="3"/>
    <tableColumn id="6" xr3:uid="{00000000-0010-0000-0100-000006000000}" name=" LLAMADA 2" totalsRowDxfId="2" dataCellStyle="Normal"/>
    <tableColumn id="18" xr3:uid="{00000000-0010-0000-0100-000012000000}" name="HORA2" totalsRowDxfId="1" dataCellStyle="Normal"/>
    <tableColumn id="11" xr3:uid="{00000000-0010-0000-0100-00000B000000}" name="OBSERVACION" totalsRowDxfId="0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yonathaneduardosalda&#241;a83@gmail.com" TargetMode="External"/><Relationship Id="rId117" Type="http://schemas.openxmlformats.org/officeDocument/2006/relationships/hyperlink" Target="mailto:ashleyquintero880@gmail.com" TargetMode="External"/><Relationship Id="rId21" Type="http://schemas.openxmlformats.org/officeDocument/2006/relationships/hyperlink" Target="mailto:yanmendoza02@hotmail.com" TargetMode="External"/><Relationship Id="rId42" Type="http://schemas.openxmlformats.org/officeDocument/2006/relationships/hyperlink" Target="mailto:floristeria.elclavel@hotmail.com" TargetMode="External"/><Relationship Id="rId47" Type="http://schemas.openxmlformats.org/officeDocument/2006/relationships/hyperlink" Target="mailto:marife15andrade50@gmail.com" TargetMode="External"/><Relationship Id="rId63" Type="http://schemas.openxmlformats.org/officeDocument/2006/relationships/hyperlink" Target="mailto:martinezbelisario2@gmail.com" TargetMode="External"/><Relationship Id="rId68" Type="http://schemas.openxmlformats.org/officeDocument/2006/relationships/hyperlink" Target="mailto:katherinemedyurie@gmail.com" TargetMode="External"/><Relationship Id="rId84" Type="http://schemas.openxmlformats.org/officeDocument/2006/relationships/hyperlink" Target="mailto:daac.inversionesyservicios@gmail.com" TargetMode="External"/><Relationship Id="rId89" Type="http://schemas.openxmlformats.org/officeDocument/2006/relationships/hyperlink" Target="mailto:kenthcastillo16@gmail.com" TargetMode="External"/><Relationship Id="rId112" Type="http://schemas.openxmlformats.org/officeDocument/2006/relationships/hyperlink" Target="mailto:cristinaledezmanavarro@gmail.com" TargetMode="External"/><Relationship Id="rId16" Type="http://schemas.openxmlformats.org/officeDocument/2006/relationships/hyperlink" Target="mailto:aguirreantonella136@gmail.com" TargetMode="External"/><Relationship Id="rId107" Type="http://schemas.openxmlformats.org/officeDocument/2006/relationships/hyperlink" Target="mailto:july18971@hotmail.com" TargetMode="External"/><Relationship Id="rId11" Type="http://schemas.openxmlformats.org/officeDocument/2006/relationships/hyperlink" Target="mailto:franklincaballero96@gmail.com" TargetMode="External"/><Relationship Id="rId32" Type="http://schemas.openxmlformats.org/officeDocument/2006/relationships/hyperlink" Target="mailto:info@escap-panama.com" TargetMode="External"/><Relationship Id="rId37" Type="http://schemas.openxmlformats.org/officeDocument/2006/relationships/hyperlink" Target="mailto:celenaarauz4321@gmail.com" TargetMode="External"/><Relationship Id="rId53" Type="http://schemas.openxmlformats.org/officeDocument/2006/relationships/hyperlink" Target="mailto:caballerogeovani@gmail.com" TargetMode="External"/><Relationship Id="rId58" Type="http://schemas.openxmlformats.org/officeDocument/2006/relationships/hyperlink" Target="mailto:almidoccucine@gmail.com" TargetMode="External"/><Relationship Id="rId74" Type="http://schemas.openxmlformats.org/officeDocument/2006/relationships/hyperlink" Target="mailto:alrios784@gmail.com" TargetMode="External"/><Relationship Id="rId79" Type="http://schemas.openxmlformats.org/officeDocument/2006/relationships/hyperlink" Target="mailto:zuleikazalvarez744@gmail.com" TargetMode="External"/><Relationship Id="rId102" Type="http://schemas.openxmlformats.org/officeDocument/2006/relationships/hyperlink" Target="mailto:jimenezirving185@gmail.com" TargetMode="External"/><Relationship Id="rId123" Type="http://schemas.openxmlformats.org/officeDocument/2006/relationships/printerSettings" Target="../printerSettings/printerSettings2.bin"/><Relationship Id="rId5" Type="http://schemas.openxmlformats.org/officeDocument/2006/relationships/hyperlink" Target="mailto:rubielatello2@gmail.com" TargetMode="External"/><Relationship Id="rId90" Type="http://schemas.openxmlformats.org/officeDocument/2006/relationships/hyperlink" Target="mailto:pittijoseline0@gmail.com" TargetMode="External"/><Relationship Id="rId95" Type="http://schemas.openxmlformats.org/officeDocument/2006/relationships/hyperlink" Target="mailto:xiniacruz1529@gmail.com" TargetMode="External"/><Relationship Id="rId22" Type="http://schemas.openxmlformats.org/officeDocument/2006/relationships/hyperlink" Target="mailto:nidulymp24@gmail.com" TargetMode="External"/><Relationship Id="rId27" Type="http://schemas.openxmlformats.org/officeDocument/2006/relationships/hyperlink" Target="mailto:moss.catarina@gmail.com" TargetMode="External"/><Relationship Id="rId43" Type="http://schemas.openxmlformats.org/officeDocument/2006/relationships/hyperlink" Target="mailto:multiservicios.vidralum@gmail.com" TargetMode="External"/><Relationship Id="rId48" Type="http://schemas.openxmlformats.org/officeDocument/2006/relationships/hyperlink" Target="mailto:ventas@srgsoluciones.com" TargetMode="External"/><Relationship Id="rId64" Type="http://schemas.openxmlformats.org/officeDocument/2006/relationships/hyperlink" Target="mailto:vargasruben1987@gmail.com" TargetMode="External"/><Relationship Id="rId69" Type="http://schemas.openxmlformats.org/officeDocument/2006/relationships/hyperlink" Target="mailto:chintoiv08@gmail.com" TargetMode="External"/><Relationship Id="rId113" Type="http://schemas.openxmlformats.org/officeDocument/2006/relationships/hyperlink" Target="mailto:jorgeluisreyesgodoy@gmail.com" TargetMode="External"/><Relationship Id="rId118" Type="http://schemas.openxmlformats.org/officeDocument/2006/relationships/hyperlink" Target="mailto:eduardomiranda072010@hotmail.com" TargetMode="External"/><Relationship Id="rId80" Type="http://schemas.openxmlformats.org/officeDocument/2006/relationships/hyperlink" Target="mailto:risaquintero12022009@gmail.com" TargetMode="External"/><Relationship Id="rId85" Type="http://schemas.openxmlformats.org/officeDocument/2006/relationships/hyperlink" Target="mailto:BELSYGUERRA01@GMAIL.COM" TargetMode="External"/><Relationship Id="rId12" Type="http://schemas.openxmlformats.org/officeDocument/2006/relationships/hyperlink" Target="mailto:ascopias26@gmail.com" TargetMode="External"/><Relationship Id="rId17" Type="http://schemas.openxmlformats.org/officeDocument/2006/relationships/hyperlink" Target="mailto:justavinoana2@gmail.com" TargetMode="External"/><Relationship Id="rId33" Type="http://schemas.openxmlformats.org/officeDocument/2006/relationships/hyperlink" Target="mailto:mirandatransp@hotmail.com" TargetMode="External"/><Relationship Id="rId38" Type="http://schemas.openxmlformats.org/officeDocument/2006/relationships/hyperlink" Target="mailto:caballeroyaravis362@gmail.com" TargetMode="External"/><Relationship Id="rId59" Type="http://schemas.openxmlformats.org/officeDocument/2006/relationships/hyperlink" Target="mailto:jbarrazaserrano@gmail.com" TargetMode="External"/><Relationship Id="rId103" Type="http://schemas.openxmlformats.org/officeDocument/2006/relationships/hyperlink" Target="mailto:marthamont18@hotmail.com" TargetMode="External"/><Relationship Id="rId108" Type="http://schemas.openxmlformats.org/officeDocument/2006/relationships/hyperlink" Target="mailto:yarlindiaz069@gmail.com" TargetMode="External"/><Relationship Id="rId124" Type="http://schemas.openxmlformats.org/officeDocument/2006/relationships/table" Target="../tables/table2.xml"/><Relationship Id="rId54" Type="http://schemas.openxmlformats.org/officeDocument/2006/relationships/hyperlink" Target="mailto:autogaragepro2025@gmail.com" TargetMode="External"/><Relationship Id="rId70" Type="http://schemas.openxmlformats.org/officeDocument/2006/relationships/hyperlink" Target="mailto:tallerkoki1969@gmail.com" TargetMode="External"/><Relationship Id="rId75" Type="http://schemas.openxmlformats.org/officeDocument/2006/relationships/hyperlink" Target="mailto:zulmaguerra0707@yahoo.com" TargetMode="External"/><Relationship Id="rId91" Type="http://schemas.openxmlformats.org/officeDocument/2006/relationships/hyperlink" Target="mailto:YEIMI578@GMAIL.COM" TargetMode="External"/><Relationship Id="rId96" Type="http://schemas.openxmlformats.org/officeDocument/2006/relationships/hyperlink" Target="mailto:jusseff2005@gmail.com" TargetMode="External"/><Relationship Id="rId1" Type="http://schemas.openxmlformats.org/officeDocument/2006/relationships/hyperlink" Target="mailto:am01021421@gmail.com" TargetMode="External"/><Relationship Id="rId6" Type="http://schemas.openxmlformats.org/officeDocument/2006/relationships/hyperlink" Target="mailto:luis23-@hotmail.com" TargetMode="External"/><Relationship Id="rId23" Type="http://schemas.openxmlformats.org/officeDocument/2006/relationships/hyperlink" Target="mailto:ECD,SANANTONIOLM@GMAIL.COM" TargetMode="External"/><Relationship Id="rId28" Type="http://schemas.openxmlformats.org/officeDocument/2006/relationships/hyperlink" Target="mailto:jorgel020576@gmail.com" TargetMode="External"/><Relationship Id="rId49" Type="http://schemas.openxmlformats.org/officeDocument/2006/relationships/hyperlink" Target="mailto:laboratorioeconodisel@gmail.com" TargetMode="External"/><Relationship Id="rId114" Type="http://schemas.openxmlformats.org/officeDocument/2006/relationships/hyperlink" Target="mailto:nerhyle@gmail.com" TargetMode="External"/><Relationship Id="rId119" Type="http://schemas.openxmlformats.org/officeDocument/2006/relationships/hyperlink" Target="mailto:erickrolandosianca@gmail.com" TargetMode="External"/><Relationship Id="rId44" Type="http://schemas.openxmlformats.org/officeDocument/2006/relationships/hyperlink" Target="mailto:simeolorenzo@gmail.com" TargetMode="External"/><Relationship Id="rId60" Type="http://schemas.openxmlformats.org/officeDocument/2006/relationships/hyperlink" Target="mailto:castillodg.oneliam@gmail.com" TargetMode="External"/><Relationship Id="rId65" Type="http://schemas.openxmlformats.org/officeDocument/2006/relationships/hyperlink" Target="mailto:stwartcarlos@gmail.com" TargetMode="External"/><Relationship Id="rId81" Type="http://schemas.openxmlformats.org/officeDocument/2006/relationships/hyperlink" Target="mailto:sujeidi2083@gmail.com" TargetMode="External"/><Relationship Id="rId86" Type="http://schemas.openxmlformats.org/officeDocument/2006/relationships/hyperlink" Target="mailto:roderick.tedman@gmail.com" TargetMode="External"/><Relationship Id="rId4" Type="http://schemas.openxmlformats.org/officeDocument/2006/relationships/hyperlink" Target="mailto:alexisjustavino9@gmail.com" TargetMode="External"/><Relationship Id="rId9" Type="http://schemas.openxmlformats.org/officeDocument/2006/relationships/hyperlink" Target="mailto:multiproventa@gmail.com" TargetMode="External"/><Relationship Id="rId13" Type="http://schemas.openxmlformats.org/officeDocument/2006/relationships/hyperlink" Target="mailto:odelis1073@hotmail.com" TargetMode="External"/><Relationship Id="rId18" Type="http://schemas.openxmlformats.org/officeDocument/2006/relationships/hyperlink" Target="mailto:yarelisalexandraf@gmail.com" TargetMode="External"/><Relationship Id="rId39" Type="http://schemas.openxmlformats.org/officeDocument/2006/relationships/hyperlink" Target="mailto:chapisteriagaitan@gmail.com" TargetMode="External"/><Relationship Id="rId109" Type="http://schemas.openxmlformats.org/officeDocument/2006/relationships/hyperlink" Target="mailto:chaguitoanderson@gmail.com" TargetMode="External"/><Relationship Id="rId34" Type="http://schemas.openxmlformats.org/officeDocument/2006/relationships/hyperlink" Target="mailto:mercadeo@feriadeboquete.com" TargetMode="External"/><Relationship Id="rId50" Type="http://schemas.openxmlformats.org/officeDocument/2006/relationships/hyperlink" Target="mailto:contrucyequipo3m@hotmail.com" TargetMode="External"/><Relationship Id="rId55" Type="http://schemas.openxmlformats.org/officeDocument/2006/relationships/hyperlink" Target="mailto:melquis21valdes@gmail.com" TargetMode="External"/><Relationship Id="rId76" Type="http://schemas.openxmlformats.org/officeDocument/2006/relationships/hyperlink" Target="mailto:gidcarmen@hotmail.com" TargetMode="External"/><Relationship Id="rId97" Type="http://schemas.openxmlformats.org/officeDocument/2006/relationships/hyperlink" Target="mailto:noemisanchez1976@gmail.com" TargetMode="External"/><Relationship Id="rId104" Type="http://schemas.openxmlformats.org/officeDocument/2006/relationships/hyperlink" Target="mailto:eliphasmorales@hotmail.com" TargetMode="External"/><Relationship Id="rId120" Type="http://schemas.openxmlformats.org/officeDocument/2006/relationships/hyperlink" Target="mailto:danielleonmirian25@gmail.com" TargetMode="External"/><Relationship Id="rId7" Type="http://schemas.openxmlformats.org/officeDocument/2006/relationships/hyperlink" Target="mailto:shadaica704@gmail.com" TargetMode="External"/><Relationship Id="rId71" Type="http://schemas.openxmlformats.org/officeDocument/2006/relationships/hyperlink" Target="mailto:arielmomontezuma774@gmail.com" TargetMode="External"/><Relationship Id="rId92" Type="http://schemas.openxmlformats.org/officeDocument/2006/relationships/hyperlink" Target="mailto:jorgecubi1316@gmail.com" TargetMode="External"/><Relationship Id="rId2" Type="http://schemas.openxmlformats.org/officeDocument/2006/relationships/hyperlink" Target="mailto:jennifersoniasantos@gmail.com" TargetMode="External"/><Relationship Id="rId29" Type="http://schemas.openxmlformats.org/officeDocument/2006/relationships/hyperlink" Target="mailto:healthypetdavid@gmail.com" TargetMode="External"/><Relationship Id="rId24" Type="http://schemas.openxmlformats.org/officeDocument/2006/relationships/hyperlink" Target="mailto:nuviadegonzalez1970@gmail.com" TargetMode="External"/><Relationship Id="rId40" Type="http://schemas.openxmlformats.org/officeDocument/2006/relationships/hyperlink" Target="mailto:ashannais99@gmail.com" TargetMode="External"/><Relationship Id="rId45" Type="http://schemas.openxmlformats.org/officeDocument/2006/relationships/hyperlink" Target="mailto:jorlusaca67@gmail.com" TargetMode="External"/><Relationship Id="rId66" Type="http://schemas.openxmlformats.org/officeDocument/2006/relationships/hyperlink" Target="mailto:mrorie735@gmail.com" TargetMode="External"/><Relationship Id="rId87" Type="http://schemas.openxmlformats.org/officeDocument/2006/relationships/hyperlink" Target="mailto:montezumaanaleyda@gmail.com" TargetMode="External"/><Relationship Id="rId110" Type="http://schemas.openxmlformats.org/officeDocument/2006/relationships/hyperlink" Target="mailto:raulgonzalo1975@gmail.com" TargetMode="External"/><Relationship Id="rId115" Type="http://schemas.openxmlformats.org/officeDocument/2006/relationships/hyperlink" Target="mailto:JON0817@HOTMAIL.COM" TargetMode="External"/><Relationship Id="rId61" Type="http://schemas.openxmlformats.org/officeDocument/2006/relationships/hyperlink" Target="mailto:oellington735@gmail.com" TargetMode="External"/><Relationship Id="rId82" Type="http://schemas.openxmlformats.org/officeDocument/2006/relationships/hyperlink" Target="mailto:ividecsa@hotmail.com" TargetMode="External"/><Relationship Id="rId19" Type="http://schemas.openxmlformats.org/officeDocument/2006/relationships/hyperlink" Target="mailto:c4latinbeats@gmail.com" TargetMode="External"/><Relationship Id="rId14" Type="http://schemas.openxmlformats.org/officeDocument/2006/relationships/hyperlink" Target="mailto:ejqgliz@gmail.com" TargetMode="External"/><Relationship Id="rId30" Type="http://schemas.openxmlformats.org/officeDocument/2006/relationships/hyperlink" Target="mailto:secretaria@parscomputer.com" TargetMode="External"/><Relationship Id="rId35" Type="http://schemas.openxmlformats.org/officeDocument/2006/relationships/hyperlink" Target="mailto:rafaelg8614@gmail.com" TargetMode="External"/><Relationship Id="rId56" Type="http://schemas.openxmlformats.org/officeDocument/2006/relationships/hyperlink" Target="mailto:mrmendozacarrental@gmail.com" TargetMode="External"/><Relationship Id="rId77" Type="http://schemas.openxmlformats.org/officeDocument/2006/relationships/hyperlink" Target="mailto:servitalleragricola@gmail.com" TargetMode="External"/><Relationship Id="rId100" Type="http://schemas.openxmlformats.org/officeDocument/2006/relationships/hyperlink" Target="mailto:gruber@duck.com" TargetMode="External"/><Relationship Id="rId105" Type="http://schemas.openxmlformats.org/officeDocument/2006/relationships/hyperlink" Target="mailto:transporteguarumal07@gmail.com" TargetMode="External"/><Relationship Id="rId8" Type="http://schemas.openxmlformats.org/officeDocument/2006/relationships/hyperlink" Target="mailto:geronimovaldez1112@hotmail.com" TargetMode="External"/><Relationship Id="rId51" Type="http://schemas.openxmlformats.org/officeDocument/2006/relationships/hyperlink" Target="mailto:gosselvin18@gmail.com" TargetMode="External"/><Relationship Id="rId72" Type="http://schemas.openxmlformats.org/officeDocument/2006/relationships/hyperlink" Target="mailto:latidos57@gmail.com" TargetMode="External"/><Relationship Id="rId93" Type="http://schemas.openxmlformats.org/officeDocument/2006/relationships/hyperlink" Target="mailto:anabonita1704@hotmail.com" TargetMode="External"/><Relationship Id="rId98" Type="http://schemas.openxmlformats.org/officeDocument/2006/relationships/hyperlink" Target="mailto:franciscojuradov07@gmail.com" TargetMode="External"/><Relationship Id="rId121" Type="http://schemas.openxmlformats.org/officeDocument/2006/relationships/hyperlink" Target="mailto:oldanispitti296@gmail.com" TargetMode="External"/><Relationship Id="rId3" Type="http://schemas.openxmlformats.org/officeDocument/2006/relationships/hyperlink" Target="mailto:shekinahgroup786@gmail.com" TargetMode="External"/><Relationship Id="rId25" Type="http://schemas.openxmlformats.org/officeDocument/2006/relationships/hyperlink" Target="mailto:rodriguezdayelis280@gmail.com" TargetMode="External"/><Relationship Id="rId46" Type="http://schemas.openxmlformats.org/officeDocument/2006/relationships/hyperlink" Target="mailto:aruzg04@gmail.com" TargetMode="External"/><Relationship Id="rId67" Type="http://schemas.openxmlformats.org/officeDocument/2006/relationships/hyperlink" Target="mailto:browntamara45@gmail.com" TargetMode="External"/><Relationship Id="rId116" Type="http://schemas.openxmlformats.org/officeDocument/2006/relationships/hyperlink" Target="mailto:yuraisma@gmail.com" TargetMode="External"/><Relationship Id="rId20" Type="http://schemas.openxmlformats.org/officeDocument/2006/relationships/hyperlink" Target="mailto:eliphasmorales@hotmail.com" TargetMode="External"/><Relationship Id="rId41" Type="http://schemas.openxmlformats.org/officeDocument/2006/relationships/hyperlink" Target="mailto:fmigdalian@gmail.com" TargetMode="External"/><Relationship Id="rId62" Type="http://schemas.openxmlformats.org/officeDocument/2006/relationships/hyperlink" Target="mailto:baltazarcabreralopez601@gmail.com" TargetMode="External"/><Relationship Id="rId83" Type="http://schemas.openxmlformats.org/officeDocument/2006/relationships/hyperlink" Target="mailto:gerencia@subastaganadera.com" TargetMode="External"/><Relationship Id="rId88" Type="http://schemas.openxmlformats.org/officeDocument/2006/relationships/hyperlink" Target="mailto:oipereztecnyservices@gmail.com" TargetMode="External"/><Relationship Id="rId111" Type="http://schemas.openxmlformats.org/officeDocument/2006/relationships/hyperlink" Target="mailto:karolcianca@gmail.com" TargetMode="External"/><Relationship Id="rId15" Type="http://schemas.openxmlformats.org/officeDocument/2006/relationships/hyperlink" Target="mailto:maribelarauz7@gmail.com" TargetMode="External"/><Relationship Id="rId36" Type="http://schemas.openxmlformats.org/officeDocument/2006/relationships/hyperlink" Target="mailto:magalisayala@gmail.com" TargetMode="External"/><Relationship Id="rId57" Type="http://schemas.openxmlformats.org/officeDocument/2006/relationships/hyperlink" Target="mailto:mejiaveronica193131@gmail.com" TargetMode="External"/><Relationship Id="rId106" Type="http://schemas.openxmlformats.org/officeDocument/2006/relationships/hyperlink" Target="mailto:meayleen28@hotmail.com" TargetMode="External"/><Relationship Id="rId10" Type="http://schemas.openxmlformats.org/officeDocument/2006/relationships/hyperlink" Target="mailto:cedenoalexi2308@gmail.com" TargetMode="External"/><Relationship Id="rId31" Type="http://schemas.openxmlformats.org/officeDocument/2006/relationships/hyperlink" Target="mailto:guerrakaviria@gmail.com" TargetMode="External"/><Relationship Id="rId52" Type="http://schemas.openxmlformats.org/officeDocument/2006/relationships/hyperlink" Target="mailto:cafejavajuice7@gmail.com" TargetMode="External"/><Relationship Id="rId73" Type="http://schemas.openxmlformats.org/officeDocument/2006/relationships/hyperlink" Target="mailto:candanedoricardo@gmail.com" TargetMode="External"/><Relationship Id="rId78" Type="http://schemas.openxmlformats.org/officeDocument/2006/relationships/hyperlink" Target="mailto:indira.anaika@hotmail.com" TargetMode="External"/><Relationship Id="rId94" Type="http://schemas.openxmlformats.org/officeDocument/2006/relationships/hyperlink" Target="mailto:sandramilenaquinterovilla0821@gmail.com" TargetMode="External"/><Relationship Id="rId99" Type="http://schemas.openxmlformats.org/officeDocument/2006/relationships/hyperlink" Target="mailto:carolinacastrellon29@gmail.com" TargetMode="External"/><Relationship Id="rId101" Type="http://schemas.openxmlformats.org/officeDocument/2006/relationships/hyperlink" Target="mailto:gaby27mr16@gmail.com" TargetMode="External"/><Relationship Id="rId122" Type="http://schemas.openxmlformats.org/officeDocument/2006/relationships/hyperlink" Target="mailto:moralesmoralesabogados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D14" sqref="D14"/>
    </sheetView>
  </sheetViews>
  <sheetFormatPr defaultColWidth="11.42578125" defaultRowHeight="15"/>
  <cols>
    <col min="1" max="1" width="27.42578125" customWidth="1"/>
  </cols>
  <sheetData>
    <row r="1" spans="1:5">
      <c r="A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4</v>
      </c>
    </row>
    <row r="6" spans="1:5">
      <c r="A6" t="s">
        <v>5</v>
      </c>
    </row>
    <row r="7" spans="1:5">
      <c r="A7" t="s">
        <v>6</v>
      </c>
    </row>
    <row r="8" spans="1:5">
      <c r="A8" t="s">
        <v>7</v>
      </c>
    </row>
    <row r="9" spans="1:5">
      <c r="A9" t="s">
        <v>8</v>
      </c>
    </row>
    <row r="10" spans="1:5">
      <c r="A10" t="s">
        <v>9</v>
      </c>
    </row>
    <row r="11" spans="1:5">
      <c r="A11" t="s">
        <v>10</v>
      </c>
    </row>
    <row r="14" spans="1:5">
      <c r="E14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68"/>
  <sheetViews>
    <sheetView workbookViewId="0"/>
  </sheetViews>
  <sheetFormatPr defaultColWidth="11.42578125" defaultRowHeight="15"/>
  <sheetData>
    <row r="1" spans="1:5" ht="30">
      <c r="A1" s="66" t="s">
        <v>12</v>
      </c>
      <c r="B1" s="42"/>
      <c r="C1" s="63" t="s">
        <v>13</v>
      </c>
      <c r="D1" s="62"/>
      <c r="E1" s="64">
        <v>64728992</v>
      </c>
    </row>
    <row r="2" spans="1:5" ht="30">
      <c r="A2" s="68" t="s">
        <v>12</v>
      </c>
      <c r="B2" s="69"/>
      <c r="C2" s="70" t="s">
        <v>14</v>
      </c>
      <c r="D2" s="71"/>
      <c r="E2" s="72">
        <v>65467904</v>
      </c>
    </row>
    <row r="3" spans="1:5" ht="30">
      <c r="A3" s="66" t="s">
        <v>12</v>
      </c>
      <c r="B3" s="42"/>
      <c r="C3" s="63" t="s">
        <v>15</v>
      </c>
      <c r="D3" s="62"/>
      <c r="E3" s="64">
        <v>65867202</v>
      </c>
    </row>
    <row r="4" spans="1:5" ht="30">
      <c r="A4" s="68" t="s">
        <v>12</v>
      </c>
      <c r="B4" s="69"/>
      <c r="C4" s="70" t="s">
        <v>16</v>
      </c>
      <c r="D4" s="71"/>
      <c r="E4" s="72">
        <v>62494147</v>
      </c>
    </row>
    <row r="5" spans="1:5" ht="30">
      <c r="A5" s="66" t="s">
        <v>12</v>
      </c>
      <c r="B5" s="42"/>
      <c r="C5" s="63" t="s">
        <v>17</v>
      </c>
      <c r="D5" s="62"/>
      <c r="E5" s="64">
        <v>64217218</v>
      </c>
    </row>
    <row r="6" spans="1:5" ht="30">
      <c r="A6" s="68" t="s">
        <v>12</v>
      </c>
      <c r="B6" s="69"/>
      <c r="C6" s="70" t="s">
        <v>18</v>
      </c>
      <c r="D6" s="71"/>
      <c r="E6" s="72">
        <v>64284378</v>
      </c>
    </row>
    <row r="7" spans="1:5" ht="30">
      <c r="A7" s="66" t="s">
        <v>12</v>
      </c>
      <c r="B7" s="42"/>
      <c r="C7" s="63" t="s">
        <v>19</v>
      </c>
      <c r="D7" s="62"/>
      <c r="E7" s="64">
        <v>7756849</v>
      </c>
    </row>
    <row r="8" spans="1:5" ht="30">
      <c r="A8" s="68" t="s">
        <v>12</v>
      </c>
      <c r="B8" s="69"/>
      <c r="C8" s="70" t="s">
        <v>20</v>
      </c>
      <c r="D8" s="71"/>
      <c r="E8" s="72">
        <v>66221649</v>
      </c>
    </row>
    <row r="9" spans="1:5" ht="30">
      <c r="A9" s="66" t="s">
        <v>12</v>
      </c>
      <c r="B9" s="42"/>
      <c r="C9" s="63" t="s">
        <v>21</v>
      </c>
      <c r="D9" s="62"/>
      <c r="E9" s="64">
        <v>64002910</v>
      </c>
    </row>
    <row r="10" spans="1:5" ht="30">
      <c r="A10" s="68" t="s">
        <v>12</v>
      </c>
      <c r="B10" s="69"/>
      <c r="C10" s="70" t="s">
        <v>22</v>
      </c>
      <c r="D10" s="71"/>
      <c r="E10" s="72">
        <v>67347086</v>
      </c>
    </row>
    <row r="11" spans="1:5" ht="30">
      <c r="A11" s="66" t="s">
        <v>12</v>
      </c>
      <c r="B11" s="42"/>
      <c r="C11" s="63" t="s">
        <v>23</v>
      </c>
      <c r="D11" s="62"/>
      <c r="E11" s="64">
        <v>67890276</v>
      </c>
    </row>
    <row r="12" spans="1:5" ht="30">
      <c r="A12" s="68" t="s">
        <v>12</v>
      </c>
      <c r="B12" s="69"/>
      <c r="C12" s="70" t="s">
        <v>24</v>
      </c>
      <c r="D12" s="71"/>
      <c r="E12" s="72">
        <v>69463180</v>
      </c>
    </row>
    <row r="13" spans="1:5" ht="30">
      <c r="A13" s="66" t="s">
        <v>12</v>
      </c>
      <c r="B13" s="42"/>
      <c r="C13" s="63" t="s">
        <v>25</v>
      </c>
      <c r="D13" s="62"/>
      <c r="E13" s="64">
        <v>68025745</v>
      </c>
    </row>
    <row r="14" spans="1:5" ht="30">
      <c r="A14" s="68" t="s">
        <v>12</v>
      </c>
      <c r="B14" s="69"/>
      <c r="C14" s="70" t="s">
        <v>26</v>
      </c>
      <c r="D14" s="71"/>
      <c r="E14" s="72">
        <v>62706227</v>
      </c>
    </row>
    <row r="15" spans="1:5" ht="30">
      <c r="A15" s="66" t="s">
        <v>12</v>
      </c>
      <c r="B15" s="42"/>
      <c r="C15" s="63" t="s">
        <v>27</v>
      </c>
      <c r="D15" s="62"/>
      <c r="E15" s="64">
        <v>60331992</v>
      </c>
    </row>
    <row r="16" spans="1:5" ht="30">
      <c r="A16" s="68" t="s">
        <v>12</v>
      </c>
      <c r="B16" s="69"/>
      <c r="C16" s="70" t="s">
        <v>28</v>
      </c>
      <c r="D16" s="71"/>
      <c r="E16" s="72">
        <v>60581179</v>
      </c>
    </row>
    <row r="17" spans="1:5" ht="30">
      <c r="A17" s="66" t="s">
        <v>12</v>
      </c>
      <c r="B17" s="42"/>
      <c r="C17" s="63" t="s">
        <v>29</v>
      </c>
      <c r="D17" s="62"/>
      <c r="E17" s="64">
        <v>7871997</v>
      </c>
    </row>
    <row r="18" spans="1:5" ht="30">
      <c r="A18" s="68" t="s">
        <v>12</v>
      </c>
      <c r="B18" s="69"/>
      <c r="C18" s="70" t="s">
        <v>30</v>
      </c>
      <c r="D18" s="71"/>
      <c r="E18" s="72">
        <v>62407921</v>
      </c>
    </row>
    <row r="19" spans="1:5" ht="30">
      <c r="A19" s="66" t="s">
        <v>12</v>
      </c>
      <c r="B19" s="42"/>
      <c r="C19" s="63" t="s">
        <v>31</v>
      </c>
      <c r="D19" s="62"/>
      <c r="E19" s="64">
        <v>63438357</v>
      </c>
    </row>
    <row r="20" spans="1:5" ht="30">
      <c r="A20" s="68" t="s">
        <v>12</v>
      </c>
      <c r="B20" s="69"/>
      <c r="C20" s="70" t="s">
        <v>32</v>
      </c>
      <c r="D20" s="71"/>
      <c r="E20" s="72">
        <v>7214011</v>
      </c>
    </row>
    <row r="21" spans="1:5" ht="30">
      <c r="A21" s="66" t="s">
        <v>12</v>
      </c>
      <c r="B21" s="42"/>
      <c r="C21" s="63" t="s">
        <v>33</v>
      </c>
      <c r="D21" s="62"/>
      <c r="E21" s="64">
        <v>63511676</v>
      </c>
    </row>
    <row r="22" spans="1:5" ht="30">
      <c r="A22" s="68" t="s">
        <v>12</v>
      </c>
      <c r="B22" s="69"/>
      <c r="C22" s="70" t="s">
        <v>34</v>
      </c>
      <c r="D22" s="71"/>
      <c r="E22" s="72">
        <v>68317627</v>
      </c>
    </row>
    <row r="23" spans="1:5" ht="30">
      <c r="A23" s="66" t="s">
        <v>12</v>
      </c>
      <c r="B23" s="42"/>
      <c r="C23" s="63" t="s">
        <v>35</v>
      </c>
      <c r="D23" s="62"/>
      <c r="E23" s="64">
        <v>62240942</v>
      </c>
    </row>
    <row r="24" spans="1:5" ht="30">
      <c r="A24" s="68" t="s">
        <v>12</v>
      </c>
      <c r="B24" s="69"/>
      <c r="C24" s="70" t="s">
        <v>36</v>
      </c>
      <c r="D24" s="71"/>
      <c r="E24" s="72">
        <v>7756223</v>
      </c>
    </row>
    <row r="25" spans="1:5" ht="30">
      <c r="A25" s="66" t="s">
        <v>12</v>
      </c>
      <c r="B25" s="42"/>
      <c r="C25" s="63" t="s">
        <v>37</v>
      </c>
      <c r="D25" s="62"/>
      <c r="E25" s="64">
        <v>65609160</v>
      </c>
    </row>
    <row r="26" spans="1:5" ht="30">
      <c r="A26" s="68" t="s">
        <v>12</v>
      </c>
      <c r="B26" s="69"/>
      <c r="C26" s="70" t="s">
        <v>38</v>
      </c>
      <c r="D26" s="71"/>
      <c r="E26" s="72">
        <v>67059161</v>
      </c>
    </row>
    <row r="27" spans="1:5" ht="30">
      <c r="A27" s="66" t="s">
        <v>12</v>
      </c>
      <c r="B27" s="42"/>
      <c r="C27" s="63" t="s">
        <v>39</v>
      </c>
      <c r="D27" s="62"/>
      <c r="E27" s="64">
        <v>64365821</v>
      </c>
    </row>
    <row r="28" spans="1:5" ht="30">
      <c r="A28" s="68" t="s">
        <v>12</v>
      </c>
      <c r="B28" s="69"/>
      <c r="C28" s="70" t="s">
        <v>40</v>
      </c>
      <c r="D28" s="71"/>
      <c r="E28" s="72">
        <v>69357202</v>
      </c>
    </row>
    <row r="29" spans="1:5" ht="30">
      <c r="A29" s="66" t="s">
        <v>12</v>
      </c>
      <c r="B29" s="42"/>
      <c r="C29" s="63" t="s">
        <v>41</v>
      </c>
      <c r="D29" s="62"/>
      <c r="E29" s="64">
        <v>6318643</v>
      </c>
    </row>
    <row r="30" spans="1:5" ht="30">
      <c r="A30" s="68" t="s">
        <v>12</v>
      </c>
      <c r="B30" s="69"/>
      <c r="C30" s="70" t="s">
        <v>42</v>
      </c>
      <c r="D30" s="71"/>
      <c r="E30" s="72">
        <v>67146420</v>
      </c>
    </row>
    <row r="31" spans="1:5" ht="30">
      <c r="A31" s="66" t="s">
        <v>12</v>
      </c>
      <c r="B31" s="42"/>
      <c r="C31" s="63" t="s">
        <v>43</v>
      </c>
      <c r="D31" s="62"/>
      <c r="E31" s="64">
        <v>64369908</v>
      </c>
    </row>
    <row r="32" spans="1:5" ht="30">
      <c r="A32" s="68" t="s">
        <v>12</v>
      </c>
      <c r="B32" s="69"/>
      <c r="C32" s="70" t="s">
        <v>44</v>
      </c>
      <c r="D32" s="71"/>
      <c r="E32" s="72">
        <v>65702749</v>
      </c>
    </row>
    <row r="33" spans="1:5" ht="30">
      <c r="A33" s="66" t="s">
        <v>12</v>
      </c>
      <c r="B33" s="42"/>
      <c r="C33" s="63" t="s">
        <v>45</v>
      </c>
      <c r="D33" s="62"/>
      <c r="E33" s="64">
        <v>64845515</v>
      </c>
    </row>
    <row r="34" spans="1:5" ht="30">
      <c r="A34" s="68" t="s">
        <v>12</v>
      </c>
      <c r="B34" s="69"/>
      <c r="C34" s="70" t="s">
        <v>46</v>
      </c>
      <c r="D34" s="71"/>
      <c r="E34" s="72">
        <v>69380847</v>
      </c>
    </row>
    <row r="35" spans="1:5" ht="30">
      <c r="A35" s="66" t="s">
        <v>12</v>
      </c>
      <c r="B35" s="42"/>
      <c r="C35" s="63" t="s">
        <v>47</v>
      </c>
      <c r="D35" s="62"/>
      <c r="E35" s="64">
        <v>64298968</v>
      </c>
    </row>
    <row r="36" spans="1:5" ht="30">
      <c r="A36" s="68" t="s">
        <v>12</v>
      </c>
      <c r="B36" s="69"/>
      <c r="C36" s="70" t="s">
        <v>48</v>
      </c>
      <c r="D36" s="71"/>
      <c r="E36" s="72">
        <v>63921742</v>
      </c>
    </row>
    <row r="37" spans="1:5" ht="30">
      <c r="A37" s="66" t="s">
        <v>12</v>
      </c>
      <c r="B37" s="42"/>
      <c r="C37" s="63" t="s">
        <v>49</v>
      </c>
      <c r="D37" s="62"/>
      <c r="E37" s="64">
        <v>63287133</v>
      </c>
    </row>
    <row r="38" spans="1:5" ht="30">
      <c r="A38" s="68" t="s">
        <v>12</v>
      </c>
      <c r="B38" s="69"/>
      <c r="C38" s="70" t="s">
        <v>50</v>
      </c>
      <c r="D38" s="71"/>
      <c r="E38" s="72">
        <v>64675444</v>
      </c>
    </row>
    <row r="39" spans="1:5" ht="30">
      <c r="A39" s="66" t="s">
        <v>12</v>
      </c>
      <c r="B39" s="42"/>
      <c r="C39" s="63" t="s">
        <v>51</v>
      </c>
      <c r="D39" s="62"/>
      <c r="E39" s="64">
        <v>63658726</v>
      </c>
    </row>
    <row r="40" spans="1:5" ht="30">
      <c r="A40" s="68" t="s">
        <v>12</v>
      </c>
      <c r="B40" s="69"/>
      <c r="C40" s="70" t="s">
        <v>52</v>
      </c>
      <c r="D40" s="71"/>
      <c r="E40" s="72">
        <v>65908605</v>
      </c>
    </row>
    <row r="41" spans="1:5" ht="30">
      <c r="A41" s="66" t="s">
        <v>12</v>
      </c>
      <c r="B41" s="42"/>
      <c r="C41" s="63" t="s">
        <v>53</v>
      </c>
      <c r="D41" s="62"/>
      <c r="E41" s="64">
        <v>62159538</v>
      </c>
    </row>
    <row r="42" spans="1:5" ht="30">
      <c r="A42" s="68" t="s">
        <v>12</v>
      </c>
      <c r="B42" s="69"/>
      <c r="C42" s="70" t="s">
        <v>54</v>
      </c>
      <c r="D42" s="71"/>
      <c r="E42" s="72">
        <v>62839290</v>
      </c>
    </row>
    <row r="43" spans="1:5" ht="30">
      <c r="A43" s="66" t="s">
        <v>12</v>
      </c>
      <c r="B43" s="42"/>
      <c r="C43" s="63" t="s">
        <v>55</v>
      </c>
      <c r="D43" s="62"/>
      <c r="E43" s="64">
        <v>69800528</v>
      </c>
    </row>
    <row r="44" spans="1:5" ht="30">
      <c r="A44" s="68" t="s">
        <v>12</v>
      </c>
      <c r="B44" s="69"/>
      <c r="C44" s="70" t="s">
        <v>56</v>
      </c>
      <c r="D44" s="71"/>
      <c r="E44" s="72">
        <v>66507635</v>
      </c>
    </row>
    <row r="45" spans="1:5" ht="30">
      <c r="A45" s="66" t="s">
        <v>12</v>
      </c>
      <c r="B45" s="42"/>
      <c r="C45" s="63" t="s">
        <v>57</v>
      </c>
      <c r="D45" s="62"/>
      <c r="E45" s="64">
        <v>66540170</v>
      </c>
    </row>
    <row r="46" spans="1:5" ht="30">
      <c r="A46" s="68" t="s">
        <v>12</v>
      </c>
      <c r="B46" s="69"/>
      <c r="C46" s="70" t="s">
        <v>58</v>
      </c>
      <c r="D46" s="71"/>
      <c r="E46" s="72">
        <v>64335801</v>
      </c>
    </row>
    <row r="47" spans="1:5" ht="30">
      <c r="A47" s="66" t="s">
        <v>12</v>
      </c>
      <c r="B47" s="42"/>
      <c r="C47" s="63" t="s">
        <v>59</v>
      </c>
      <c r="D47" s="62"/>
      <c r="E47" s="64">
        <v>63121063</v>
      </c>
    </row>
    <row r="48" spans="1:5" ht="30">
      <c r="A48" s="68" t="s">
        <v>12</v>
      </c>
      <c r="B48" s="69"/>
      <c r="C48" s="70" t="s">
        <v>60</v>
      </c>
      <c r="D48" s="71"/>
      <c r="E48" s="72">
        <v>63986389</v>
      </c>
    </row>
    <row r="49" spans="1:5" ht="30">
      <c r="A49" s="66" t="s">
        <v>12</v>
      </c>
      <c r="B49" s="42"/>
      <c r="C49" s="63" t="s">
        <v>61</v>
      </c>
      <c r="D49" s="62"/>
      <c r="E49" s="64">
        <v>67513557</v>
      </c>
    </row>
    <row r="50" spans="1:5" ht="30">
      <c r="A50" s="68" t="s">
        <v>12</v>
      </c>
      <c r="B50" s="69"/>
      <c r="C50" s="70" t="s">
        <v>62</v>
      </c>
      <c r="D50" s="71"/>
      <c r="E50" s="72">
        <v>67138073</v>
      </c>
    </row>
    <row r="51" spans="1:5" ht="30">
      <c r="A51" s="66" t="s">
        <v>12</v>
      </c>
      <c r="B51" s="42"/>
      <c r="C51" s="63" t="s">
        <v>63</v>
      </c>
      <c r="D51" s="62"/>
      <c r="E51" s="64">
        <v>62762057</v>
      </c>
    </row>
    <row r="52" spans="1:5" ht="30">
      <c r="A52" s="68" t="s">
        <v>12</v>
      </c>
      <c r="B52" s="69"/>
      <c r="C52" s="70" t="s">
        <v>64</v>
      </c>
      <c r="D52" s="71"/>
      <c r="E52" s="72">
        <v>64494323</v>
      </c>
    </row>
    <row r="53" spans="1:5" ht="30">
      <c r="A53" s="66" t="s">
        <v>12</v>
      </c>
      <c r="B53" s="42"/>
      <c r="C53" s="63" t="s">
        <v>65</v>
      </c>
      <c r="D53" s="62"/>
      <c r="E53" s="64">
        <v>67042092</v>
      </c>
    </row>
    <row r="54" spans="1:5" ht="30">
      <c r="A54" s="68" t="s">
        <v>12</v>
      </c>
      <c r="B54" s="69"/>
      <c r="C54" s="70" t="s">
        <v>66</v>
      </c>
      <c r="D54" s="71"/>
      <c r="E54" s="72">
        <v>7772250</v>
      </c>
    </row>
    <row r="55" spans="1:5" ht="30">
      <c r="A55" s="66" t="s">
        <v>12</v>
      </c>
      <c r="B55" s="42"/>
      <c r="C55" s="63" t="s">
        <v>67</v>
      </c>
      <c r="D55" s="62"/>
      <c r="E55" s="64">
        <v>66060952</v>
      </c>
    </row>
    <row r="56" spans="1:5" ht="30">
      <c r="A56" s="68" t="s">
        <v>12</v>
      </c>
      <c r="B56" s="69"/>
      <c r="C56" s="70" t="s">
        <v>68</v>
      </c>
      <c r="D56" s="71"/>
      <c r="E56" s="72">
        <v>63787838</v>
      </c>
    </row>
    <row r="57" spans="1:5" ht="30">
      <c r="A57" s="66" t="s">
        <v>12</v>
      </c>
      <c r="B57" s="42"/>
      <c r="C57" s="63" t="s">
        <v>69</v>
      </c>
      <c r="D57" s="62"/>
      <c r="E57" s="64">
        <v>63417849</v>
      </c>
    </row>
    <row r="58" spans="1:5" ht="30">
      <c r="A58" s="68" t="s">
        <v>12</v>
      </c>
      <c r="B58" s="69"/>
      <c r="C58" s="70" t="s">
        <v>70</v>
      </c>
      <c r="D58" s="71"/>
      <c r="E58" s="72">
        <v>69949222</v>
      </c>
    </row>
    <row r="59" spans="1:5" ht="30">
      <c r="A59" s="66" t="s">
        <v>12</v>
      </c>
      <c r="B59" s="42"/>
      <c r="C59" s="63" t="s">
        <v>71</v>
      </c>
      <c r="D59" s="62"/>
      <c r="E59" s="64">
        <v>69536416</v>
      </c>
    </row>
    <row r="60" spans="1:5" ht="30">
      <c r="A60" s="68" t="s">
        <v>12</v>
      </c>
      <c r="B60" s="69"/>
      <c r="C60" s="70" t="s">
        <v>72</v>
      </c>
      <c r="D60" s="71"/>
      <c r="E60" s="72">
        <v>67459722</v>
      </c>
    </row>
    <row r="61" spans="1:5" ht="30">
      <c r="A61" s="66" t="s">
        <v>12</v>
      </c>
      <c r="B61" s="42"/>
      <c r="C61" s="63" t="s">
        <v>73</v>
      </c>
      <c r="D61" s="62"/>
      <c r="E61" s="64">
        <v>69886238</v>
      </c>
    </row>
    <row r="62" spans="1:5" ht="30">
      <c r="A62" s="68" t="s">
        <v>12</v>
      </c>
      <c r="B62" s="69"/>
      <c r="C62" s="70" t="s">
        <v>74</v>
      </c>
      <c r="D62" s="71"/>
      <c r="E62" s="72">
        <v>64428206</v>
      </c>
    </row>
    <row r="63" spans="1:5" ht="30">
      <c r="A63" s="66" t="s">
        <v>12</v>
      </c>
      <c r="B63" s="42"/>
      <c r="C63" s="63" t="s">
        <v>75</v>
      </c>
      <c r="D63" s="62"/>
      <c r="E63" s="64">
        <v>64721881</v>
      </c>
    </row>
    <row r="64" spans="1:5" ht="30">
      <c r="A64" s="68" t="s">
        <v>12</v>
      </c>
      <c r="B64" s="69"/>
      <c r="C64" s="70" t="s">
        <v>76</v>
      </c>
      <c r="D64" s="71"/>
      <c r="E64" s="72">
        <v>68737511</v>
      </c>
    </row>
    <row r="65" spans="1:5" ht="30">
      <c r="A65" s="66" t="s">
        <v>12</v>
      </c>
      <c r="B65" s="42"/>
      <c r="C65" s="63" t="s">
        <v>77</v>
      </c>
      <c r="D65" s="62"/>
      <c r="E65" s="64">
        <v>66332705</v>
      </c>
    </row>
    <row r="66" spans="1:5" ht="30">
      <c r="A66" s="68" t="s">
        <v>12</v>
      </c>
      <c r="B66" s="69"/>
      <c r="C66" s="70" t="s">
        <v>78</v>
      </c>
      <c r="D66" s="71"/>
      <c r="E66" s="72">
        <v>65209569</v>
      </c>
    </row>
    <row r="67" spans="1:5" ht="30">
      <c r="A67" s="66" t="s">
        <v>12</v>
      </c>
      <c r="B67" s="42"/>
      <c r="C67" s="63" t="s">
        <v>79</v>
      </c>
      <c r="D67" s="62"/>
      <c r="E67" s="64">
        <v>66676050</v>
      </c>
    </row>
    <row r="68" spans="1:5" ht="30">
      <c r="A68" s="68" t="s">
        <v>12</v>
      </c>
      <c r="B68" s="69"/>
      <c r="C68" s="70" t="s">
        <v>80</v>
      </c>
      <c r="D68" s="71"/>
      <c r="E68" s="72">
        <v>67723562</v>
      </c>
    </row>
    <row r="69" spans="1:5" ht="30">
      <c r="A69" s="66" t="s">
        <v>12</v>
      </c>
      <c r="B69" s="42"/>
      <c r="C69" s="63" t="s">
        <v>81</v>
      </c>
      <c r="D69" s="62"/>
      <c r="E69" s="64">
        <v>7763131</v>
      </c>
    </row>
    <row r="70" spans="1:5" ht="30">
      <c r="A70" s="68" t="s">
        <v>12</v>
      </c>
      <c r="B70" s="69"/>
      <c r="C70" s="70" t="s">
        <v>82</v>
      </c>
      <c r="D70" s="71"/>
      <c r="E70" s="72">
        <v>66310025</v>
      </c>
    </row>
    <row r="71" spans="1:5" ht="30">
      <c r="A71" s="66" t="s">
        <v>12</v>
      </c>
      <c r="B71" s="42"/>
      <c r="C71" s="63" t="s">
        <v>83</v>
      </c>
      <c r="D71" s="62"/>
      <c r="E71" s="64">
        <v>67366423</v>
      </c>
    </row>
    <row r="72" spans="1:5" ht="30">
      <c r="A72" s="68" t="s">
        <v>12</v>
      </c>
      <c r="B72" s="69"/>
      <c r="C72" s="70" t="s">
        <v>84</v>
      </c>
      <c r="D72" s="71"/>
      <c r="E72" s="72">
        <v>64937987</v>
      </c>
    </row>
    <row r="73" spans="1:5" ht="30">
      <c r="A73" s="66" t="s">
        <v>12</v>
      </c>
      <c r="B73" s="42"/>
      <c r="C73" s="63" t="s">
        <v>85</v>
      </c>
      <c r="D73" s="62"/>
      <c r="E73" s="64">
        <v>66722344</v>
      </c>
    </row>
    <row r="74" spans="1:5" ht="30">
      <c r="A74" s="68" t="s">
        <v>12</v>
      </c>
      <c r="B74" s="69"/>
      <c r="C74" s="70" t="s">
        <v>86</v>
      </c>
      <c r="D74" s="71"/>
      <c r="E74" s="72">
        <v>66002381</v>
      </c>
    </row>
    <row r="75" spans="1:5" ht="30">
      <c r="A75" s="66" t="s">
        <v>12</v>
      </c>
      <c r="B75" s="42"/>
      <c r="C75" s="63" t="s">
        <v>87</v>
      </c>
      <c r="D75" s="62"/>
      <c r="E75" s="64">
        <v>68372865</v>
      </c>
    </row>
    <row r="76" spans="1:5" ht="30">
      <c r="A76" s="68" t="s">
        <v>12</v>
      </c>
      <c r="B76" s="69"/>
      <c r="C76" s="70" t="s">
        <v>88</v>
      </c>
      <c r="D76" s="71"/>
      <c r="E76" s="72">
        <v>64809618</v>
      </c>
    </row>
    <row r="77" spans="1:5" ht="30">
      <c r="A77" s="66" t="s">
        <v>12</v>
      </c>
      <c r="B77" s="42"/>
      <c r="C77" s="63" t="s">
        <v>89</v>
      </c>
      <c r="D77" s="62"/>
      <c r="E77" s="64">
        <v>64204465</v>
      </c>
    </row>
    <row r="78" spans="1:5" ht="30">
      <c r="A78" s="68" t="s">
        <v>12</v>
      </c>
      <c r="B78" s="69"/>
      <c r="C78" s="70" t="s">
        <v>90</v>
      </c>
      <c r="D78" s="71"/>
      <c r="E78" s="72">
        <v>65931498</v>
      </c>
    </row>
    <row r="79" spans="1:5" ht="30">
      <c r="A79" s="66" t="s">
        <v>12</v>
      </c>
      <c r="B79" s="42"/>
      <c r="C79" s="63" t="s">
        <v>91</v>
      </c>
      <c r="D79" s="62"/>
      <c r="E79" s="64">
        <v>66005466</v>
      </c>
    </row>
    <row r="80" spans="1:5" ht="30">
      <c r="A80" s="68" t="s">
        <v>12</v>
      </c>
      <c r="B80" s="69"/>
      <c r="C80" s="70" t="s">
        <v>92</v>
      </c>
      <c r="D80" s="71"/>
      <c r="E80" s="72">
        <v>7854474</v>
      </c>
    </row>
    <row r="81" spans="1:5" ht="30">
      <c r="A81" s="66" t="s">
        <v>12</v>
      </c>
      <c r="B81" s="42"/>
      <c r="C81" s="63" t="s">
        <v>93</v>
      </c>
      <c r="D81" s="62"/>
      <c r="E81" s="64">
        <v>66438222</v>
      </c>
    </row>
    <row r="82" spans="1:5" ht="30">
      <c r="A82" s="68" t="s">
        <v>12</v>
      </c>
      <c r="B82" s="69"/>
      <c r="C82" s="70" t="s">
        <v>94</v>
      </c>
      <c r="D82" s="71"/>
      <c r="E82" s="72">
        <v>69883924</v>
      </c>
    </row>
    <row r="83" spans="1:5" ht="30">
      <c r="A83" s="66" t="s">
        <v>12</v>
      </c>
      <c r="B83" s="42"/>
      <c r="C83" s="63" t="s">
        <v>95</v>
      </c>
      <c r="D83" s="62"/>
      <c r="E83" s="64">
        <v>65126548</v>
      </c>
    </row>
    <row r="84" spans="1:5" ht="30">
      <c r="A84" s="68" t="s">
        <v>12</v>
      </c>
      <c r="B84" s="69"/>
      <c r="C84" s="70" t="s">
        <v>96</v>
      </c>
      <c r="D84" s="71"/>
      <c r="E84" s="72">
        <v>64283078</v>
      </c>
    </row>
    <row r="85" spans="1:5" ht="30">
      <c r="A85" s="66" t="s">
        <v>12</v>
      </c>
      <c r="B85" s="42"/>
      <c r="C85" s="63" t="s">
        <v>97</v>
      </c>
      <c r="D85" s="62"/>
      <c r="E85" s="64">
        <v>65068173</v>
      </c>
    </row>
    <row r="86" spans="1:5" ht="30">
      <c r="A86" s="68" t="s">
        <v>12</v>
      </c>
      <c r="B86" s="69"/>
      <c r="C86" s="70" t="s">
        <v>98</v>
      </c>
      <c r="D86" s="71"/>
      <c r="E86" s="72">
        <v>64295381</v>
      </c>
    </row>
    <row r="87" spans="1:5" ht="30">
      <c r="A87" s="66" t="s">
        <v>12</v>
      </c>
      <c r="B87" s="42"/>
      <c r="C87" s="63" t="s">
        <v>99</v>
      </c>
      <c r="D87" s="62"/>
      <c r="E87" s="64">
        <v>65611812</v>
      </c>
    </row>
    <row r="88" spans="1:5" ht="30">
      <c r="A88" s="68" t="s">
        <v>12</v>
      </c>
      <c r="B88" s="69"/>
      <c r="C88" s="70" t="s">
        <v>100</v>
      </c>
      <c r="D88" s="71"/>
      <c r="E88" s="72">
        <v>63315090</v>
      </c>
    </row>
    <row r="89" spans="1:5" ht="30">
      <c r="A89" s="66" t="s">
        <v>12</v>
      </c>
      <c r="B89" s="42"/>
      <c r="C89" s="63" t="s">
        <v>101</v>
      </c>
      <c r="D89" s="62"/>
      <c r="E89" s="64">
        <v>64160027</v>
      </c>
    </row>
    <row r="90" spans="1:5" ht="30">
      <c r="A90" s="68" t="s">
        <v>12</v>
      </c>
      <c r="B90" s="69"/>
      <c r="C90" s="70" t="s">
        <v>102</v>
      </c>
      <c r="D90" s="71"/>
      <c r="E90" s="72">
        <v>69975836</v>
      </c>
    </row>
    <row r="91" spans="1:5" ht="30">
      <c r="A91" s="66" t="s">
        <v>12</v>
      </c>
      <c r="B91" s="42"/>
      <c r="C91" s="63" t="s">
        <v>103</v>
      </c>
      <c r="D91" s="62"/>
      <c r="E91" s="64">
        <v>65551316</v>
      </c>
    </row>
    <row r="92" spans="1:5" ht="30">
      <c r="A92" s="68" t="s">
        <v>12</v>
      </c>
      <c r="B92" s="69"/>
      <c r="C92" s="70" t="s">
        <v>104</v>
      </c>
      <c r="D92" s="71"/>
      <c r="E92" s="72">
        <v>69416664</v>
      </c>
    </row>
    <row r="93" spans="1:5" ht="30">
      <c r="A93" s="66" t="s">
        <v>12</v>
      </c>
      <c r="B93" s="42"/>
      <c r="C93" s="63" t="s">
        <v>105</v>
      </c>
      <c r="D93" s="62"/>
      <c r="E93" s="64">
        <v>65001957</v>
      </c>
    </row>
    <row r="94" spans="1:5" ht="30">
      <c r="A94" s="68" t="s">
        <v>12</v>
      </c>
      <c r="B94" s="69"/>
      <c r="C94" s="70" t="s">
        <v>106</v>
      </c>
      <c r="D94" s="71"/>
      <c r="E94" s="72">
        <v>61601347</v>
      </c>
    </row>
    <row r="95" spans="1:5" ht="30">
      <c r="A95" s="66" t="s">
        <v>12</v>
      </c>
      <c r="B95" s="42"/>
      <c r="C95" s="63" t="s">
        <v>107</v>
      </c>
      <c r="D95" s="62"/>
      <c r="E95" s="64">
        <v>7753856</v>
      </c>
    </row>
    <row r="96" spans="1:5" ht="30">
      <c r="A96" s="68" t="s">
        <v>12</v>
      </c>
      <c r="B96" s="69"/>
      <c r="C96" s="70" t="s">
        <v>108</v>
      </c>
      <c r="D96" s="71"/>
      <c r="E96" s="72">
        <v>62303732</v>
      </c>
    </row>
    <row r="97" spans="1:5" ht="30">
      <c r="A97" s="66" t="s">
        <v>12</v>
      </c>
      <c r="B97" s="42"/>
      <c r="C97" s="63" t="s">
        <v>109</v>
      </c>
      <c r="D97" s="62"/>
      <c r="E97" s="64">
        <v>64358187</v>
      </c>
    </row>
    <row r="98" spans="1:5" ht="30">
      <c r="A98" s="68" t="s">
        <v>12</v>
      </c>
      <c r="B98" s="69"/>
      <c r="C98" s="70" t="s">
        <v>110</v>
      </c>
      <c r="D98" s="71"/>
      <c r="E98" s="72">
        <v>62433717</v>
      </c>
    </row>
    <row r="99" spans="1:5" ht="30">
      <c r="A99" s="66" t="s">
        <v>12</v>
      </c>
      <c r="B99" s="42"/>
      <c r="C99" s="63" t="s">
        <v>111</v>
      </c>
      <c r="D99" s="62"/>
      <c r="E99" s="64">
        <v>68763102</v>
      </c>
    </row>
    <row r="100" spans="1:5" ht="30">
      <c r="A100" s="68" t="s">
        <v>12</v>
      </c>
      <c r="B100" s="69"/>
      <c r="C100" s="70" t="s">
        <v>112</v>
      </c>
      <c r="D100" s="71"/>
      <c r="E100" s="72">
        <v>7751976</v>
      </c>
    </row>
    <row r="101" spans="1:5" ht="30">
      <c r="A101" s="66" t="s">
        <v>12</v>
      </c>
      <c r="B101" s="42"/>
      <c r="C101" s="63" t="s">
        <v>113</v>
      </c>
      <c r="D101" s="62"/>
      <c r="E101" s="64">
        <v>66622503</v>
      </c>
    </row>
    <row r="102" spans="1:5" ht="30">
      <c r="A102" s="68" t="s">
        <v>12</v>
      </c>
      <c r="B102" s="69"/>
      <c r="C102" s="70" t="s">
        <v>114</v>
      </c>
      <c r="D102" s="71"/>
      <c r="E102" s="72">
        <v>68429163</v>
      </c>
    </row>
    <row r="103" spans="1:5" ht="30">
      <c r="A103" s="66" t="s">
        <v>12</v>
      </c>
      <c r="B103" s="42"/>
      <c r="C103" s="63" t="s">
        <v>115</v>
      </c>
      <c r="D103" s="62"/>
      <c r="E103" s="64">
        <v>7706901</v>
      </c>
    </row>
    <row r="104" spans="1:5" ht="30">
      <c r="A104" s="68" t="s">
        <v>12</v>
      </c>
      <c r="B104" s="69"/>
      <c r="C104" s="70" t="s">
        <v>116</v>
      </c>
      <c r="D104" s="71"/>
      <c r="E104" s="72">
        <v>7746285</v>
      </c>
    </row>
    <row r="105" spans="1:5" ht="30">
      <c r="A105" s="66" t="s">
        <v>12</v>
      </c>
      <c r="B105" s="42"/>
      <c r="C105" s="63" t="s">
        <v>117</v>
      </c>
      <c r="D105" s="62"/>
      <c r="E105" s="64">
        <v>68970458</v>
      </c>
    </row>
    <row r="106" spans="1:5" ht="30">
      <c r="A106" s="68" t="s">
        <v>12</v>
      </c>
      <c r="B106" s="69"/>
      <c r="C106" s="70" t="s">
        <v>118</v>
      </c>
      <c r="D106" s="71"/>
      <c r="E106" s="72">
        <v>62706470</v>
      </c>
    </row>
    <row r="107" spans="1:5" ht="30">
      <c r="A107" s="66" t="s">
        <v>12</v>
      </c>
      <c r="B107" s="42"/>
      <c r="C107" s="63" t="s">
        <v>119</v>
      </c>
      <c r="D107" s="62"/>
      <c r="E107" s="64">
        <v>62501282</v>
      </c>
    </row>
    <row r="108" spans="1:5" ht="30">
      <c r="A108" s="68" t="s">
        <v>12</v>
      </c>
      <c r="B108" s="69"/>
      <c r="C108" s="70" t="s">
        <v>120</v>
      </c>
      <c r="D108" s="71"/>
      <c r="E108" s="72">
        <v>7754337</v>
      </c>
    </row>
    <row r="109" spans="1:5" ht="30">
      <c r="A109" s="66" t="s">
        <v>12</v>
      </c>
      <c r="B109" s="42"/>
      <c r="C109" s="63" t="s">
        <v>121</v>
      </c>
      <c r="D109" s="62"/>
      <c r="E109" s="64">
        <v>62336433</v>
      </c>
    </row>
    <row r="110" spans="1:5" ht="30">
      <c r="A110" s="68" t="s">
        <v>12</v>
      </c>
      <c r="B110" s="69"/>
      <c r="C110" s="70" t="s">
        <v>122</v>
      </c>
      <c r="D110" s="71"/>
      <c r="E110" s="72">
        <v>7875113</v>
      </c>
    </row>
    <row r="111" spans="1:5" ht="30">
      <c r="A111" s="66" t="s">
        <v>12</v>
      </c>
      <c r="B111" s="42"/>
      <c r="C111" s="63" t="s">
        <v>123</v>
      </c>
      <c r="D111" s="62"/>
      <c r="E111" s="64">
        <v>62547275</v>
      </c>
    </row>
    <row r="112" spans="1:5" ht="30">
      <c r="A112" s="68" t="s">
        <v>12</v>
      </c>
      <c r="B112" s="69"/>
      <c r="C112" s="70" t="s">
        <v>124</v>
      </c>
      <c r="D112" s="71"/>
      <c r="E112" s="72">
        <v>64322059</v>
      </c>
    </row>
    <row r="113" spans="1:5" ht="30">
      <c r="A113" s="66" t="s">
        <v>12</v>
      </c>
      <c r="B113" s="42"/>
      <c r="C113" s="63" t="s">
        <v>125</v>
      </c>
      <c r="D113" s="62"/>
      <c r="E113" s="64">
        <v>62848899</v>
      </c>
    </row>
    <row r="114" spans="1:5" ht="30">
      <c r="A114" s="68" t="s">
        <v>12</v>
      </c>
      <c r="B114" s="69"/>
      <c r="C114" s="70" t="s">
        <v>126</v>
      </c>
      <c r="D114" s="71"/>
      <c r="E114" s="72">
        <v>62554282</v>
      </c>
    </row>
    <row r="115" spans="1:5" ht="30">
      <c r="A115" s="66" t="s">
        <v>12</v>
      </c>
      <c r="B115" s="42"/>
      <c r="C115" s="63" t="s">
        <v>127</v>
      </c>
      <c r="D115" s="62"/>
      <c r="E115" s="64">
        <v>67456014</v>
      </c>
    </row>
    <row r="116" spans="1:5" ht="30">
      <c r="A116" s="68" t="s">
        <v>12</v>
      </c>
      <c r="B116" s="69"/>
      <c r="C116" s="70" t="s">
        <v>128</v>
      </c>
      <c r="D116" s="71"/>
      <c r="E116" s="72">
        <v>63427859</v>
      </c>
    </row>
    <row r="117" spans="1:5" ht="30">
      <c r="A117" s="66" t="s">
        <v>12</v>
      </c>
      <c r="B117" s="42"/>
      <c r="C117" s="63" t="s">
        <v>129</v>
      </c>
      <c r="D117" s="62"/>
      <c r="E117" s="64">
        <v>63920567</v>
      </c>
    </row>
    <row r="118" spans="1:5" ht="30">
      <c r="A118" s="68" t="s">
        <v>12</v>
      </c>
      <c r="B118" s="69"/>
      <c r="C118" s="70" t="s">
        <v>130</v>
      </c>
      <c r="D118" s="71"/>
      <c r="E118" s="72">
        <v>65631436</v>
      </c>
    </row>
    <row r="119" spans="1:5" ht="30">
      <c r="A119" s="66" t="s">
        <v>12</v>
      </c>
      <c r="B119" s="42"/>
      <c r="C119" s="63" t="s">
        <v>131</v>
      </c>
      <c r="D119" s="62"/>
      <c r="E119" s="64">
        <v>61675342</v>
      </c>
    </row>
    <row r="120" spans="1:5" ht="30">
      <c r="A120" s="68" t="s">
        <v>12</v>
      </c>
      <c r="B120" s="69"/>
      <c r="C120" s="70" t="s">
        <v>132</v>
      </c>
      <c r="D120" s="71"/>
      <c r="E120" s="72">
        <v>64011875</v>
      </c>
    </row>
    <row r="121" spans="1:5" ht="30">
      <c r="A121" s="66" t="s">
        <v>12</v>
      </c>
      <c r="B121" s="42"/>
      <c r="C121" s="63" t="s">
        <v>133</v>
      </c>
      <c r="D121" s="62"/>
      <c r="E121" s="64">
        <v>7755447</v>
      </c>
    </row>
    <row r="122" spans="1:5" ht="30">
      <c r="A122" s="68" t="s">
        <v>12</v>
      </c>
      <c r="B122" s="69"/>
      <c r="C122" s="70" t="s">
        <v>134</v>
      </c>
      <c r="D122" s="71"/>
      <c r="E122" s="72">
        <v>7705797</v>
      </c>
    </row>
    <row r="123" spans="1:5" ht="30">
      <c r="A123" s="66" t="s">
        <v>12</v>
      </c>
      <c r="B123" s="42"/>
      <c r="C123" s="63" t="s">
        <v>135</v>
      </c>
      <c r="D123" s="62"/>
      <c r="E123" s="64">
        <v>69966104</v>
      </c>
    </row>
    <row r="124" spans="1:5" ht="30">
      <c r="A124" s="68" t="s">
        <v>12</v>
      </c>
      <c r="B124" s="69"/>
      <c r="C124" s="70" t="s">
        <v>136</v>
      </c>
      <c r="D124" s="71"/>
      <c r="E124" s="72">
        <v>63542566</v>
      </c>
    </row>
    <row r="125" spans="1:5" ht="30">
      <c r="A125" s="66" t="s">
        <v>12</v>
      </c>
      <c r="B125" s="42"/>
      <c r="C125" s="63" t="s">
        <v>137</v>
      </c>
      <c r="D125" s="62"/>
      <c r="E125" s="64">
        <v>67949869</v>
      </c>
    </row>
    <row r="126" spans="1:5" ht="30">
      <c r="A126" s="68" t="s">
        <v>12</v>
      </c>
      <c r="B126" s="69"/>
      <c r="C126" s="70" t="s">
        <v>138</v>
      </c>
      <c r="D126" s="71"/>
      <c r="E126" s="72">
        <v>65168648</v>
      </c>
    </row>
    <row r="127" spans="1:5" ht="30">
      <c r="A127" s="66" t="s">
        <v>12</v>
      </c>
      <c r="B127" s="42"/>
      <c r="C127" s="63" t="s">
        <v>139</v>
      </c>
      <c r="D127" s="62"/>
      <c r="E127" s="64">
        <v>64025131</v>
      </c>
    </row>
    <row r="128" spans="1:5" ht="30">
      <c r="A128" s="68" t="s">
        <v>12</v>
      </c>
      <c r="B128" s="69"/>
      <c r="C128" s="70" t="s">
        <v>140</v>
      </c>
      <c r="D128" s="71"/>
      <c r="E128" s="72">
        <v>61589900</v>
      </c>
    </row>
    <row r="129" spans="1:5" ht="30">
      <c r="A129" s="66" t="s">
        <v>12</v>
      </c>
      <c r="B129" s="42"/>
      <c r="C129" s="63" t="s">
        <v>141</v>
      </c>
      <c r="D129" s="62"/>
      <c r="E129" s="64">
        <v>63464388</v>
      </c>
    </row>
    <row r="130" spans="1:5" ht="30">
      <c r="A130" s="68" t="s">
        <v>12</v>
      </c>
      <c r="B130" s="69"/>
      <c r="C130" s="70" t="s">
        <v>142</v>
      </c>
      <c r="D130" s="71"/>
      <c r="E130" s="72">
        <v>69566514</v>
      </c>
    </row>
    <row r="131" spans="1:5" ht="30">
      <c r="A131" s="66" t="s">
        <v>12</v>
      </c>
      <c r="B131" s="42"/>
      <c r="C131" s="63" t="s">
        <v>143</v>
      </c>
      <c r="D131" s="62"/>
      <c r="E131" s="64">
        <v>69377925</v>
      </c>
    </row>
    <row r="132" spans="1:5" ht="30">
      <c r="A132" s="68" t="s">
        <v>12</v>
      </c>
      <c r="B132" s="69"/>
      <c r="C132" s="70" t="s">
        <v>144</v>
      </c>
      <c r="D132" s="71"/>
      <c r="E132" s="72">
        <v>65042031</v>
      </c>
    </row>
    <row r="133" spans="1:5" ht="30">
      <c r="A133" s="66" t="s">
        <v>12</v>
      </c>
      <c r="B133" s="42"/>
      <c r="C133" s="63" t="s">
        <v>145</v>
      </c>
      <c r="D133" s="62"/>
      <c r="E133" s="64">
        <v>68992400</v>
      </c>
    </row>
    <row r="134" spans="1:5" ht="30">
      <c r="A134" s="68" t="s">
        <v>12</v>
      </c>
      <c r="B134" s="69"/>
      <c r="C134" s="70" t="s">
        <v>146</v>
      </c>
      <c r="D134" s="71"/>
      <c r="E134" s="72">
        <v>69422077</v>
      </c>
    </row>
    <row r="135" spans="1:5" ht="30">
      <c r="A135" s="66" t="s">
        <v>12</v>
      </c>
      <c r="B135" s="42"/>
      <c r="C135" s="63" t="s">
        <v>147</v>
      </c>
      <c r="D135" s="62"/>
      <c r="E135" s="64">
        <v>65283690</v>
      </c>
    </row>
    <row r="136" spans="1:5" ht="30">
      <c r="A136" s="68" t="s">
        <v>12</v>
      </c>
      <c r="B136" s="69"/>
      <c r="C136" s="70" t="s">
        <v>148</v>
      </c>
      <c r="D136" s="71"/>
      <c r="E136" s="72">
        <v>65618138</v>
      </c>
    </row>
    <row r="137" spans="1:5" ht="30">
      <c r="A137" s="66" t="s">
        <v>12</v>
      </c>
      <c r="B137" s="42"/>
      <c r="C137" s="63" t="s">
        <v>149</v>
      </c>
      <c r="D137" s="62"/>
      <c r="E137" s="64">
        <v>66051281</v>
      </c>
    </row>
    <row r="138" spans="1:5" ht="30">
      <c r="A138" s="68" t="s">
        <v>12</v>
      </c>
      <c r="B138" s="69"/>
      <c r="C138" s="70" t="s">
        <v>150</v>
      </c>
      <c r="D138" s="71"/>
      <c r="E138" s="72">
        <v>68150368</v>
      </c>
    </row>
    <row r="139" spans="1:5" ht="30">
      <c r="A139" s="66" t="s">
        <v>12</v>
      </c>
      <c r="B139" s="42"/>
      <c r="C139" s="63" t="s">
        <v>151</v>
      </c>
      <c r="D139" s="62"/>
      <c r="E139" s="64">
        <v>64650501</v>
      </c>
    </row>
    <row r="140" spans="1:5" ht="30">
      <c r="A140" s="68" t="s">
        <v>12</v>
      </c>
      <c r="B140" s="69"/>
      <c r="C140" s="70" t="s">
        <v>152</v>
      </c>
      <c r="D140" s="71"/>
      <c r="E140" s="72">
        <v>64343167</v>
      </c>
    </row>
    <row r="141" spans="1:5" ht="30">
      <c r="A141" s="66" t="s">
        <v>12</v>
      </c>
      <c r="B141" s="42"/>
      <c r="C141" s="63" t="s">
        <v>153</v>
      </c>
      <c r="D141" s="62"/>
      <c r="E141" s="64">
        <v>64019327</v>
      </c>
    </row>
    <row r="142" spans="1:5" ht="30">
      <c r="A142" s="68" t="s">
        <v>12</v>
      </c>
      <c r="B142" s="69"/>
      <c r="C142" s="70" t="s">
        <v>154</v>
      </c>
      <c r="D142" s="71"/>
      <c r="E142" s="72">
        <v>68931286</v>
      </c>
    </row>
    <row r="143" spans="1:5" ht="30">
      <c r="A143" s="66" t="s">
        <v>12</v>
      </c>
      <c r="B143" s="42"/>
      <c r="C143" s="63" t="s">
        <v>155</v>
      </c>
      <c r="D143" s="62"/>
      <c r="E143" s="64">
        <v>64492157</v>
      </c>
    </row>
    <row r="144" spans="1:5" ht="30">
      <c r="A144" s="68" t="s">
        <v>12</v>
      </c>
      <c r="B144" s="69"/>
      <c r="C144" s="70" t="s">
        <v>156</v>
      </c>
      <c r="D144" s="71"/>
      <c r="E144" s="72">
        <v>68569212</v>
      </c>
    </row>
    <row r="145" spans="1:5" ht="30">
      <c r="A145" s="66" t="s">
        <v>12</v>
      </c>
      <c r="B145" s="42"/>
      <c r="C145" s="63" t="s">
        <v>157</v>
      </c>
      <c r="D145" s="62"/>
      <c r="E145" s="64">
        <v>64214922</v>
      </c>
    </row>
    <row r="146" spans="1:5" ht="30">
      <c r="A146" s="68" t="s">
        <v>12</v>
      </c>
      <c r="B146" s="69"/>
      <c r="C146" s="70" t="s">
        <v>158</v>
      </c>
      <c r="D146" s="71"/>
      <c r="E146" s="72">
        <v>65074613</v>
      </c>
    </row>
    <row r="147" spans="1:5" ht="30">
      <c r="A147" s="66" t="s">
        <v>12</v>
      </c>
      <c r="B147" s="42"/>
      <c r="C147" s="63" t="s">
        <v>159</v>
      </c>
      <c r="D147" s="62"/>
      <c r="E147" s="64">
        <v>65315213</v>
      </c>
    </row>
    <row r="148" spans="1:5" ht="30">
      <c r="A148" s="68" t="s">
        <v>12</v>
      </c>
      <c r="B148" s="69"/>
      <c r="C148" s="70" t="s">
        <v>160</v>
      </c>
      <c r="D148" s="71"/>
      <c r="E148" s="72">
        <v>69513430</v>
      </c>
    </row>
    <row r="149" spans="1:5" ht="30">
      <c r="A149" s="66" t="s">
        <v>12</v>
      </c>
      <c r="B149" s="42"/>
      <c r="C149" s="63" t="s">
        <v>161</v>
      </c>
      <c r="D149" s="62"/>
      <c r="E149" s="64">
        <v>64589834</v>
      </c>
    </row>
    <row r="150" spans="1:5" ht="30">
      <c r="A150" s="68" t="s">
        <v>12</v>
      </c>
      <c r="B150" s="69"/>
      <c r="C150" s="70" t="s">
        <v>162</v>
      </c>
      <c r="D150" s="71"/>
      <c r="E150" s="72">
        <v>7309341</v>
      </c>
    </row>
    <row r="151" spans="1:5" ht="30">
      <c r="A151" s="66" t="s">
        <v>12</v>
      </c>
      <c r="B151" s="42"/>
      <c r="C151" s="63" t="s">
        <v>163</v>
      </c>
      <c r="D151" s="62"/>
      <c r="E151" s="64">
        <v>68133812</v>
      </c>
    </row>
    <row r="152" spans="1:5" ht="30">
      <c r="A152" s="68" t="s">
        <v>12</v>
      </c>
      <c r="B152" s="69"/>
      <c r="C152" s="70" t="s">
        <v>164</v>
      </c>
      <c r="D152" s="71"/>
      <c r="E152" s="72">
        <v>62921055</v>
      </c>
    </row>
    <row r="153" spans="1:5" ht="30">
      <c r="A153" s="66" t="s">
        <v>12</v>
      </c>
      <c r="B153" s="42"/>
      <c r="C153" s="63" t="s">
        <v>165</v>
      </c>
      <c r="D153" s="62"/>
      <c r="E153" s="64">
        <v>67081713</v>
      </c>
    </row>
    <row r="154" spans="1:5" ht="30">
      <c r="A154" s="68" t="s">
        <v>12</v>
      </c>
      <c r="B154" s="69"/>
      <c r="C154" s="70" t="s">
        <v>166</v>
      </c>
      <c r="D154" s="71"/>
      <c r="E154" s="72">
        <v>62213852</v>
      </c>
    </row>
    <row r="155" spans="1:5" ht="30">
      <c r="A155" s="66" t="s">
        <v>12</v>
      </c>
      <c r="B155" s="42"/>
      <c r="C155" s="63" t="s">
        <v>167</v>
      </c>
      <c r="D155" s="62"/>
      <c r="E155" s="64">
        <v>65782142</v>
      </c>
    </row>
    <row r="156" spans="1:5" ht="30">
      <c r="A156" s="68" t="s">
        <v>12</v>
      </c>
      <c r="B156" s="69"/>
      <c r="C156" s="70" t="s">
        <v>168</v>
      </c>
      <c r="D156" s="71"/>
      <c r="E156" s="72">
        <v>63698019</v>
      </c>
    </row>
    <row r="157" spans="1:5" ht="30">
      <c r="A157" s="66" t="s">
        <v>12</v>
      </c>
      <c r="B157" s="42"/>
      <c r="C157" s="63" t="s">
        <v>169</v>
      </c>
      <c r="D157" s="62"/>
      <c r="E157" s="64">
        <v>64899102</v>
      </c>
    </row>
    <row r="158" spans="1:5" ht="30">
      <c r="A158" s="68" t="s">
        <v>12</v>
      </c>
      <c r="B158" s="69"/>
      <c r="C158" s="70" t="s">
        <v>170</v>
      </c>
      <c r="D158" s="71"/>
      <c r="E158" s="72">
        <v>64141107</v>
      </c>
    </row>
    <row r="159" spans="1:5" ht="30">
      <c r="A159" s="66" t="s">
        <v>12</v>
      </c>
      <c r="B159" s="42"/>
      <c r="C159" s="63" t="s">
        <v>171</v>
      </c>
      <c r="D159" s="62"/>
      <c r="E159" s="64">
        <v>66473824</v>
      </c>
    </row>
    <row r="160" spans="1:5" ht="30">
      <c r="A160" s="68" t="s">
        <v>12</v>
      </c>
      <c r="B160" s="69"/>
      <c r="C160" s="70" t="s">
        <v>172</v>
      </c>
      <c r="D160" s="71"/>
      <c r="E160" s="72">
        <v>61307618</v>
      </c>
    </row>
    <row r="161" spans="1:5" ht="30">
      <c r="A161" s="66" t="s">
        <v>12</v>
      </c>
      <c r="B161" s="42"/>
      <c r="C161" s="63" t="s">
        <v>173</v>
      </c>
      <c r="D161" s="62"/>
      <c r="E161" s="64">
        <v>67019676</v>
      </c>
    </row>
    <row r="162" spans="1:5" ht="30">
      <c r="A162" s="68" t="s">
        <v>12</v>
      </c>
      <c r="B162" s="69"/>
      <c r="C162" s="70" t="s">
        <v>174</v>
      </c>
      <c r="D162" s="71"/>
      <c r="E162" s="72">
        <v>66264208</v>
      </c>
    </row>
    <row r="163" spans="1:5" ht="30">
      <c r="A163" s="66" t="s">
        <v>12</v>
      </c>
      <c r="B163" s="42"/>
      <c r="C163" s="63" t="s">
        <v>175</v>
      </c>
      <c r="D163" s="62"/>
      <c r="E163" s="67">
        <v>68345680</v>
      </c>
    </row>
    <row r="164" spans="1:5" ht="30">
      <c r="A164" s="68" t="s">
        <v>12</v>
      </c>
      <c r="B164" s="69"/>
      <c r="C164" s="70" t="s">
        <v>176</v>
      </c>
      <c r="D164" s="71"/>
      <c r="E164" s="73">
        <v>67363968</v>
      </c>
    </row>
    <row r="165" spans="1:5" ht="30">
      <c r="A165" s="66" t="s">
        <v>12</v>
      </c>
      <c r="B165" s="42"/>
      <c r="C165" s="63" t="s">
        <v>177</v>
      </c>
      <c r="D165" s="62"/>
      <c r="E165" s="67">
        <v>7309050</v>
      </c>
    </row>
    <row r="166" spans="1:5" ht="30">
      <c r="A166" s="68" t="s">
        <v>12</v>
      </c>
      <c r="B166" s="69"/>
      <c r="C166" s="70" t="s">
        <v>178</v>
      </c>
      <c r="D166" s="71"/>
      <c r="E166" s="73">
        <v>65310566</v>
      </c>
    </row>
    <row r="167" spans="1:5" ht="30">
      <c r="A167" s="66" t="s">
        <v>12</v>
      </c>
      <c r="B167" s="42"/>
      <c r="C167" s="63" t="s">
        <v>179</v>
      </c>
      <c r="D167" s="62"/>
      <c r="E167" s="67">
        <v>64309274</v>
      </c>
    </row>
    <row r="168" spans="1:5" ht="30">
      <c r="A168" s="68" t="s">
        <v>12</v>
      </c>
      <c r="B168" s="69"/>
      <c r="C168" s="70" t="s">
        <v>180</v>
      </c>
      <c r="D168" s="71"/>
      <c r="E168" s="73">
        <v>69495209</v>
      </c>
    </row>
    <row r="169" spans="1:5" ht="30">
      <c r="A169" s="66" t="s">
        <v>12</v>
      </c>
      <c r="B169" s="42"/>
      <c r="C169" s="63" t="s">
        <v>181</v>
      </c>
      <c r="D169" s="62"/>
      <c r="E169" s="67">
        <v>7773521</v>
      </c>
    </row>
    <row r="170" spans="1:5" ht="30">
      <c r="A170" s="68" t="s">
        <v>12</v>
      </c>
      <c r="B170" s="69"/>
      <c r="C170" s="70" t="s">
        <v>182</v>
      </c>
      <c r="D170" s="71"/>
      <c r="E170" s="73">
        <v>7748419</v>
      </c>
    </row>
    <row r="171" spans="1:5" ht="30">
      <c r="A171" s="66" t="s">
        <v>12</v>
      </c>
      <c r="B171" s="42"/>
      <c r="C171" s="63" t="s">
        <v>183</v>
      </c>
      <c r="D171" s="62"/>
      <c r="E171" s="67">
        <v>67809835</v>
      </c>
    </row>
    <row r="172" spans="1:5" ht="30">
      <c r="A172" s="68" t="s">
        <v>12</v>
      </c>
      <c r="B172" s="69"/>
      <c r="C172" s="70" t="s">
        <v>184</v>
      </c>
      <c r="D172" s="71"/>
      <c r="E172" s="73">
        <v>69984744</v>
      </c>
    </row>
    <row r="173" spans="1:5" ht="30">
      <c r="A173" s="66" t="s">
        <v>12</v>
      </c>
      <c r="B173" s="42"/>
      <c r="C173" s="63" t="s">
        <v>185</v>
      </c>
      <c r="D173" s="62"/>
      <c r="E173" s="67">
        <v>62919104</v>
      </c>
    </row>
    <row r="174" spans="1:5" ht="30">
      <c r="A174" s="68" t="s">
        <v>12</v>
      </c>
      <c r="B174" s="69"/>
      <c r="C174" s="70" t="s">
        <v>186</v>
      </c>
      <c r="D174" s="71"/>
      <c r="E174" s="73">
        <v>7889516</v>
      </c>
    </row>
    <row r="175" spans="1:5" ht="30">
      <c r="A175" s="66" t="s">
        <v>12</v>
      </c>
      <c r="B175" s="42"/>
      <c r="C175" s="63" t="s">
        <v>187</v>
      </c>
      <c r="D175" s="62"/>
      <c r="E175" s="67">
        <v>67414937</v>
      </c>
    </row>
    <row r="176" spans="1:5" ht="30">
      <c r="A176" s="68" t="s">
        <v>12</v>
      </c>
      <c r="B176" s="69"/>
      <c r="C176" s="70" t="s">
        <v>188</v>
      </c>
      <c r="D176" s="71"/>
      <c r="E176" s="73">
        <v>66412238</v>
      </c>
    </row>
    <row r="177" spans="1:5" ht="30">
      <c r="A177" s="66" t="s">
        <v>12</v>
      </c>
      <c r="B177" s="42"/>
      <c r="C177" s="63" t="s">
        <v>189</v>
      </c>
      <c r="D177" s="62"/>
      <c r="E177" s="67">
        <v>7745715</v>
      </c>
    </row>
    <row r="178" spans="1:5" ht="30">
      <c r="A178" s="68" t="s">
        <v>12</v>
      </c>
      <c r="B178" s="69"/>
      <c r="C178" s="70" t="s">
        <v>190</v>
      </c>
      <c r="D178" s="71"/>
      <c r="E178" s="73">
        <v>62332554</v>
      </c>
    </row>
    <row r="179" spans="1:5" ht="30">
      <c r="A179" s="66" t="s">
        <v>12</v>
      </c>
      <c r="B179" s="42"/>
      <c r="C179" s="63" t="s">
        <v>191</v>
      </c>
      <c r="D179" s="62"/>
      <c r="E179" s="67">
        <v>7764606</v>
      </c>
    </row>
    <row r="180" spans="1:5" ht="30">
      <c r="A180" s="68" t="s">
        <v>12</v>
      </c>
      <c r="B180" s="69"/>
      <c r="C180" s="70" t="s">
        <v>192</v>
      </c>
      <c r="D180" s="71"/>
      <c r="E180" s="73">
        <v>67438700</v>
      </c>
    </row>
    <row r="181" spans="1:5" ht="30">
      <c r="A181" s="66" t="s">
        <v>12</v>
      </c>
      <c r="B181" s="42"/>
      <c r="C181" s="63" t="s">
        <v>193</v>
      </c>
      <c r="D181" s="62"/>
      <c r="E181" s="67">
        <v>63169999</v>
      </c>
    </row>
    <row r="182" spans="1:5" ht="30">
      <c r="A182" s="68" t="s">
        <v>12</v>
      </c>
      <c r="B182" s="69"/>
      <c r="C182" s="70" t="s">
        <v>194</v>
      </c>
      <c r="D182" s="71"/>
      <c r="E182" s="73">
        <v>68435182</v>
      </c>
    </row>
    <row r="183" spans="1:5" ht="30">
      <c r="A183" s="66" t="s">
        <v>12</v>
      </c>
      <c r="B183" s="42"/>
      <c r="C183" s="63" t="s">
        <v>195</v>
      </c>
      <c r="D183" s="62"/>
      <c r="E183" s="67">
        <v>65469657</v>
      </c>
    </row>
    <row r="184" spans="1:5" ht="30">
      <c r="A184" s="68" t="s">
        <v>12</v>
      </c>
      <c r="B184" s="69"/>
      <c r="C184" s="70" t="s">
        <v>196</v>
      </c>
      <c r="D184" s="71"/>
      <c r="E184" s="73">
        <v>64406530</v>
      </c>
    </row>
    <row r="185" spans="1:5" ht="30">
      <c r="A185" s="66" t="s">
        <v>12</v>
      </c>
      <c r="B185" s="42"/>
      <c r="C185" s="63" t="s">
        <v>197</v>
      </c>
      <c r="D185" s="62"/>
      <c r="E185" s="67">
        <v>7205898</v>
      </c>
    </row>
    <row r="186" spans="1:5" ht="30">
      <c r="A186" s="68" t="s">
        <v>12</v>
      </c>
      <c r="B186" s="69"/>
      <c r="C186" s="70" t="s">
        <v>198</v>
      </c>
      <c r="D186" s="71"/>
      <c r="E186" s="73">
        <v>68279676</v>
      </c>
    </row>
    <row r="187" spans="1:5" ht="30">
      <c r="A187" s="66" t="s">
        <v>12</v>
      </c>
      <c r="B187" s="42"/>
      <c r="C187" s="63" t="s">
        <v>199</v>
      </c>
      <c r="D187" s="62"/>
      <c r="E187" s="67">
        <v>65517529</v>
      </c>
    </row>
    <row r="188" spans="1:5" ht="30">
      <c r="A188" s="68" t="s">
        <v>12</v>
      </c>
      <c r="B188" s="69"/>
      <c r="C188" s="70" t="s">
        <v>200</v>
      </c>
      <c r="D188" s="71"/>
      <c r="E188" s="73">
        <v>7276254</v>
      </c>
    </row>
    <row r="189" spans="1:5" ht="30">
      <c r="A189" s="66" t="s">
        <v>12</v>
      </c>
      <c r="B189" s="42"/>
      <c r="C189" s="63" t="s">
        <v>201</v>
      </c>
      <c r="D189" s="62"/>
      <c r="E189" s="67">
        <v>64521560</v>
      </c>
    </row>
    <row r="190" spans="1:5" ht="30">
      <c r="A190" s="68" t="s">
        <v>12</v>
      </c>
      <c r="B190" s="69"/>
      <c r="C190" s="70" t="s">
        <v>202</v>
      </c>
      <c r="D190" s="71"/>
      <c r="E190" s="73">
        <v>62326710</v>
      </c>
    </row>
    <row r="191" spans="1:5" ht="30">
      <c r="A191" s="66" t="s">
        <v>12</v>
      </c>
      <c r="B191" s="42"/>
      <c r="C191" s="63" t="s">
        <v>203</v>
      </c>
      <c r="D191" s="62"/>
      <c r="E191" s="67">
        <v>63642672</v>
      </c>
    </row>
    <row r="192" spans="1:5" ht="30">
      <c r="A192" s="68" t="s">
        <v>12</v>
      </c>
      <c r="B192" s="69"/>
      <c r="C192" s="70" t="s">
        <v>204</v>
      </c>
      <c r="D192" s="71"/>
      <c r="E192" s="73">
        <v>68444844</v>
      </c>
    </row>
    <row r="193" spans="1:5" ht="30">
      <c r="A193" s="66" t="s">
        <v>12</v>
      </c>
      <c r="B193" s="42"/>
      <c r="C193" s="63" t="s">
        <v>205</v>
      </c>
      <c r="D193" s="62"/>
      <c r="E193" s="67">
        <v>69037183</v>
      </c>
    </row>
    <row r="194" spans="1:5" ht="30">
      <c r="A194" s="68" t="s">
        <v>12</v>
      </c>
      <c r="B194" s="69"/>
      <c r="C194" s="70" t="s">
        <v>206</v>
      </c>
      <c r="D194" s="71"/>
      <c r="E194" s="73">
        <v>65798863</v>
      </c>
    </row>
    <row r="195" spans="1:5" ht="30">
      <c r="A195" s="66" t="s">
        <v>12</v>
      </c>
      <c r="B195" s="42"/>
      <c r="C195" s="63" t="s">
        <v>207</v>
      </c>
      <c r="D195" s="62"/>
      <c r="E195" s="67">
        <v>67475112</v>
      </c>
    </row>
    <row r="196" spans="1:5" ht="30">
      <c r="A196" s="68" t="s">
        <v>12</v>
      </c>
      <c r="B196" s="69"/>
      <c r="C196" s="70" t="s">
        <v>208</v>
      </c>
      <c r="D196" s="71"/>
      <c r="E196" s="73">
        <v>62144569</v>
      </c>
    </row>
    <row r="197" spans="1:5" ht="30">
      <c r="A197" s="66" t="s">
        <v>12</v>
      </c>
      <c r="B197" s="42"/>
      <c r="C197" s="63" t="s">
        <v>209</v>
      </c>
      <c r="D197" s="62"/>
      <c r="E197" s="67">
        <v>68393118</v>
      </c>
    </row>
    <row r="198" spans="1:5" ht="30">
      <c r="A198" s="68" t="s">
        <v>12</v>
      </c>
      <c r="B198" s="69"/>
      <c r="C198" s="70" t="s">
        <v>210</v>
      </c>
      <c r="D198" s="71"/>
      <c r="E198" s="73">
        <v>67196709</v>
      </c>
    </row>
    <row r="199" spans="1:5" ht="30">
      <c r="A199" s="66" t="s">
        <v>12</v>
      </c>
      <c r="B199" s="42"/>
      <c r="C199" s="63" t="s">
        <v>211</v>
      </c>
      <c r="D199" s="62"/>
      <c r="E199" s="67">
        <v>69377112</v>
      </c>
    </row>
    <row r="200" spans="1:5" ht="30">
      <c r="A200" s="68" t="s">
        <v>12</v>
      </c>
      <c r="B200" s="69"/>
      <c r="C200" s="70" t="s">
        <v>212</v>
      </c>
      <c r="D200" s="71"/>
      <c r="E200" s="73">
        <v>64610362</v>
      </c>
    </row>
    <row r="201" spans="1:5" ht="30">
      <c r="A201" s="66" t="s">
        <v>12</v>
      </c>
      <c r="B201" s="42"/>
      <c r="C201" s="63" t="s">
        <v>213</v>
      </c>
      <c r="D201" s="62"/>
      <c r="E201" s="67">
        <v>65192462</v>
      </c>
    </row>
    <row r="202" spans="1:5" ht="30">
      <c r="A202" s="68" t="s">
        <v>12</v>
      </c>
      <c r="B202" s="69"/>
      <c r="C202" s="70" t="s">
        <v>214</v>
      </c>
      <c r="D202" s="71"/>
      <c r="E202" s="73">
        <v>66237957</v>
      </c>
    </row>
    <row r="203" spans="1:5" ht="30">
      <c r="A203" s="66" t="s">
        <v>12</v>
      </c>
      <c r="B203" s="42"/>
      <c r="C203" s="63" t="s">
        <v>215</v>
      </c>
      <c r="D203" s="62"/>
      <c r="E203" s="67">
        <v>7705988</v>
      </c>
    </row>
    <row r="204" spans="1:5" ht="30">
      <c r="A204" s="68" t="s">
        <v>12</v>
      </c>
      <c r="B204" s="69"/>
      <c r="C204" s="70" t="s">
        <v>216</v>
      </c>
      <c r="D204" s="71"/>
      <c r="E204" s="73">
        <v>65388340</v>
      </c>
    </row>
    <row r="205" spans="1:5" ht="30">
      <c r="A205" s="66" t="s">
        <v>12</v>
      </c>
      <c r="B205" s="42"/>
      <c r="C205" s="63" t="s">
        <v>217</v>
      </c>
      <c r="D205" s="62"/>
      <c r="E205" s="67">
        <v>67970079</v>
      </c>
    </row>
    <row r="206" spans="1:5" ht="30">
      <c r="A206" s="68" t="s">
        <v>12</v>
      </c>
      <c r="B206" s="69"/>
      <c r="C206" s="70" t="s">
        <v>218</v>
      </c>
      <c r="D206" s="71"/>
      <c r="E206" s="73">
        <v>64726675</v>
      </c>
    </row>
    <row r="207" spans="1:5" ht="30">
      <c r="A207" s="66" t="s">
        <v>12</v>
      </c>
      <c r="B207" s="42"/>
      <c r="C207" s="63" t="s">
        <v>219</v>
      </c>
      <c r="D207" s="62"/>
      <c r="E207" s="67">
        <v>65186467</v>
      </c>
    </row>
    <row r="208" spans="1:5" ht="30">
      <c r="A208" s="68" t="s">
        <v>12</v>
      </c>
      <c r="B208" s="69"/>
      <c r="C208" s="70" t="s">
        <v>220</v>
      </c>
      <c r="D208" s="71"/>
      <c r="E208" s="73">
        <v>68424605</v>
      </c>
    </row>
    <row r="209" spans="1:5" ht="30">
      <c r="A209" s="66" t="s">
        <v>12</v>
      </c>
      <c r="B209" s="42"/>
      <c r="C209" s="63" t="s">
        <v>221</v>
      </c>
      <c r="D209" s="62"/>
      <c r="E209" s="67">
        <v>65382347</v>
      </c>
    </row>
    <row r="210" spans="1:5" ht="30">
      <c r="A210" s="68" t="s">
        <v>12</v>
      </c>
      <c r="B210" s="69"/>
      <c r="C210" s="70" t="s">
        <v>222</v>
      </c>
      <c r="D210" s="71"/>
      <c r="E210" s="73">
        <v>7753280</v>
      </c>
    </row>
    <row r="211" spans="1:5" ht="30">
      <c r="A211" s="66" t="s">
        <v>12</v>
      </c>
      <c r="B211" s="42"/>
      <c r="C211" s="63" t="s">
        <v>223</v>
      </c>
      <c r="D211" s="62"/>
      <c r="E211" s="67">
        <v>6948047</v>
      </c>
    </row>
    <row r="212" spans="1:5" ht="30">
      <c r="A212" s="68" t="s">
        <v>12</v>
      </c>
      <c r="B212" s="69"/>
      <c r="C212" s="70" t="s">
        <v>224</v>
      </c>
      <c r="D212" s="71"/>
      <c r="E212" s="73">
        <v>64594313</v>
      </c>
    </row>
    <row r="213" spans="1:5" ht="30">
      <c r="A213" s="66" t="s">
        <v>12</v>
      </c>
      <c r="B213" s="42"/>
      <c r="C213" s="63" t="s">
        <v>225</v>
      </c>
      <c r="D213" s="62"/>
      <c r="E213" s="67">
        <v>66707560</v>
      </c>
    </row>
    <row r="214" spans="1:5" ht="30">
      <c r="A214" s="68" t="s">
        <v>12</v>
      </c>
      <c r="B214" s="69"/>
      <c r="C214" s="70" t="s">
        <v>226</v>
      </c>
      <c r="D214" s="71"/>
      <c r="E214" s="73">
        <v>67452380</v>
      </c>
    </row>
    <row r="215" spans="1:5" ht="30">
      <c r="A215" s="66" t="s">
        <v>12</v>
      </c>
      <c r="B215" s="42"/>
      <c r="C215" s="63" t="s">
        <v>227</v>
      </c>
      <c r="D215" s="62"/>
      <c r="E215" s="67">
        <v>65401260</v>
      </c>
    </row>
    <row r="216" spans="1:5" ht="30">
      <c r="A216" s="68" t="s">
        <v>12</v>
      </c>
      <c r="B216" s="69"/>
      <c r="C216" s="70" t="s">
        <v>228</v>
      </c>
      <c r="D216" s="71"/>
      <c r="E216" s="73">
        <v>67078049</v>
      </c>
    </row>
    <row r="217" spans="1:5" ht="30">
      <c r="A217" s="66" t="s">
        <v>12</v>
      </c>
      <c r="B217" s="42"/>
      <c r="C217" s="63" t="s">
        <v>229</v>
      </c>
      <c r="D217" s="62"/>
      <c r="E217" s="67">
        <v>62131596</v>
      </c>
    </row>
    <row r="218" spans="1:5" ht="30">
      <c r="A218" s="68" t="s">
        <v>12</v>
      </c>
      <c r="B218" s="69"/>
      <c r="C218" s="70" t="s">
        <v>230</v>
      </c>
      <c r="D218" s="71"/>
      <c r="E218" s="73">
        <v>7740435</v>
      </c>
    </row>
    <row r="219" spans="1:5" ht="30">
      <c r="A219" s="66" t="s">
        <v>12</v>
      </c>
      <c r="B219" s="42"/>
      <c r="C219" s="63" t="s">
        <v>231</v>
      </c>
      <c r="D219" s="62"/>
      <c r="E219" s="67">
        <v>67882855</v>
      </c>
    </row>
    <row r="220" spans="1:5" ht="30">
      <c r="A220" s="68" t="s">
        <v>12</v>
      </c>
      <c r="B220" s="69"/>
      <c r="C220" s="70" t="s">
        <v>232</v>
      </c>
      <c r="D220" s="71"/>
      <c r="E220" s="73">
        <v>6861714</v>
      </c>
    </row>
    <row r="221" spans="1:5" ht="30">
      <c r="A221" s="66" t="s">
        <v>12</v>
      </c>
      <c r="B221" s="42"/>
      <c r="C221" s="63" t="s">
        <v>233</v>
      </c>
      <c r="D221" s="62"/>
      <c r="E221" s="67">
        <v>66524250</v>
      </c>
    </row>
    <row r="222" spans="1:5" ht="30">
      <c r="A222" s="68" t="s">
        <v>12</v>
      </c>
      <c r="B222" s="69"/>
      <c r="C222" s="70" t="s">
        <v>234</v>
      </c>
      <c r="D222" s="71"/>
      <c r="E222" s="73"/>
    </row>
    <row r="223" spans="1:5" ht="30">
      <c r="A223" s="66" t="s">
        <v>12</v>
      </c>
      <c r="B223" s="42"/>
      <c r="C223" s="63" t="s">
        <v>235</v>
      </c>
      <c r="D223" s="62"/>
      <c r="E223" s="67">
        <v>66572910</v>
      </c>
    </row>
    <row r="224" spans="1:5" ht="30">
      <c r="A224" s="68" t="s">
        <v>12</v>
      </c>
      <c r="B224" s="69"/>
      <c r="C224" s="70" t="s">
        <v>236</v>
      </c>
      <c r="D224" s="71"/>
      <c r="E224" s="73">
        <v>68357511</v>
      </c>
    </row>
    <row r="225" spans="1:5" ht="30">
      <c r="A225" s="66" t="s">
        <v>12</v>
      </c>
      <c r="B225" s="42"/>
      <c r="C225" s="63" t="s">
        <v>237</v>
      </c>
      <c r="D225" s="62"/>
      <c r="E225" s="67">
        <v>62063623</v>
      </c>
    </row>
    <row r="226" spans="1:5" ht="30">
      <c r="A226" s="68" t="s">
        <v>12</v>
      </c>
      <c r="B226" s="69"/>
      <c r="C226" s="70" t="s">
        <v>238</v>
      </c>
      <c r="D226" s="71"/>
      <c r="E226" s="73">
        <v>64145702</v>
      </c>
    </row>
    <row r="227" spans="1:5" ht="30">
      <c r="A227" s="66" t="s">
        <v>12</v>
      </c>
      <c r="B227" s="42"/>
      <c r="C227" s="63" t="s">
        <v>239</v>
      </c>
      <c r="D227" s="62"/>
      <c r="E227" s="67">
        <v>63183961</v>
      </c>
    </row>
    <row r="228" spans="1:5" ht="30">
      <c r="A228" s="68" t="s">
        <v>12</v>
      </c>
      <c r="B228" s="69"/>
      <c r="C228" s="70" t="s">
        <v>240</v>
      </c>
      <c r="D228" s="71"/>
      <c r="E228" s="73">
        <v>69202504</v>
      </c>
    </row>
    <row r="229" spans="1:5" ht="30">
      <c r="A229" s="66" t="s">
        <v>12</v>
      </c>
      <c r="B229" s="42"/>
      <c r="C229" s="63" t="s">
        <v>241</v>
      </c>
      <c r="D229" s="62"/>
      <c r="E229" s="67">
        <v>66779673</v>
      </c>
    </row>
    <row r="230" spans="1:5" ht="30">
      <c r="A230" s="68" t="s">
        <v>12</v>
      </c>
      <c r="B230" s="69"/>
      <c r="C230" s="70" t="s">
        <v>242</v>
      </c>
      <c r="D230" s="71"/>
      <c r="E230" s="73">
        <v>60902503</v>
      </c>
    </row>
    <row r="231" spans="1:5" ht="30">
      <c r="A231" s="66" t="s">
        <v>12</v>
      </c>
      <c r="B231" s="42"/>
      <c r="C231" s="63" t="s">
        <v>243</v>
      </c>
      <c r="D231" s="62"/>
      <c r="E231" s="67">
        <v>7094131</v>
      </c>
    </row>
    <row r="232" spans="1:5" ht="30">
      <c r="A232" s="68" t="s">
        <v>12</v>
      </c>
      <c r="B232" s="69"/>
      <c r="C232" s="70" t="s">
        <v>244</v>
      </c>
      <c r="D232" s="71"/>
      <c r="E232" s="73">
        <v>63282947</v>
      </c>
    </row>
    <row r="233" spans="1:5" ht="30">
      <c r="A233" s="66" t="s">
        <v>12</v>
      </c>
      <c r="B233" s="42"/>
      <c r="C233" s="63" t="s">
        <v>245</v>
      </c>
      <c r="D233" s="62"/>
      <c r="E233" s="67">
        <v>7746704</v>
      </c>
    </row>
    <row r="234" spans="1:5" ht="30">
      <c r="A234" s="68" t="s">
        <v>12</v>
      </c>
      <c r="B234" s="69"/>
      <c r="C234" s="70" t="s">
        <v>246</v>
      </c>
      <c r="D234" s="71"/>
      <c r="E234" s="73">
        <v>7301156</v>
      </c>
    </row>
    <row r="235" spans="1:5" ht="30">
      <c r="A235" s="66" t="s">
        <v>12</v>
      </c>
      <c r="B235" s="42"/>
      <c r="C235" s="63" t="s">
        <v>247</v>
      </c>
      <c r="D235" s="62"/>
      <c r="E235" s="67">
        <v>66184358</v>
      </c>
    </row>
    <row r="236" spans="1:5" ht="30">
      <c r="A236" s="68" t="s">
        <v>12</v>
      </c>
      <c r="B236" s="69"/>
      <c r="C236" s="70" t="s">
        <v>248</v>
      </c>
      <c r="D236" s="71"/>
      <c r="E236" s="73">
        <v>7751420</v>
      </c>
    </row>
    <row r="237" spans="1:5" ht="30">
      <c r="A237" s="66" t="s">
        <v>12</v>
      </c>
      <c r="B237" s="42"/>
      <c r="C237" s="63" t="s">
        <v>249</v>
      </c>
      <c r="D237" s="62"/>
      <c r="E237" s="67">
        <v>66762830</v>
      </c>
    </row>
    <row r="238" spans="1:5" ht="30">
      <c r="A238" s="68" t="s">
        <v>12</v>
      </c>
      <c r="B238" s="69"/>
      <c r="C238" s="70" t="s">
        <v>250</v>
      </c>
      <c r="D238" s="71"/>
      <c r="E238" s="73">
        <v>64316111</v>
      </c>
    </row>
    <row r="239" spans="1:5" ht="30">
      <c r="A239" s="66" t="s">
        <v>12</v>
      </c>
      <c r="B239" s="42"/>
      <c r="C239" s="63" t="s">
        <v>251</v>
      </c>
      <c r="D239" s="62"/>
      <c r="E239" s="67">
        <v>7703467</v>
      </c>
    </row>
    <row r="240" spans="1:5" ht="30">
      <c r="A240" s="68" t="s">
        <v>12</v>
      </c>
      <c r="B240" s="69"/>
      <c r="C240" s="70" t="s">
        <v>252</v>
      </c>
      <c r="D240" s="71"/>
      <c r="E240" s="73">
        <v>69205104</v>
      </c>
    </row>
    <row r="241" spans="1:5" ht="30">
      <c r="A241" s="66" t="s">
        <v>12</v>
      </c>
      <c r="B241" s="42"/>
      <c r="C241" s="63" t="s">
        <v>253</v>
      </c>
      <c r="D241" s="62"/>
      <c r="E241" s="67">
        <v>7750191</v>
      </c>
    </row>
    <row r="242" spans="1:5" ht="30">
      <c r="A242" s="68" t="s">
        <v>12</v>
      </c>
      <c r="B242" s="69"/>
      <c r="C242" s="70" t="s">
        <v>254</v>
      </c>
      <c r="D242" s="71"/>
      <c r="E242" s="73">
        <v>67779598</v>
      </c>
    </row>
    <row r="243" spans="1:5" ht="30">
      <c r="A243" s="66" t="s">
        <v>12</v>
      </c>
      <c r="B243" s="42"/>
      <c r="C243" s="63" t="s">
        <v>255</v>
      </c>
      <c r="D243" s="62"/>
      <c r="E243" s="67">
        <v>65447525</v>
      </c>
    </row>
    <row r="244" spans="1:5" ht="30">
      <c r="A244" s="68" t="s">
        <v>12</v>
      </c>
      <c r="B244" s="69"/>
      <c r="C244" s="70" t="s">
        <v>256</v>
      </c>
      <c r="D244" s="71"/>
      <c r="E244" s="73">
        <v>7753905</v>
      </c>
    </row>
    <row r="245" spans="1:5" ht="30">
      <c r="A245" s="66" t="s">
        <v>12</v>
      </c>
      <c r="B245" s="42"/>
      <c r="C245" s="63" t="s">
        <v>257</v>
      </c>
      <c r="D245" s="62"/>
      <c r="E245" s="67">
        <v>68267713</v>
      </c>
    </row>
    <row r="246" spans="1:5" ht="30">
      <c r="A246" s="68" t="s">
        <v>12</v>
      </c>
      <c r="B246" s="69"/>
      <c r="C246" s="70" t="s">
        <v>258</v>
      </c>
      <c r="D246" s="71"/>
      <c r="E246" s="73">
        <v>68713030</v>
      </c>
    </row>
    <row r="247" spans="1:5" ht="30">
      <c r="A247" s="66" t="s">
        <v>12</v>
      </c>
      <c r="B247" s="42"/>
      <c r="C247" s="63" t="s">
        <v>259</v>
      </c>
      <c r="D247" s="62"/>
      <c r="E247" s="67">
        <v>66824234</v>
      </c>
    </row>
    <row r="248" spans="1:5" ht="30">
      <c r="A248" s="68" t="s">
        <v>12</v>
      </c>
      <c r="B248" s="69"/>
      <c r="C248" s="70" t="s">
        <v>260</v>
      </c>
      <c r="D248" s="71"/>
      <c r="E248" s="72">
        <v>66959212</v>
      </c>
    </row>
    <row r="249" spans="1:5" ht="30">
      <c r="A249" s="66" t="s">
        <v>12</v>
      </c>
      <c r="B249" s="42"/>
      <c r="C249" s="63" t="s">
        <v>261</v>
      </c>
      <c r="D249" s="62"/>
      <c r="E249" s="64">
        <v>69307538</v>
      </c>
    </row>
    <row r="250" spans="1:5" ht="30">
      <c r="A250" s="68" t="s">
        <v>12</v>
      </c>
      <c r="B250" s="69"/>
      <c r="C250" s="70" t="s">
        <v>262</v>
      </c>
      <c r="D250" s="71"/>
      <c r="E250" s="72">
        <v>63790153</v>
      </c>
    </row>
    <row r="251" spans="1:5" ht="30">
      <c r="A251" s="66" t="s">
        <v>12</v>
      </c>
      <c r="B251" s="42"/>
      <c r="C251" s="63" t="s">
        <v>263</v>
      </c>
      <c r="D251" s="62"/>
      <c r="E251" s="64">
        <v>68688506</v>
      </c>
    </row>
    <row r="252" spans="1:5" ht="30">
      <c r="A252" s="68" t="s">
        <v>12</v>
      </c>
      <c r="B252" s="69"/>
      <c r="C252" s="70" t="s">
        <v>264</v>
      </c>
      <c r="D252" s="71"/>
      <c r="E252" s="72">
        <v>68112762</v>
      </c>
    </row>
    <row r="253" spans="1:5" ht="30">
      <c r="A253" s="66" t="s">
        <v>12</v>
      </c>
      <c r="B253" s="42"/>
      <c r="C253" s="63" t="s">
        <v>265</v>
      </c>
      <c r="D253" s="62"/>
      <c r="E253" s="64">
        <v>67983019</v>
      </c>
    </row>
    <row r="254" spans="1:5" ht="30">
      <c r="A254" s="68" t="s">
        <v>12</v>
      </c>
      <c r="B254" s="69"/>
      <c r="C254" s="70" t="s">
        <v>266</v>
      </c>
      <c r="D254" s="71"/>
      <c r="E254" s="72">
        <v>62701240</v>
      </c>
    </row>
    <row r="255" spans="1:5" ht="30">
      <c r="A255" s="66" t="s">
        <v>12</v>
      </c>
      <c r="B255" s="42"/>
      <c r="C255" s="63" t="s">
        <v>267</v>
      </c>
      <c r="D255" s="62"/>
      <c r="E255" s="64">
        <v>63862379</v>
      </c>
    </row>
    <row r="256" spans="1:5" ht="30">
      <c r="A256" s="68" t="s">
        <v>12</v>
      </c>
      <c r="B256" s="69"/>
      <c r="C256" s="70" t="s">
        <v>268</v>
      </c>
      <c r="D256" s="71"/>
      <c r="E256" s="72">
        <v>64266582</v>
      </c>
    </row>
    <row r="257" spans="1:5" ht="30">
      <c r="A257" s="66" t="s">
        <v>12</v>
      </c>
      <c r="B257" s="42"/>
      <c r="C257" s="63" t="s">
        <v>269</v>
      </c>
      <c r="D257" s="62"/>
      <c r="E257" s="64">
        <v>67371115</v>
      </c>
    </row>
    <row r="258" spans="1:5" ht="30">
      <c r="A258" s="68" t="s">
        <v>12</v>
      </c>
      <c r="B258" s="69"/>
      <c r="C258" s="70" t="s">
        <v>270</v>
      </c>
      <c r="D258" s="71"/>
      <c r="E258" s="72">
        <v>66967258</v>
      </c>
    </row>
    <row r="259" spans="1:5" ht="30">
      <c r="A259" s="66" t="s">
        <v>12</v>
      </c>
      <c r="B259" s="42"/>
      <c r="C259" s="63" t="s">
        <v>271</v>
      </c>
      <c r="D259" s="62"/>
      <c r="E259" s="64">
        <v>67603869</v>
      </c>
    </row>
    <row r="260" spans="1:5" ht="30">
      <c r="A260" s="68" t="s">
        <v>12</v>
      </c>
      <c r="B260" s="69"/>
      <c r="C260" s="70" t="s">
        <v>272</v>
      </c>
      <c r="D260" s="71"/>
      <c r="E260" s="72">
        <v>63842704</v>
      </c>
    </row>
    <row r="261" spans="1:5" ht="30">
      <c r="A261" s="66" t="s">
        <v>12</v>
      </c>
      <c r="B261" s="42"/>
      <c r="C261" s="63" t="s">
        <v>273</v>
      </c>
      <c r="D261" s="62"/>
      <c r="E261" s="64">
        <v>7743797</v>
      </c>
    </row>
    <row r="262" spans="1:5" ht="30">
      <c r="A262" s="68" t="s">
        <v>12</v>
      </c>
      <c r="B262" s="69"/>
      <c r="C262" s="70" t="s">
        <v>274</v>
      </c>
      <c r="D262" s="71"/>
      <c r="E262" s="72">
        <v>67118881</v>
      </c>
    </row>
    <row r="263" spans="1:5" ht="30">
      <c r="A263" s="66" t="s">
        <v>12</v>
      </c>
      <c r="B263" s="42"/>
      <c r="C263" s="63" t="s">
        <v>275</v>
      </c>
      <c r="D263" s="62"/>
      <c r="E263" s="64">
        <v>7201050</v>
      </c>
    </row>
    <row r="264" spans="1:5" ht="30">
      <c r="A264" s="68" t="s">
        <v>12</v>
      </c>
      <c r="B264" s="69"/>
      <c r="C264" s="70" t="s">
        <v>276</v>
      </c>
      <c r="D264" s="71"/>
      <c r="E264" s="72">
        <v>67243071</v>
      </c>
    </row>
    <row r="265" spans="1:5" ht="30">
      <c r="A265" s="66" t="s">
        <v>12</v>
      </c>
      <c r="B265" s="42"/>
      <c r="C265" s="63" t="s">
        <v>277</v>
      </c>
      <c r="D265" s="62"/>
      <c r="E265" s="64">
        <v>66981896</v>
      </c>
    </row>
    <row r="266" spans="1:5" ht="30">
      <c r="A266" s="68" t="s">
        <v>12</v>
      </c>
      <c r="B266" s="69"/>
      <c r="C266" s="70" t="s">
        <v>278</v>
      </c>
      <c r="D266" s="71"/>
      <c r="E266" s="72">
        <v>65094093</v>
      </c>
    </row>
    <row r="267" spans="1:5" ht="30">
      <c r="A267" s="66" t="s">
        <v>12</v>
      </c>
      <c r="B267" s="42"/>
      <c r="C267" s="63" t="s">
        <v>279</v>
      </c>
      <c r="D267" s="62"/>
      <c r="E267" s="64">
        <v>61704573</v>
      </c>
    </row>
    <row r="268" spans="1:5" ht="30">
      <c r="A268" s="68" t="s">
        <v>12</v>
      </c>
      <c r="B268" s="69"/>
      <c r="C268" s="70" t="s">
        <v>280</v>
      </c>
      <c r="D268" s="71"/>
      <c r="E268" s="72">
        <v>62487813</v>
      </c>
    </row>
    <row r="269" spans="1:5" ht="30">
      <c r="A269" s="66" t="s">
        <v>12</v>
      </c>
      <c r="B269" s="42"/>
      <c r="C269" s="63" t="s">
        <v>281</v>
      </c>
      <c r="D269" s="62"/>
      <c r="E269" s="64">
        <v>68080636</v>
      </c>
    </row>
    <row r="270" spans="1:5">
      <c r="A270" s="68" t="s">
        <v>282</v>
      </c>
      <c r="B270" s="69"/>
      <c r="C270" s="70" t="s">
        <v>283</v>
      </c>
      <c r="D270" s="71"/>
      <c r="E270" s="72">
        <v>63910095</v>
      </c>
    </row>
    <row r="271" spans="1:5">
      <c r="A271" s="66" t="s">
        <v>282</v>
      </c>
      <c r="B271" s="42"/>
      <c r="C271" s="63" t="s">
        <v>284</v>
      </c>
      <c r="D271" s="62"/>
      <c r="E271" s="64">
        <v>68672725</v>
      </c>
    </row>
    <row r="272" spans="1:5">
      <c r="A272" s="68" t="s">
        <v>282</v>
      </c>
      <c r="B272" s="69"/>
      <c r="C272" s="70" t="s">
        <v>285</v>
      </c>
      <c r="D272" s="71"/>
      <c r="E272" s="72">
        <v>67366502</v>
      </c>
    </row>
    <row r="273" spans="1:5">
      <c r="A273" s="66" t="s">
        <v>282</v>
      </c>
      <c r="B273" s="42"/>
      <c r="C273" s="63" t="s">
        <v>286</v>
      </c>
      <c r="D273" s="62"/>
      <c r="E273" s="64">
        <v>65029724</v>
      </c>
    </row>
    <row r="274" spans="1:5">
      <c r="A274" s="68" t="s">
        <v>282</v>
      </c>
      <c r="B274" s="69"/>
      <c r="C274" s="70" t="s">
        <v>287</v>
      </c>
      <c r="D274" s="71"/>
      <c r="E274" s="72">
        <v>64456855</v>
      </c>
    </row>
    <row r="275" spans="1:5">
      <c r="A275" s="66" t="s">
        <v>282</v>
      </c>
      <c r="B275" s="42"/>
      <c r="C275" s="63" t="s">
        <v>288</v>
      </c>
      <c r="D275" s="62"/>
      <c r="E275" s="64">
        <v>65979882</v>
      </c>
    </row>
    <row r="276" spans="1:5">
      <c r="A276" s="68" t="s">
        <v>282</v>
      </c>
      <c r="B276" s="69"/>
      <c r="C276" s="70" t="s">
        <v>289</v>
      </c>
      <c r="D276" s="71"/>
      <c r="E276" s="72">
        <v>64538198</v>
      </c>
    </row>
    <row r="277" spans="1:5">
      <c r="A277" s="66" t="s">
        <v>282</v>
      </c>
      <c r="B277" s="42"/>
      <c r="C277" s="63" t="s">
        <v>290</v>
      </c>
      <c r="D277" s="62"/>
      <c r="E277" s="64">
        <v>64776316</v>
      </c>
    </row>
    <row r="278" spans="1:5">
      <c r="A278" s="68" t="s">
        <v>282</v>
      </c>
      <c r="B278" s="69"/>
      <c r="C278" s="70" t="s">
        <v>291</v>
      </c>
      <c r="D278" s="71"/>
      <c r="E278" s="72">
        <v>66717720</v>
      </c>
    </row>
    <row r="279" spans="1:5">
      <c r="A279" s="66" t="s">
        <v>282</v>
      </c>
      <c r="B279" s="42"/>
      <c r="C279" s="63" t="s">
        <v>292</v>
      </c>
      <c r="D279" s="62"/>
      <c r="E279" s="76"/>
    </row>
    <row r="280" spans="1:5">
      <c r="A280" s="68" t="s">
        <v>282</v>
      </c>
      <c r="B280" s="69"/>
      <c r="C280" s="70" t="s">
        <v>293</v>
      </c>
      <c r="D280" s="71"/>
      <c r="E280" s="72">
        <v>66448184</v>
      </c>
    </row>
    <row r="281" spans="1:5">
      <c r="A281" s="66" t="s">
        <v>282</v>
      </c>
      <c r="B281" s="42"/>
      <c r="C281" s="63" t="s">
        <v>294</v>
      </c>
      <c r="D281" s="62"/>
      <c r="E281" s="64">
        <v>65126194</v>
      </c>
    </row>
    <row r="282" spans="1:5">
      <c r="A282" s="68" t="s">
        <v>282</v>
      </c>
      <c r="B282" s="69"/>
      <c r="C282" s="70" t="s">
        <v>295</v>
      </c>
      <c r="D282" s="71"/>
      <c r="E282" s="72">
        <v>66617517</v>
      </c>
    </row>
    <row r="283" spans="1:5">
      <c r="A283" s="66" t="s">
        <v>282</v>
      </c>
      <c r="B283" s="42"/>
      <c r="C283" s="63" t="s">
        <v>296</v>
      </c>
      <c r="D283" s="62"/>
      <c r="E283" s="64">
        <v>66609222</v>
      </c>
    </row>
    <row r="284" spans="1:5">
      <c r="A284" s="68" t="s">
        <v>282</v>
      </c>
      <c r="B284" s="69"/>
      <c r="C284" s="70" t="s">
        <v>297</v>
      </c>
      <c r="D284" s="71"/>
      <c r="E284" s="72">
        <v>68564059</v>
      </c>
    </row>
    <row r="285" spans="1:5">
      <c r="A285" s="66" t="s">
        <v>282</v>
      </c>
      <c r="B285" s="42"/>
      <c r="C285" s="63" t="s">
        <v>298</v>
      </c>
      <c r="D285" s="62"/>
      <c r="E285" s="64">
        <v>7751306</v>
      </c>
    </row>
    <row r="286" spans="1:5">
      <c r="A286" s="68" t="s">
        <v>282</v>
      </c>
      <c r="B286" s="69"/>
      <c r="C286" s="70" t="s">
        <v>299</v>
      </c>
      <c r="D286" s="71"/>
      <c r="E286" s="72">
        <v>7303199</v>
      </c>
    </row>
    <row r="287" spans="1:5">
      <c r="A287" s="66" t="s">
        <v>282</v>
      </c>
      <c r="B287" s="42"/>
      <c r="C287" s="63" t="s">
        <v>300</v>
      </c>
      <c r="D287" s="62"/>
      <c r="E287" s="64">
        <v>67019047</v>
      </c>
    </row>
    <row r="288" spans="1:5">
      <c r="A288" s="68" t="s">
        <v>282</v>
      </c>
      <c r="B288" s="69"/>
      <c r="C288" s="70" t="s">
        <v>301</v>
      </c>
      <c r="D288" s="71"/>
      <c r="E288" s="72">
        <v>66476191</v>
      </c>
    </row>
    <row r="289" spans="1:5">
      <c r="A289" s="66" t="s">
        <v>282</v>
      </c>
      <c r="B289" s="42"/>
      <c r="C289" s="63" t="s">
        <v>302</v>
      </c>
      <c r="D289" s="62"/>
      <c r="E289" s="64">
        <v>65020773</v>
      </c>
    </row>
    <row r="290" spans="1:5">
      <c r="A290" s="68" t="s">
        <v>282</v>
      </c>
      <c r="B290" s="69"/>
      <c r="C290" s="70" t="s">
        <v>303</v>
      </c>
      <c r="D290" s="71"/>
      <c r="E290" s="72">
        <v>68931466</v>
      </c>
    </row>
    <row r="291" spans="1:5">
      <c r="A291" s="66" t="s">
        <v>282</v>
      </c>
      <c r="B291" s="42"/>
      <c r="C291" s="63" t="s">
        <v>304</v>
      </c>
      <c r="D291" s="62"/>
      <c r="E291" s="64">
        <v>68640875</v>
      </c>
    </row>
    <row r="292" spans="1:5">
      <c r="A292" s="68" t="s">
        <v>282</v>
      </c>
      <c r="B292" s="69"/>
      <c r="C292" s="70" t="s">
        <v>305</v>
      </c>
      <c r="D292" s="71"/>
      <c r="E292" s="72">
        <v>69163664</v>
      </c>
    </row>
    <row r="293" spans="1:5">
      <c r="A293" s="66" t="s">
        <v>282</v>
      </c>
      <c r="B293" s="42"/>
      <c r="C293" s="63" t="s">
        <v>306</v>
      </c>
      <c r="D293" s="62"/>
      <c r="E293" s="64">
        <v>64976069</v>
      </c>
    </row>
    <row r="294" spans="1:5">
      <c r="A294" s="68" t="s">
        <v>282</v>
      </c>
      <c r="B294" s="69"/>
      <c r="C294" s="70" t="s">
        <v>307</v>
      </c>
      <c r="D294" s="71"/>
      <c r="E294" s="72">
        <v>63560133</v>
      </c>
    </row>
    <row r="295" spans="1:5">
      <c r="A295" s="66" t="s">
        <v>282</v>
      </c>
      <c r="B295" s="42"/>
      <c r="C295" s="63" t="s">
        <v>308</v>
      </c>
      <c r="D295" s="62"/>
      <c r="E295" s="64">
        <v>69803507</v>
      </c>
    </row>
    <row r="296" spans="1:5">
      <c r="A296" s="68" t="s">
        <v>282</v>
      </c>
      <c r="B296" s="69"/>
      <c r="C296" s="70" t="s">
        <v>309</v>
      </c>
      <c r="D296" s="71"/>
      <c r="E296" s="72">
        <v>66862480</v>
      </c>
    </row>
    <row r="297" spans="1:5">
      <c r="A297" s="66" t="s">
        <v>282</v>
      </c>
      <c r="B297" s="42"/>
      <c r="C297" s="63" t="s">
        <v>310</v>
      </c>
      <c r="D297" s="62"/>
      <c r="E297" s="64">
        <v>67713561</v>
      </c>
    </row>
    <row r="298" spans="1:5">
      <c r="A298" s="68" t="s">
        <v>282</v>
      </c>
      <c r="B298" s="69"/>
      <c r="C298" s="70" t="s">
        <v>311</v>
      </c>
      <c r="D298" s="71"/>
      <c r="E298" s="72">
        <v>66032251</v>
      </c>
    </row>
    <row r="299" spans="1:5">
      <c r="A299" s="66" t="s">
        <v>282</v>
      </c>
      <c r="B299" s="42"/>
      <c r="C299" s="63" t="s">
        <v>312</v>
      </c>
      <c r="D299" s="62"/>
      <c r="E299" s="64">
        <v>63740719</v>
      </c>
    </row>
    <row r="300" spans="1:5">
      <c r="A300" s="68" t="s">
        <v>282</v>
      </c>
      <c r="B300" s="69"/>
      <c r="C300" s="70" t="s">
        <v>313</v>
      </c>
      <c r="D300" s="71"/>
      <c r="E300" s="72">
        <v>61884689</v>
      </c>
    </row>
    <row r="301" spans="1:5">
      <c r="A301" s="66" t="s">
        <v>282</v>
      </c>
      <c r="B301" s="42"/>
      <c r="C301" s="63" t="s">
        <v>314</v>
      </c>
      <c r="D301" s="62"/>
      <c r="E301" s="64">
        <v>67550494</v>
      </c>
    </row>
    <row r="302" spans="1:5">
      <c r="A302" s="68" t="s">
        <v>282</v>
      </c>
      <c r="B302" s="69"/>
      <c r="C302" s="70" t="s">
        <v>315</v>
      </c>
      <c r="D302" s="71"/>
      <c r="E302" s="72">
        <v>62310872</v>
      </c>
    </row>
    <row r="303" spans="1:5">
      <c r="A303" s="66" t="s">
        <v>282</v>
      </c>
      <c r="B303" s="42"/>
      <c r="C303" s="63" t="s">
        <v>316</v>
      </c>
      <c r="D303" s="62"/>
      <c r="E303" s="64">
        <v>67850982</v>
      </c>
    </row>
    <row r="304" spans="1:5">
      <c r="A304" s="68" t="s">
        <v>282</v>
      </c>
      <c r="B304" s="69"/>
      <c r="C304" s="70" t="s">
        <v>317</v>
      </c>
      <c r="D304" s="71"/>
      <c r="E304" s="72">
        <v>66994777</v>
      </c>
    </row>
    <row r="305" spans="1:5">
      <c r="A305" s="66" t="s">
        <v>282</v>
      </c>
      <c r="B305" s="42"/>
      <c r="C305" s="63" t="s">
        <v>318</v>
      </c>
      <c r="D305" s="62"/>
      <c r="E305" s="64">
        <v>66814620</v>
      </c>
    </row>
    <row r="306" spans="1:5">
      <c r="A306" s="68" t="s">
        <v>282</v>
      </c>
      <c r="B306" s="69"/>
      <c r="C306" s="70" t="s">
        <v>319</v>
      </c>
      <c r="D306" s="71"/>
      <c r="E306" s="72">
        <v>61274795</v>
      </c>
    </row>
    <row r="307" spans="1:5">
      <c r="A307" s="66" t="s">
        <v>282</v>
      </c>
      <c r="B307" s="42"/>
      <c r="C307" s="63" t="s">
        <v>320</v>
      </c>
      <c r="D307" s="62"/>
      <c r="E307" s="64">
        <v>67454990</v>
      </c>
    </row>
    <row r="308" spans="1:5">
      <c r="A308" s="68" t="s">
        <v>282</v>
      </c>
      <c r="B308" s="69"/>
      <c r="C308" s="70" t="s">
        <v>321</v>
      </c>
      <c r="D308" s="71"/>
      <c r="E308" s="72">
        <v>64579273</v>
      </c>
    </row>
    <row r="309" spans="1:5">
      <c r="A309" s="66" t="s">
        <v>282</v>
      </c>
      <c r="B309" s="42"/>
      <c r="C309" s="63" t="s">
        <v>322</v>
      </c>
      <c r="D309" s="62"/>
      <c r="E309" s="64">
        <v>65841226</v>
      </c>
    </row>
    <row r="310" spans="1:5">
      <c r="A310" s="68" t="s">
        <v>282</v>
      </c>
      <c r="B310" s="69"/>
      <c r="C310" s="70" t="s">
        <v>323</v>
      </c>
      <c r="D310" s="71"/>
      <c r="E310" s="72">
        <v>67492057</v>
      </c>
    </row>
    <row r="311" spans="1:5">
      <c r="A311" s="66" t="s">
        <v>282</v>
      </c>
      <c r="B311" s="42"/>
      <c r="C311" s="63" t="s">
        <v>324</v>
      </c>
      <c r="D311" s="62"/>
      <c r="E311" s="64">
        <v>66681534</v>
      </c>
    </row>
    <row r="312" spans="1:5">
      <c r="A312" s="68" t="s">
        <v>282</v>
      </c>
      <c r="B312" s="69"/>
      <c r="C312" s="70" t="s">
        <v>325</v>
      </c>
      <c r="D312" s="71"/>
      <c r="E312" s="72">
        <v>64342482</v>
      </c>
    </row>
    <row r="313" spans="1:5">
      <c r="A313" s="66" t="s">
        <v>282</v>
      </c>
      <c r="B313" s="42"/>
      <c r="C313" s="63" t="s">
        <v>326</v>
      </c>
      <c r="D313" s="62"/>
      <c r="E313" s="64">
        <v>66616474</v>
      </c>
    </row>
    <row r="314" spans="1:5">
      <c r="A314" s="68" t="s">
        <v>282</v>
      </c>
      <c r="B314" s="69"/>
      <c r="C314" s="70" t="s">
        <v>327</v>
      </c>
      <c r="D314" s="71"/>
      <c r="E314" s="72">
        <v>68439942</v>
      </c>
    </row>
    <row r="315" spans="1:5">
      <c r="A315" s="66" t="s">
        <v>282</v>
      </c>
      <c r="B315" s="42"/>
      <c r="C315" s="63" t="s">
        <v>328</v>
      </c>
      <c r="D315" s="62"/>
      <c r="E315" s="64">
        <v>61799682</v>
      </c>
    </row>
    <row r="316" spans="1:5">
      <c r="A316" s="68" t="s">
        <v>282</v>
      </c>
      <c r="B316" s="69"/>
      <c r="C316" s="70" t="s">
        <v>329</v>
      </c>
      <c r="D316" s="71"/>
      <c r="E316" s="72">
        <v>67744661</v>
      </c>
    </row>
    <row r="317" spans="1:5">
      <c r="A317" s="66" t="s">
        <v>282</v>
      </c>
      <c r="B317" s="42"/>
      <c r="C317" s="63" t="s">
        <v>330</v>
      </c>
      <c r="D317" s="62"/>
      <c r="E317" s="64">
        <v>69427015</v>
      </c>
    </row>
    <row r="318" spans="1:5">
      <c r="A318" s="68" t="s">
        <v>282</v>
      </c>
      <c r="B318" s="69"/>
      <c r="C318" s="70" t="s">
        <v>331</v>
      </c>
      <c r="D318" s="71"/>
      <c r="E318" s="72">
        <v>67763594</v>
      </c>
    </row>
    <row r="319" spans="1:5">
      <c r="A319" s="66" t="s">
        <v>282</v>
      </c>
      <c r="B319" s="42"/>
      <c r="C319" s="63" t="s">
        <v>332</v>
      </c>
      <c r="D319" s="62"/>
      <c r="E319" s="64">
        <v>63409905</v>
      </c>
    </row>
    <row r="320" spans="1:5">
      <c r="A320" s="68" t="s">
        <v>282</v>
      </c>
      <c r="B320" s="69"/>
      <c r="C320" s="70" t="s">
        <v>333</v>
      </c>
      <c r="D320" s="71"/>
      <c r="E320" s="72">
        <v>67851652</v>
      </c>
    </row>
    <row r="321" spans="1:5">
      <c r="A321" s="66" t="s">
        <v>282</v>
      </c>
      <c r="B321" s="42"/>
      <c r="C321" s="63" t="s">
        <v>334</v>
      </c>
      <c r="D321" s="62"/>
      <c r="E321" s="64">
        <v>64992320</v>
      </c>
    </row>
    <row r="322" spans="1:5">
      <c r="A322" s="68" t="s">
        <v>282</v>
      </c>
      <c r="B322" s="69"/>
      <c r="C322" s="70" t="s">
        <v>335</v>
      </c>
      <c r="D322" s="71"/>
      <c r="E322" s="72">
        <v>65003021</v>
      </c>
    </row>
    <row r="323" spans="1:5">
      <c r="A323" s="66" t="s">
        <v>282</v>
      </c>
      <c r="B323" s="42"/>
      <c r="C323" s="63" t="s">
        <v>336</v>
      </c>
      <c r="D323" s="62"/>
      <c r="E323" s="64">
        <v>60232740</v>
      </c>
    </row>
    <row r="324" spans="1:5">
      <c r="A324" s="68" t="s">
        <v>282</v>
      </c>
      <c r="B324" s="69"/>
      <c r="C324" s="70" t="s">
        <v>337</v>
      </c>
      <c r="D324" s="71"/>
      <c r="E324" s="72">
        <v>67005830</v>
      </c>
    </row>
    <row r="325" spans="1:5">
      <c r="A325" s="66" t="s">
        <v>282</v>
      </c>
      <c r="B325" s="42"/>
      <c r="C325" s="63" t="s">
        <v>338</v>
      </c>
      <c r="D325" s="62"/>
      <c r="E325" s="64">
        <v>66531164</v>
      </c>
    </row>
    <row r="326" spans="1:5">
      <c r="A326" s="68" t="s">
        <v>282</v>
      </c>
      <c r="B326" s="69"/>
      <c r="C326" s="70" t="s">
        <v>339</v>
      </c>
      <c r="D326" s="71"/>
      <c r="E326" s="72">
        <v>67989874</v>
      </c>
    </row>
    <row r="327" spans="1:5">
      <c r="A327" s="66" t="s">
        <v>282</v>
      </c>
      <c r="B327" s="42"/>
      <c r="C327" s="63" t="s">
        <v>340</v>
      </c>
      <c r="D327" s="62"/>
      <c r="E327" s="64">
        <v>7707416</v>
      </c>
    </row>
    <row r="328" spans="1:5">
      <c r="A328" s="68" t="s">
        <v>282</v>
      </c>
      <c r="B328" s="69"/>
      <c r="C328" s="70" t="s">
        <v>341</v>
      </c>
      <c r="D328" s="71"/>
      <c r="E328" s="72">
        <v>66092020</v>
      </c>
    </row>
    <row r="329" spans="1:5">
      <c r="A329" s="66" t="s">
        <v>282</v>
      </c>
      <c r="B329" s="42"/>
      <c r="C329" s="63" t="s">
        <v>342</v>
      </c>
      <c r="D329" s="62"/>
      <c r="E329" s="64">
        <v>68637881</v>
      </c>
    </row>
    <row r="330" spans="1:5">
      <c r="A330" s="68" t="s">
        <v>282</v>
      </c>
      <c r="B330" s="69"/>
      <c r="C330" s="70" t="s">
        <v>343</v>
      </c>
      <c r="D330" s="71"/>
      <c r="E330" s="72">
        <v>63969260</v>
      </c>
    </row>
    <row r="331" spans="1:5">
      <c r="A331" s="66" t="s">
        <v>282</v>
      </c>
      <c r="B331" s="42"/>
      <c r="C331" s="63" t="s">
        <v>344</v>
      </c>
      <c r="D331" s="62"/>
      <c r="E331" s="64">
        <v>69593057</v>
      </c>
    </row>
    <row r="332" spans="1:5">
      <c r="A332" s="68" t="s">
        <v>282</v>
      </c>
      <c r="B332" s="69"/>
      <c r="C332" s="70" t="s">
        <v>345</v>
      </c>
      <c r="D332" s="71"/>
      <c r="E332" s="72">
        <v>67736935</v>
      </c>
    </row>
    <row r="333" spans="1:5">
      <c r="A333" s="66" t="s">
        <v>282</v>
      </c>
      <c r="B333" s="42"/>
      <c r="C333" s="63" t="s">
        <v>346</v>
      </c>
      <c r="D333" s="62"/>
      <c r="E333" s="64">
        <v>62337284</v>
      </c>
    </row>
    <row r="334" spans="1:5">
      <c r="A334" s="68" t="s">
        <v>282</v>
      </c>
      <c r="B334" s="69"/>
      <c r="C334" s="70" t="s">
        <v>347</v>
      </c>
      <c r="D334" s="71"/>
      <c r="E334" s="72">
        <v>69738398</v>
      </c>
    </row>
    <row r="335" spans="1:5">
      <c r="A335" s="66" t="s">
        <v>282</v>
      </c>
      <c r="B335" s="42"/>
      <c r="C335" s="63" t="s">
        <v>348</v>
      </c>
      <c r="D335" s="62"/>
      <c r="E335" s="64">
        <v>68065955</v>
      </c>
    </row>
    <row r="336" spans="1:5">
      <c r="A336" s="68" t="s">
        <v>282</v>
      </c>
      <c r="B336" s="69"/>
      <c r="C336" s="70" t="s">
        <v>349</v>
      </c>
      <c r="D336" s="71"/>
      <c r="E336" s="72">
        <v>65914992</v>
      </c>
    </row>
    <row r="337" spans="1:5">
      <c r="A337" s="66" t="s">
        <v>282</v>
      </c>
      <c r="B337" s="42"/>
      <c r="C337" s="63" t="s">
        <v>350</v>
      </c>
      <c r="D337" s="62"/>
      <c r="E337" s="64">
        <v>66980723</v>
      </c>
    </row>
    <row r="338" spans="1:5">
      <c r="A338" s="68" t="s">
        <v>282</v>
      </c>
      <c r="B338" s="69"/>
      <c r="C338" s="70" t="s">
        <v>351</v>
      </c>
      <c r="D338" s="71"/>
      <c r="E338" s="72">
        <v>66019405</v>
      </c>
    </row>
    <row r="339" spans="1:5">
      <c r="A339" s="66" t="s">
        <v>282</v>
      </c>
      <c r="B339" s="42"/>
      <c r="C339" s="63" t="s">
        <v>352</v>
      </c>
      <c r="D339" s="62"/>
      <c r="E339" s="64">
        <v>62064764</v>
      </c>
    </row>
    <row r="340" spans="1:5">
      <c r="A340" s="68" t="s">
        <v>282</v>
      </c>
      <c r="B340" s="69"/>
      <c r="C340" s="70" t="s">
        <v>353</v>
      </c>
      <c r="D340" s="71"/>
      <c r="E340" s="73">
        <v>64095684</v>
      </c>
    </row>
    <row r="341" spans="1:5">
      <c r="A341" s="66" t="s">
        <v>282</v>
      </c>
      <c r="B341" s="42"/>
      <c r="C341" s="63" t="s">
        <v>354</v>
      </c>
      <c r="D341" s="62"/>
      <c r="E341" s="67">
        <v>65387111</v>
      </c>
    </row>
    <row r="342" spans="1:5">
      <c r="A342" s="68" t="s">
        <v>282</v>
      </c>
      <c r="B342" s="69"/>
      <c r="C342" s="70" t="s">
        <v>355</v>
      </c>
      <c r="D342" s="71"/>
      <c r="E342" s="73">
        <v>64804443</v>
      </c>
    </row>
    <row r="343" spans="1:5">
      <c r="A343" s="66" t="s">
        <v>282</v>
      </c>
      <c r="B343" s="42"/>
      <c r="C343" s="63" t="s">
        <v>356</v>
      </c>
      <c r="D343" s="62"/>
      <c r="E343" s="67">
        <v>7887083</v>
      </c>
    </row>
    <row r="344" spans="1:5">
      <c r="A344" s="68" t="s">
        <v>282</v>
      </c>
      <c r="B344" s="69"/>
      <c r="C344" s="70" t="s">
        <v>357</v>
      </c>
      <c r="D344" s="71"/>
      <c r="E344" s="73">
        <v>7752689</v>
      </c>
    </row>
    <row r="345" spans="1:5">
      <c r="A345" s="66" t="s">
        <v>282</v>
      </c>
      <c r="B345" s="42"/>
      <c r="C345" s="63" t="s">
        <v>358</v>
      </c>
      <c r="D345" s="62"/>
      <c r="E345" s="67">
        <v>66149087</v>
      </c>
    </row>
    <row r="346" spans="1:5">
      <c r="A346" s="68" t="s">
        <v>282</v>
      </c>
      <c r="B346" s="69"/>
      <c r="C346" s="70" t="s">
        <v>359</v>
      </c>
      <c r="D346" s="71"/>
      <c r="E346" s="73">
        <v>64143047</v>
      </c>
    </row>
    <row r="347" spans="1:5">
      <c r="A347" s="66" t="s">
        <v>282</v>
      </c>
      <c r="B347" s="42"/>
      <c r="C347" s="63" t="s">
        <v>360</v>
      </c>
      <c r="D347" s="62"/>
      <c r="E347" s="67">
        <v>7755357</v>
      </c>
    </row>
    <row r="348" spans="1:5">
      <c r="A348" s="68" t="s">
        <v>282</v>
      </c>
      <c r="B348" s="69"/>
      <c r="C348" s="70" t="s">
        <v>361</v>
      </c>
      <c r="D348" s="71"/>
      <c r="E348" s="73">
        <v>68231511</v>
      </c>
    </row>
    <row r="349" spans="1:5">
      <c r="A349" s="66" t="s">
        <v>282</v>
      </c>
      <c r="B349" s="42"/>
      <c r="C349" s="63" t="s">
        <v>362</v>
      </c>
      <c r="D349" s="62"/>
      <c r="E349" s="67">
        <v>68238680</v>
      </c>
    </row>
    <row r="350" spans="1:5">
      <c r="A350" s="68" t="s">
        <v>282</v>
      </c>
      <c r="B350" s="69"/>
      <c r="C350" s="70" t="s">
        <v>363</v>
      </c>
      <c r="D350" s="71"/>
      <c r="E350" s="73">
        <v>66791956</v>
      </c>
    </row>
    <row r="351" spans="1:5">
      <c r="A351" s="66" t="s">
        <v>282</v>
      </c>
      <c r="B351" s="42"/>
      <c r="C351" s="63" t="s">
        <v>364</v>
      </c>
      <c r="D351" s="62"/>
      <c r="E351" s="67">
        <v>62927711</v>
      </c>
    </row>
    <row r="352" spans="1:5">
      <c r="A352" s="68" t="s">
        <v>282</v>
      </c>
      <c r="B352" s="69"/>
      <c r="C352" s="70" t="s">
        <v>365</v>
      </c>
      <c r="D352" s="71"/>
      <c r="E352" s="73">
        <v>67702140</v>
      </c>
    </row>
    <row r="353" spans="1:5">
      <c r="A353" s="66" t="s">
        <v>282</v>
      </c>
      <c r="B353" s="42"/>
      <c r="C353" s="63" t="s">
        <v>366</v>
      </c>
      <c r="D353" s="62"/>
      <c r="E353" s="67">
        <v>69550066</v>
      </c>
    </row>
    <row r="354" spans="1:5">
      <c r="A354" s="68" t="s">
        <v>282</v>
      </c>
      <c r="B354" s="69"/>
      <c r="C354" s="70" t="s">
        <v>367</v>
      </c>
      <c r="D354" s="71"/>
      <c r="E354" s="73">
        <v>7749319</v>
      </c>
    </row>
    <row r="355" spans="1:5">
      <c r="A355" s="66" t="s">
        <v>282</v>
      </c>
      <c r="B355" s="42"/>
      <c r="C355" s="63" t="s">
        <v>368</v>
      </c>
      <c r="D355" s="62"/>
      <c r="E355" s="67">
        <v>7740260</v>
      </c>
    </row>
    <row r="356" spans="1:5">
      <c r="A356" s="68" t="s">
        <v>282</v>
      </c>
      <c r="B356" s="69"/>
      <c r="C356" s="70" t="s">
        <v>369</v>
      </c>
      <c r="D356" s="71"/>
      <c r="E356" s="73">
        <v>7753337</v>
      </c>
    </row>
    <row r="357" spans="1:5">
      <c r="A357" s="66" t="s">
        <v>282</v>
      </c>
      <c r="B357" s="42"/>
      <c r="C357" s="63" t="s">
        <v>370</v>
      </c>
      <c r="D357" s="62"/>
      <c r="E357" s="67">
        <v>7881599</v>
      </c>
    </row>
    <row r="358" spans="1:5">
      <c r="A358" s="68" t="s">
        <v>282</v>
      </c>
      <c r="B358" s="69"/>
      <c r="C358" s="70" t="s">
        <v>371</v>
      </c>
      <c r="D358" s="71"/>
      <c r="E358" s="73">
        <v>7743209</v>
      </c>
    </row>
    <row r="359" spans="1:5">
      <c r="A359" s="66" t="s">
        <v>282</v>
      </c>
      <c r="B359" s="42"/>
      <c r="C359" s="63" t="s">
        <v>372</v>
      </c>
      <c r="D359" s="62"/>
      <c r="E359" s="67">
        <v>65135859</v>
      </c>
    </row>
    <row r="360" spans="1:5">
      <c r="A360" s="68" t="s">
        <v>282</v>
      </c>
      <c r="B360" s="69"/>
      <c r="C360" s="70" t="s">
        <v>373</v>
      </c>
      <c r="D360" s="71"/>
      <c r="E360" s="73">
        <v>65941795</v>
      </c>
    </row>
    <row r="361" spans="1:5">
      <c r="A361" s="66" t="s">
        <v>282</v>
      </c>
      <c r="B361" s="42"/>
      <c r="C361" s="63" t="s">
        <v>374</v>
      </c>
      <c r="D361" s="62"/>
      <c r="E361" s="67">
        <v>65118165</v>
      </c>
    </row>
    <row r="362" spans="1:5">
      <c r="A362" s="68" t="s">
        <v>282</v>
      </c>
      <c r="B362" s="69"/>
      <c r="C362" s="70" t="s">
        <v>375</v>
      </c>
      <c r="D362" s="71"/>
      <c r="E362" s="73">
        <v>63033110</v>
      </c>
    </row>
    <row r="363" spans="1:5">
      <c r="A363" s="66" t="s">
        <v>282</v>
      </c>
      <c r="B363" s="42"/>
      <c r="C363" s="63" t="s">
        <v>376</v>
      </c>
      <c r="D363" s="62"/>
      <c r="E363" s="67">
        <v>69665406</v>
      </c>
    </row>
    <row r="364" spans="1:5">
      <c r="A364" s="68" t="s">
        <v>282</v>
      </c>
      <c r="B364" s="69"/>
      <c r="C364" s="70" t="s">
        <v>377</v>
      </c>
      <c r="D364" s="71"/>
      <c r="E364" s="73">
        <v>65809037</v>
      </c>
    </row>
    <row r="365" spans="1:5">
      <c r="A365" s="66" t="s">
        <v>282</v>
      </c>
      <c r="B365" s="42"/>
      <c r="C365" s="63" t="s">
        <v>378</v>
      </c>
      <c r="D365" s="62"/>
      <c r="E365" s="67">
        <v>68135479</v>
      </c>
    </row>
    <row r="366" spans="1:5">
      <c r="A366" s="68" t="s">
        <v>282</v>
      </c>
      <c r="B366" s="69"/>
      <c r="C366" s="70" t="s">
        <v>379</v>
      </c>
      <c r="D366" s="71"/>
      <c r="E366" s="73">
        <v>62985166</v>
      </c>
    </row>
    <row r="367" spans="1:5">
      <c r="A367" s="66" t="s">
        <v>282</v>
      </c>
      <c r="B367" s="42"/>
      <c r="C367" s="63" t="s">
        <v>380</v>
      </c>
      <c r="D367" s="62"/>
      <c r="E367" s="67">
        <v>62884184</v>
      </c>
    </row>
    <row r="368" spans="1:5">
      <c r="A368" s="68" t="s">
        <v>282</v>
      </c>
      <c r="B368" s="69"/>
      <c r="C368" s="70" t="s">
        <v>381</v>
      </c>
      <c r="D368" s="71"/>
      <c r="E368" s="73">
        <v>67165800</v>
      </c>
    </row>
    <row r="369" spans="1:5">
      <c r="A369" s="66" t="s">
        <v>282</v>
      </c>
      <c r="B369" s="42"/>
      <c r="C369" s="63" t="s">
        <v>382</v>
      </c>
      <c r="D369" s="62"/>
      <c r="E369" s="67">
        <v>63256669</v>
      </c>
    </row>
    <row r="370" spans="1:5">
      <c r="A370" s="68" t="s">
        <v>282</v>
      </c>
      <c r="B370" s="69"/>
      <c r="C370" s="70" t="s">
        <v>383</v>
      </c>
      <c r="D370" s="71"/>
      <c r="E370" s="73">
        <v>7712811</v>
      </c>
    </row>
    <row r="371" spans="1:5">
      <c r="A371" s="66" t="s">
        <v>282</v>
      </c>
      <c r="B371" s="42"/>
      <c r="C371" s="63" t="s">
        <v>384</v>
      </c>
      <c r="D371" s="62"/>
      <c r="E371" s="67">
        <v>69216799</v>
      </c>
    </row>
    <row r="372" spans="1:5">
      <c r="A372" s="68" t="s">
        <v>282</v>
      </c>
      <c r="B372" s="69"/>
      <c r="C372" s="70" t="s">
        <v>385</v>
      </c>
      <c r="D372" s="71"/>
      <c r="E372" s="73">
        <v>68483889</v>
      </c>
    </row>
    <row r="373" spans="1:5">
      <c r="A373" s="66" t="s">
        <v>282</v>
      </c>
      <c r="B373" s="42"/>
      <c r="C373" s="63" t="s">
        <v>386</v>
      </c>
      <c r="D373" s="62"/>
      <c r="E373" s="67">
        <v>7715632</v>
      </c>
    </row>
    <row r="374" spans="1:5">
      <c r="A374" s="68" t="s">
        <v>282</v>
      </c>
      <c r="B374" s="69"/>
      <c r="C374" s="70" t="s">
        <v>387</v>
      </c>
      <c r="D374" s="71"/>
      <c r="E374" s="73">
        <v>67414183</v>
      </c>
    </row>
    <row r="375" spans="1:5">
      <c r="A375" s="66" t="s">
        <v>282</v>
      </c>
      <c r="B375" s="42"/>
      <c r="C375" s="63" t="s">
        <v>388</v>
      </c>
      <c r="D375" s="62"/>
      <c r="E375" s="67">
        <v>67322404</v>
      </c>
    </row>
    <row r="376" spans="1:5">
      <c r="A376" s="68" t="s">
        <v>282</v>
      </c>
      <c r="B376" s="69"/>
      <c r="C376" s="70" t="s">
        <v>389</v>
      </c>
      <c r="D376" s="71"/>
      <c r="E376" s="73">
        <v>63932885</v>
      </c>
    </row>
    <row r="377" spans="1:5">
      <c r="A377" s="66" t="s">
        <v>282</v>
      </c>
      <c r="B377" s="42"/>
      <c r="C377" s="63" t="s">
        <v>390</v>
      </c>
      <c r="D377" s="62"/>
      <c r="E377" s="67">
        <v>66545726</v>
      </c>
    </row>
    <row r="378" spans="1:5">
      <c r="A378" s="68" t="s">
        <v>282</v>
      </c>
      <c r="B378" s="69"/>
      <c r="C378" s="70" t="s">
        <v>391</v>
      </c>
      <c r="D378" s="71"/>
      <c r="E378" s="73">
        <v>67075265</v>
      </c>
    </row>
    <row r="379" spans="1:5">
      <c r="A379" s="66" t="s">
        <v>282</v>
      </c>
      <c r="B379" s="42"/>
      <c r="C379" s="63" t="s">
        <v>392</v>
      </c>
      <c r="D379" s="62"/>
      <c r="E379" s="67">
        <v>64984044</v>
      </c>
    </row>
    <row r="380" spans="1:5">
      <c r="A380" s="68" t="s">
        <v>282</v>
      </c>
      <c r="B380" s="69"/>
      <c r="C380" s="70" t="s">
        <v>393</v>
      </c>
      <c r="D380" s="71"/>
      <c r="E380" s="73">
        <v>62871278</v>
      </c>
    </row>
    <row r="381" spans="1:5">
      <c r="A381" s="66" t="s">
        <v>282</v>
      </c>
      <c r="B381" s="42"/>
      <c r="C381" s="63" t="s">
        <v>394</v>
      </c>
      <c r="D381" s="62"/>
      <c r="E381" s="67">
        <v>65694856</v>
      </c>
    </row>
    <row r="382" spans="1:5">
      <c r="A382" s="68" t="s">
        <v>282</v>
      </c>
      <c r="B382" s="69"/>
      <c r="C382" s="70" t="s">
        <v>395</v>
      </c>
      <c r="D382" s="71"/>
      <c r="E382" s="73">
        <v>68024479</v>
      </c>
    </row>
    <row r="383" spans="1:5">
      <c r="A383" s="66" t="s">
        <v>282</v>
      </c>
      <c r="B383" s="42"/>
      <c r="C383" s="63" t="s">
        <v>396</v>
      </c>
      <c r="D383" s="62"/>
      <c r="E383" s="67">
        <v>67796479</v>
      </c>
    </row>
    <row r="384" spans="1:5">
      <c r="A384" s="68" t="s">
        <v>282</v>
      </c>
      <c r="B384" s="69"/>
      <c r="C384" s="70" t="s">
        <v>397</v>
      </c>
      <c r="D384" s="71"/>
      <c r="E384" s="73">
        <v>67963900</v>
      </c>
    </row>
    <row r="385" spans="1:5">
      <c r="A385" s="66" t="s">
        <v>282</v>
      </c>
      <c r="B385" s="42"/>
      <c r="C385" s="63" t="s">
        <v>398</v>
      </c>
      <c r="D385" s="62"/>
      <c r="E385" s="67">
        <v>7752641</v>
      </c>
    </row>
    <row r="386" spans="1:5">
      <c r="A386" s="68" t="s">
        <v>282</v>
      </c>
      <c r="B386" s="69"/>
      <c r="C386" s="70" t="s">
        <v>399</v>
      </c>
      <c r="D386" s="71"/>
      <c r="E386" s="73">
        <v>66204719</v>
      </c>
    </row>
    <row r="387" spans="1:5">
      <c r="A387" s="66" t="s">
        <v>282</v>
      </c>
      <c r="B387" s="42"/>
      <c r="C387" s="63" t="s">
        <v>400</v>
      </c>
      <c r="D387" s="62"/>
      <c r="E387" s="67">
        <v>63902496</v>
      </c>
    </row>
    <row r="388" spans="1:5">
      <c r="A388" s="68" t="s">
        <v>282</v>
      </c>
      <c r="B388" s="69"/>
      <c r="C388" s="70" t="s">
        <v>401</v>
      </c>
      <c r="D388" s="71"/>
      <c r="E388" s="73">
        <v>7740672</v>
      </c>
    </row>
    <row r="389" spans="1:5">
      <c r="A389" s="66" t="s">
        <v>282</v>
      </c>
      <c r="B389" s="42"/>
      <c r="C389" s="63" t="s">
        <v>402</v>
      </c>
      <c r="D389" s="62"/>
      <c r="E389" s="67">
        <v>65060397</v>
      </c>
    </row>
    <row r="390" spans="1:5">
      <c r="A390" s="68" t="s">
        <v>282</v>
      </c>
      <c r="B390" s="69"/>
      <c r="C390" s="70" t="s">
        <v>403</v>
      </c>
      <c r="D390" s="71"/>
      <c r="E390" s="73">
        <v>66970527</v>
      </c>
    </row>
    <row r="391" spans="1:5">
      <c r="A391" s="66" t="s">
        <v>282</v>
      </c>
      <c r="B391" s="42"/>
      <c r="C391" s="63" t="s">
        <v>404</v>
      </c>
      <c r="D391" s="62"/>
      <c r="E391" s="67">
        <v>62563188</v>
      </c>
    </row>
    <row r="392" spans="1:5">
      <c r="A392" s="68" t="s">
        <v>282</v>
      </c>
      <c r="B392" s="69"/>
      <c r="C392" s="70" t="s">
        <v>405</v>
      </c>
      <c r="D392" s="71"/>
      <c r="E392" s="73">
        <v>66136808</v>
      </c>
    </row>
    <row r="393" spans="1:5">
      <c r="A393" s="66" t="s">
        <v>282</v>
      </c>
      <c r="B393" s="42"/>
      <c r="C393" s="63" t="s">
        <v>406</v>
      </c>
      <c r="D393" s="62"/>
      <c r="E393" s="67">
        <v>67243030</v>
      </c>
    </row>
    <row r="394" spans="1:5">
      <c r="A394" s="68" t="s">
        <v>282</v>
      </c>
      <c r="B394" s="69"/>
      <c r="C394" s="70" t="s">
        <v>407</v>
      </c>
      <c r="D394" s="71"/>
      <c r="E394" s="73">
        <v>66266871</v>
      </c>
    </row>
    <row r="395" spans="1:5">
      <c r="A395" s="66" t="s">
        <v>282</v>
      </c>
      <c r="B395" s="42"/>
      <c r="C395" s="63" t="s">
        <v>408</v>
      </c>
      <c r="D395" s="62"/>
      <c r="E395" s="67">
        <v>60007184</v>
      </c>
    </row>
    <row r="396" spans="1:5">
      <c r="A396" s="68" t="s">
        <v>282</v>
      </c>
      <c r="B396" s="69"/>
      <c r="C396" s="70" t="s">
        <v>409</v>
      </c>
      <c r="D396" s="71"/>
      <c r="E396" s="73">
        <v>68281995</v>
      </c>
    </row>
    <row r="397" spans="1:5">
      <c r="A397" s="66" t="s">
        <v>282</v>
      </c>
      <c r="B397" s="42"/>
      <c r="C397" s="63" t="s">
        <v>410</v>
      </c>
      <c r="D397" s="62"/>
      <c r="E397" s="67">
        <v>7768277</v>
      </c>
    </row>
    <row r="398" spans="1:5">
      <c r="A398" s="68" t="s">
        <v>282</v>
      </c>
      <c r="B398" s="69"/>
      <c r="C398" s="70" t="s">
        <v>411</v>
      </c>
      <c r="D398" s="71"/>
      <c r="E398" s="73">
        <v>66677761</v>
      </c>
    </row>
    <row r="399" spans="1:5">
      <c r="A399" s="66" t="s">
        <v>282</v>
      </c>
      <c r="B399" s="42"/>
      <c r="C399" s="63" t="s">
        <v>412</v>
      </c>
      <c r="D399" s="62"/>
      <c r="E399" s="67">
        <v>65296399</v>
      </c>
    </row>
    <row r="400" spans="1:5">
      <c r="A400" s="68" t="s">
        <v>282</v>
      </c>
      <c r="B400" s="69"/>
      <c r="C400" s="70" t="s">
        <v>413</v>
      </c>
      <c r="D400" s="71"/>
      <c r="E400" s="73">
        <v>64613911</v>
      </c>
    </row>
    <row r="401" spans="1:5">
      <c r="A401" s="66" t="s">
        <v>282</v>
      </c>
      <c r="B401" s="42"/>
      <c r="C401" s="63" t="s">
        <v>414</v>
      </c>
      <c r="D401" s="62"/>
      <c r="E401" s="67">
        <v>63198523</v>
      </c>
    </row>
    <row r="402" spans="1:5">
      <c r="A402" s="68" t="s">
        <v>282</v>
      </c>
      <c r="B402" s="69"/>
      <c r="C402" s="70" t="s">
        <v>415</v>
      </c>
      <c r="D402" s="71"/>
      <c r="E402" s="73">
        <v>66918836</v>
      </c>
    </row>
    <row r="403" spans="1:5">
      <c r="A403" s="66" t="s">
        <v>282</v>
      </c>
      <c r="B403" s="42"/>
      <c r="C403" s="63" t="s">
        <v>416</v>
      </c>
      <c r="D403" s="62"/>
      <c r="E403" s="67">
        <v>62106991</v>
      </c>
    </row>
    <row r="404" spans="1:5">
      <c r="A404" s="68" t="s">
        <v>282</v>
      </c>
      <c r="B404" s="69"/>
      <c r="C404" s="70" t="s">
        <v>417</v>
      </c>
      <c r="D404" s="71"/>
      <c r="E404" s="73">
        <v>7706867</v>
      </c>
    </row>
    <row r="405" spans="1:5">
      <c r="A405" s="66" t="s">
        <v>282</v>
      </c>
      <c r="B405" s="42"/>
      <c r="C405" s="63" t="s">
        <v>418</v>
      </c>
      <c r="D405" s="62"/>
      <c r="E405" s="67">
        <v>64645912</v>
      </c>
    </row>
    <row r="406" spans="1:5">
      <c r="A406" s="68" t="s">
        <v>282</v>
      </c>
      <c r="B406" s="69"/>
      <c r="C406" s="70" t="s">
        <v>419</v>
      </c>
      <c r="D406" s="71"/>
      <c r="E406" s="73">
        <v>66531088</v>
      </c>
    </row>
    <row r="407" spans="1:5">
      <c r="A407" s="66" t="s">
        <v>282</v>
      </c>
      <c r="B407" s="42"/>
      <c r="C407" s="63" t="s">
        <v>420</v>
      </c>
      <c r="D407" s="62"/>
      <c r="E407" s="67">
        <v>69537392</v>
      </c>
    </row>
    <row r="408" spans="1:5">
      <c r="A408" s="68" t="s">
        <v>282</v>
      </c>
      <c r="B408" s="69"/>
      <c r="C408" s="70" t="s">
        <v>421</v>
      </c>
      <c r="D408" s="71"/>
      <c r="E408" s="73">
        <v>67667425</v>
      </c>
    </row>
    <row r="409" spans="1:5">
      <c r="A409" s="66" t="s">
        <v>282</v>
      </c>
      <c r="B409" s="42"/>
      <c r="C409" s="63" t="s">
        <v>422</v>
      </c>
      <c r="D409" s="62"/>
      <c r="E409" s="67">
        <v>65238898</v>
      </c>
    </row>
    <row r="410" spans="1:5">
      <c r="A410" s="68" t="s">
        <v>282</v>
      </c>
      <c r="B410" s="69"/>
      <c r="C410" s="70" t="s">
        <v>423</v>
      </c>
      <c r="D410" s="71"/>
      <c r="E410" s="73">
        <v>62985166</v>
      </c>
    </row>
    <row r="411" spans="1:5">
      <c r="A411" s="66" t="s">
        <v>282</v>
      </c>
      <c r="B411" s="42"/>
      <c r="C411" s="63" t="s">
        <v>424</v>
      </c>
      <c r="D411" s="62"/>
      <c r="E411" s="67">
        <v>62089083</v>
      </c>
    </row>
    <row r="412" spans="1:5">
      <c r="A412" s="68" t="s">
        <v>282</v>
      </c>
      <c r="B412" s="69"/>
      <c r="C412" s="70" t="s">
        <v>425</v>
      </c>
      <c r="D412" s="71"/>
      <c r="E412" s="73">
        <v>7729598</v>
      </c>
    </row>
    <row r="413" spans="1:5">
      <c r="A413" s="66" t="s">
        <v>282</v>
      </c>
      <c r="B413" s="42"/>
      <c r="C413" s="63" t="s">
        <v>426</v>
      </c>
      <c r="D413" s="62"/>
      <c r="E413" s="67">
        <v>7756694</v>
      </c>
    </row>
    <row r="414" spans="1:5">
      <c r="A414" s="68" t="s">
        <v>282</v>
      </c>
      <c r="B414" s="69"/>
      <c r="C414" s="70" t="s">
        <v>427</v>
      </c>
      <c r="D414" s="71"/>
      <c r="E414" s="73">
        <v>66763566</v>
      </c>
    </row>
    <row r="415" spans="1:5">
      <c r="A415" s="66" t="s">
        <v>282</v>
      </c>
      <c r="B415" s="42"/>
      <c r="C415" s="63" t="s">
        <v>428</v>
      </c>
      <c r="D415" s="62"/>
      <c r="E415" s="67">
        <v>64652633</v>
      </c>
    </row>
    <row r="416" spans="1:5">
      <c r="A416" s="68" t="s">
        <v>282</v>
      </c>
      <c r="B416" s="69"/>
      <c r="C416" s="70" t="s">
        <v>429</v>
      </c>
      <c r="D416" s="71"/>
      <c r="E416" s="73">
        <v>7300677</v>
      </c>
    </row>
    <row r="417" spans="1:5">
      <c r="A417" s="66" t="s">
        <v>282</v>
      </c>
      <c r="B417" s="42"/>
      <c r="C417" s="63" t="s">
        <v>430</v>
      </c>
      <c r="D417" s="62"/>
      <c r="E417" s="67">
        <v>68680044</v>
      </c>
    </row>
    <row r="418" spans="1:5">
      <c r="A418" s="68" t="s">
        <v>282</v>
      </c>
      <c r="B418" s="69"/>
      <c r="C418" s="70" t="s">
        <v>431</v>
      </c>
      <c r="D418" s="71"/>
      <c r="E418" s="73">
        <v>7740540</v>
      </c>
    </row>
    <row r="419" spans="1:5">
      <c r="A419" s="66" t="s">
        <v>282</v>
      </c>
      <c r="B419" s="42"/>
      <c r="C419" s="63" t="s">
        <v>432</v>
      </c>
      <c r="D419" s="62"/>
      <c r="E419" s="67">
        <v>68838362</v>
      </c>
    </row>
    <row r="420" spans="1:5">
      <c r="A420" s="68" t="s">
        <v>282</v>
      </c>
      <c r="B420" s="69"/>
      <c r="C420" s="70" t="s">
        <v>433</v>
      </c>
      <c r="D420" s="71"/>
      <c r="E420" s="73">
        <v>66737193</v>
      </c>
    </row>
    <row r="421" spans="1:5">
      <c r="A421" s="66" t="s">
        <v>282</v>
      </c>
      <c r="B421" s="42"/>
      <c r="C421" s="63" t="s">
        <v>434</v>
      </c>
      <c r="D421" s="62"/>
      <c r="E421" s="67">
        <v>7870661</v>
      </c>
    </row>
    <row r="422" spans="1:5">
      <c r="A422" s="68" t="s">
        <v>282</v>
      </c>
      <c r="B422" s="69"/>
      <c r="C422" s="70" t="s">
        <v>435</v>
      </c>
      <c r="D422" s="71"/>
      <c r="E422" s="73">
        <v>67037691</v>
      </c>
    </row>
    <row r="423" spans="1:5">
      <c r="A423" s="66" t="s">
        <v>282</v>
      </c>
      <c r="B423" s="42"/>
      <c r="C423" s="63" t="s">
        <v>436</v>
      </c>
      <c r="D423" s="62"/>
      <c r="E423" s="67">
        <v>66768229</v>
      </c>
    </row>
    <row r="424" spans="1:5">
      <c r="A424" s="68" t="s">
        <v>282</v>
      </c>
      <c r="B424" s="69"/>
      <c r="C424" s="70" t="s">
        <v>437</v>
      </c>
      <c r="D424" s="71"/>
      <c r="E424" s="73">
        <v>67688894</v>
      </c>
    </row>
    <row r="425" spans="1:5">
      <c r="A425" s="66" t="s">
        <v>282</v>
      </c>
      <c r="B425" s="42"/>
      <c r="C425" s="63" t="s">
        <v>438</v>
      </c>
      <c r="D425" s="62"/>
      <c r="E425" s="64">
        <v>68359947</v>
      </c>
    </row>
    <row r="426" spans="1:5">
      <c r="A426" s="68" t="s">
        <v>282</v>
      </c>
      <c r="B426" s="69"/>
      <c r="C426" s="70" t="s">
        <v>439</v>
      </c>
      <c r="D426" s="71"/>
      <c r="E426" s="72">
        <v>66703511</v>
      </c>
    </row>
    <row r="427" spans="1:5">
      <c r="A427" s="66" t="s">
        <v>282</v>
      </c>
      <c r="B427" s="42"/>
      <c r="C427" s="63" t="s">
        <v>440</v>
      </c>
      <c r="D427" s="62"/>
      <c r="E427" s="64">
        <v>66831963</v>
      </c>
    </row>
    <row r="428" spans="1:5">
      <c r="A428" s="68" t="s">
        <v>282</v>
      </c>
      <c r="B428" s="69"/>
      <c r="C428" s="70" t="s">
        <v>441</v>
      </c>
      <c r="D428" s="71"/>
      <c r="E428" s="72">
        <v>68370337</v>
      </c>
    </row>
    <row r="429" spans="1:5">
      <c r="A429" s="66" t="s">
        <v>282</v>
      </c>
      <c r="B429" s="42"/>
      <c r="C429" s="63" t="s">
        <v>442</v>
      </c>
      <c r="D429" s="62"/>
      <c r="E429" s="64">
        <v>67427891</v>
      </c>
    </row>
    <row r="430" spans="1:5">
      <c r="A430" s="68" t="s">
        <v>282</v>
      </c>
      <c r="B430" s="69"/>
      <c r="C430" s="70" t="s">
        <v>443</v>
      </c>
      <c r="D430" s="71"/>
      <c r="E430" s="72">
        <v>68984222</v>
      </c>
    </row>
    <row r="431" spans="1:5">
      <c r="A431" s="66" t="s">
        <v>282</v>
      </c>
      <c r="B431" s="42"/>
      <c r="C431" s="63" t="s">
        <v>444</v>
      </c>
      <c r="D431" s="62"/>
      <c r="E431" s="64">
        <v>7765643</v>
      </c>
    </row>
    <row r="432" spans="1:5">
      <c r="A432" s="68" t="s">
        <v>282</v>
      </c>
      <c r="B432" s="69"/>
      <c r="C432" s="70" t="s">
        <v>445</v>
      </c>
      <c r="D432" s="71"/>
      <c r="E432" s="72">
        <v>67678508</v>
      </c>
    </row>
    <row r="433" spans="1:5">
      <c r="A433" s="66" t="s">
        <v>282</v>
      </c>
      <c r="B433" s="42"/>
      <c r="C433" s="63" t="s">
        <v>446</v>
      </c>
      <c r="D433" s="62"/>
      <c r="E433" s="64">
        <v>63680596</v>
      </c>
    </row>
    <row r="434" spans="1:5">
      <c r="A434" s="68" t="s">
        <v>282</v>
      </c>
      <c r="B434" s="69"/>
      <c r="C434" s="70" t="s">
        <v>447</v>
      </c>
      <c r="D434" s="71"/>
      <c r="E434" s="72">
        <v>69149308</v>
      </c>
    </row>
    <row r="435" spans="1:5">
      <c r="A435" s="66" t="s">
        <v>282</v>
      </c>
      <c r="B435" s="42"/>
      <c r="C435" s="63" t="s">
        <v>448</v>
      </c>
      <c r="D435" s="62"/>
      <c r="E435" s="64">
        <v>68034656</v>
      </c>
    </row>
    <row r="436" spans="1:5">
      <c r="A436" s="68" t="s">
        <v>282</v>
      </c>
      <c r="B436" s="69"/>
      <c r="C436" s="70" t="s">
        <v>449</v>
      </c>
      <c r="D436" s="71"/>
      <c r="E436" s="72">
        <v>62399322</v>
      </c>
    </row>
    <row r="437" spans="1:5">
      <c r="A437" s="66" t="s">
        <v>282</v>
      </c>
      <c r="B437" s="42"/>
      <c r="C437" s="63" t="s">
        <v>450</v>
      </c>
      <c r="D437" s="62"/>
      <c r="E437" s="64">
        <v>68176270</v>
      </c>
    </row>
    <row r="438" spans="1:5">
      <c r="A438" s="68" t="s">
        <v>282</v>
      </c>
      <c r="B438" s="69"/>
      <c r="C438" s="70" t="s">
        <v>451</v>
      </c>
      <c r="D438" s="71"/>
      <c r="E438" s="72">
        <v>65726430</v>
      </c>
    </row>
    <row r="439" spans="1:5">
      <c r="A439" s="66" t="s">
        <v>282</v>
      </c>
      <c r="B439" s="42"/>
      <c r="C439" s="63" t="s">
        <v>452</v>
      </c>
      <c r="D439" s="62"/>
      <c r="E439" s="64">
        <v>68879283</v>
      </c>
    </row>
    <row r="440" spans="1:5">
      <c r="A440" s="68" t="s">
        <v>282</v>
      </c>
      <c r="B440" s="69"/>
      <c r="C440" s="70" t="s">
        <v>453</v>
      </c>
      <c r="D440" s="71"/>
      <c r="E440" s="72">
        <v>60785754</v>
      </c>
    </row>
    <row r="441" spans="1:5">
      <c r="A441" s="66" t="s">
        <v>282</v>
      </c>
      <c r="B441" s="42"/>
      <c r="C441" s="63" t="s">
        <v>454</v>
      </c>
      <c r="D441" s="62"/>
      <c r="E441" s="64">
        <v>7753436</v>
      </c>
    </row>
    <row r="442" spans="1:5">
      <c r="A442" s="68" t="s">
        <v>282</v>
      </c>
      <c r="B442" s="69"/>
      <c r="C442" s="70" t="s">
        <v>455</v>
      </c>
      <c r="D442" s="71"/>
      <c r="E442" s="72">
        <v>65977793</v>
      </c>
    </row>
    <row r="443" spans="1:5">
      <c r="A443" s="66" t="s">
        <v>282</v>
      </c>
      <c r="B443" s="42"/>
      <c r="C443" s="63" t="s">
        <v>456</v>
      </c>
      <c r="D443" s="62"/>
      <c r="E443" s="64">
        <v>69269455</v>
      </c>
    </row>
    <row r="444" spans="1:5">
      <c r="A444" s="68" t="s">
        <v>282</v>
      </c>
      <c r="B444" s="69"/>
      <c r="C444" s="70" t="s">
        <v>457</v>
      </c>
      <c r="D444" s="71"/>
      <c r="E444" s="72">
        <v>69504487</v>
      </c>
    </row>
    <row r="445" spans="1:5">
      <c r="A445" s="66" t="s">
        <v>282</v>
      </c>
      <c r="B445" s="42"/>
      <c r="C445" s="63" t="s">
        <v>458</v>
      </c>
      <c r="D445" s="62"/>
      <c r="E445" s="64">
        <v>64026239</v>
      </c>
    </row>
    <row r="446" spans="1:5">
      <c r="A446" s="68" t="s">
        <v>282</v>
      </c>
      <c r="B446" s="69"/>
      <c r="C446" s="70" t="s">
        <v>459</v>
      </c>
      <c r="D446" s="71"/>
      <c r="E446" s="72">
        <v>69571828</v>
      </c>
    </row>
    <row r="447" spans="1:5">
      <c r="A447" s="66" t="s">
        <v>282</v>
      </c>
      <c r="B447" s="42"/>
      <c r="C447" s="63" t="s">
        <v>460</v>
      </c>
      <c r="D447" s="62"/>
      <c r="E447" s="64">
        <v>63409144</v>
      </c>
    </row>
    <row r="448" spans="1:5">
      <c r="A448" s="68" t="s">
        <v>282</v>
      </c>
      <c r="B448" s="69"/>
      <c r="C448" s="70" t="s">
        <v>461</v>
      </c>
      <c r="D448" s="71"/>
      <c r="E448" s="72">
        <v>63901806</v>
      </c>
    </row>
    <row r="449" spans="1:5">
      <c r="A449" s="66" t="s">
        <v>282</v>
      </c>
      <c r="B449" s="42"/>
      <c r="C449" s="63" t="s">
        <v>462</v>
      </c>
      <c r="D449" s="62"/>
      <c r="E449" s="64">
        <v>61678866</v>
      </c>
    </row>
    <row r="450" spans="1:5">
      <c r="A450" s="68" t="s">
        <v>463</v>
      </c>
      <c r="B450" s="69"/>
      <c r="C450" s="70" t="s">
        <v>464</v>
      </c>
      <c r="D450" s="71"/>
      <c r="E450" s="72">
        <v>7747810</v>
      </c>
    </row>
    <row r="451" spans="1:5">
      <c r="A451" s="66" t="s">
        <v>463</v>
      </c>
      <c r="B451" s="42"/>
      <c r="C451" s="63" t="s">
        <v>465</v>
      </c>
      <c r="D451" s="62"/>
      <c r="E451" s="64">
        <v>7876996</v>
      </c>
    </row>
    <row r="452" spans="1:5">
      <c r="A452" s="68" t="s">
        <v>463</v>
      </c>
      <c r="B452" s="69"/>
      <c r="C452" s="70" t="s">
        <v>466</v>
      </c>
      <c r="D452" s="71"/>
      <c r="E452" s="72">
        <v>66523983</v>
      </c>
    </row>
    <row r="453" spans="1:5">
      <c r="A453" s="66" t="s">
        <v>463</v>
      </c>
      <c r="B453" s="42"/>
      <c r="C453" s="63" t="s">
        <v>467</v>
      </c>
      <c r="D453" s="62"/>
      <c r="E453" s="64">
        <v>65642111</v>
      </c>
    </row>
    <row r="454" spans="1:5">
      <c r="A454" s="68" t="s">
        <v>463</v>
      </c>
      <c r="B454" s="69"/>
      <c r="C454" s="70" t="s">
        <v>468</v>
      </c>
      <c r="D454" s="71"/>
      <c r="E454" s="72">
        <v>65620402</v>
      </c>
    </row>
    <row r="455" spans="1:5">
      <c r="A455" s="66" t="s">
        <v>463</v>
      </c>
      <c r="B455" s="42"/>
      <c r="C455" s="63" t="s">
        <v>469</v>
      </c>
      <c r="D455" s="62"/>
      <c r="E455" s="64">
        <v>66079274</v>
      </c>
    </row>
    <row r="456" spans="1:5">
      <c r="A456" s="68" t="s">
        <v>463</v>
      </c>
      <c r="B456" s="69"/>
      <c r="C456" s="70" t="s">
        <v>470</v>
      </c>
      <c r="D456" s="71"/>
      <c r="E456" s="72">
        <v>68414293</v>
      </c>
    </row>
    <row r="457" spans="1:5">
      <c r="A457" s="66" t="s">
        <v>463</v>
      </c>
      <c r="B457" s="42"/>
      <c r="C457" s="63" t="s">
        <v>471</v>
      </c>
      <c r="D457" s="62"/>
      <c r="E457" s="64">
        <v>64435593</v>
      </c>
    </row>
    <row r="458" spans="1:5">
      <c r="A458" s="68" t="s">
        <v>463</v>
      </c>
      <c r="B458" s="69"/>
      <c r="C458" s="70" t="s">
        <v>472</v>
      </c>
      <c r="D458" s="71"/>
      <c r="E458" s="72">
        <v>67757023</v>
      </c>
    </row>
    <row r="459" spans="1:5">
      <c r="A459" s="66" t="s">
        <v>463</v>
      </c>
      <c r="B459" s="42"/>
      <c r="C459" s="63" t="s">
        <v>473</v>
      </c>
      <c r="D459" s="62"/>
      <c r="E459" s="64">
        <v>65372346</v>
      </c>
    </row>
    <row r="460" spans="1:5">
      <c r="A460" s="68" t="s">
        <v>463</v>
      </c>
      <c r="B460" s="69"/>
      <c r="C460" s="70" t="s">
        <v>474</v>
      </c>
      <c r="D460" s="71"/>
      <c r="E460" s="72">
        <v>68672279</v>
      </c>
    </row>
    <row r="461" spans="1:5">
      <c r="A461" s="66" t="s">
        <v>463</v>
      </c>
      <c r="B461" s="42"/>
      <c r="C461" s="63" t="s">
        <v>475</v>
      </c>
      <c r="D461" s="62"/>
      <c r="E461" s="64">
        <v>62638648</v>
      </c>
    </row>
    <row r="462" spans="1:5">
      <c r="A462" s="68" t="s">
        <v>463</v>
      </c>
      <c r="B462" s="69"/>
      <c r="C462" s="70" t="s">
        <v>476</v>
      </c>
      <c r="D462" s="71"/>
      <c r="E462" s="72">
        <v>64085316</v>
      </c>
    </row>
    <row r="463" spans="1:5">
      <c r="A463" s="66" t="s">
        <v>463</v>
      </c>
      <c r="B463" s="42"/>
      <c r="C463" s="63" t="s">
        <v>477</v>
      </c>
      <c r="D463" s="62"/>
      <c r="E463" s="64">
        <v>67663793</v>
      </c>
    </row>
    <row r="464" spans="1:5">
      <c r="A464" s="68" t="s">
        <v>463</v>
      </c>
      <c r="B464" s="69"/>
      <c r="C464" s="70" t="s">
        <v>478</v>
      </c>
      <c r="D464" s="71"/>
      <c r="E464" s="72">
        <v>8510138</v>
      </c>
    </row>
    <row r="465" spans="1:5">
      <c r="A465" s="66" t="s">
        <v>463</v>
      </c>
      <c r="B465" s="42"/>
      <c r="C465" s="63" t="s">
        <v>479</v>
      </c>
      <c r="D465" s="62"/>
      <c r="E465" s="64">
        <v>65922246</v>
      </c>
    </row>
    <row r="466" spans="1:5">
      <c r="A466" s="68" t="s">
        <v>463</v>
      </c>
      <c r="B466" s="69"/>
      <c r="C466" s="70" t="s">
        <v>480</v>
      </c>
      <c r="D466" s="71"/>
      <c r="E466" s="72">
        <v>62501743</v>
      </c>
    </row>
    <row r="467" spans="1:5">
      <c r="A467" s="66" t="s">
        <v>463</v>
      </c>
      <c r="B467" s="42"/>
      <c r="C467" s="63" t="s">
        <v>481</v>
      </c>
      <c r="D467" s="62"/>
      <c r="E467" s="64">
        <v>64763187</v>
      </c>
    </row>
    <row r="468" spans="1:5">
      <c r="A468" s="68" t="s">
        <v>463</v>
      </c>
      <c r="B468" s="69"/>
      <c r="C468" s="70" t="s">
        <v>482</v>
      </c>
      <c r="D468" s="71"/>
      <c r="E468" s="72">
        <v>64502678</v>
      </c>
    </row>
    <row r="469" spans="1:5">
      <c r="A469" s="66" t="s">
        <v>463</v>
      </c>
      <c r="B469" s="42"/>
      <c r="C469" s="63" t="s">
        <v>483</v>
      </c>
      <c r="D469" s="62"/>
      <c r="E469" s="64">
        <v>63006152</v>
      </c>
    </row>
    <row r="470" spans="1:5">
      <c r="A470" s="68" t="s">
        <v>463</v>
      </c>
      <c r="B470" s="69"/>
      <c r="C470" s="70" t="s">
        <v>484</v>
      </c>
      <c r="D470" s="71"/>
      <c r="E470" s="72">
        <v>64481598</v>
      </c>
    </row>
    <row r="471" spans="1:5">
      <c r="A471" s="66" t="s">
        <v>463</v>
      </c>
      <c r="B471" s="42"/>
      <c r="C471" s="63" t="s">
        <v>485</v>
      </c>
      <c r="D471" s="62"/>
      <c r="E471" s="64">
        <v>67154034</v>
      </c>
    </row>
    <row r="472" spans="1:5">
      <c r="A472" s="68" t="s">
        <v>463</v>
      </c>
      <c r="B472" s="69"/>
      <c r="C472" s="70" t="s">
        <v>486</v>
      </c>
      <c r="D472" s="71"/>
      <c r="E472" s="72">
        <v>66975048</v>
      </c>
    </row>
    <row r="473" spans="1:5">
      <c r="A473" s="66" t="s">
        <v>463</v>
      </c>
      <c r="B473" s="42"/>
      <c r="C473" s="63" t="s">
        <v>487</v>
      </c>
      <c r="D473" s="62"/>
      <c r="E473" s="64">
        <v>65074710</v>
      </c>
    </row>
    <row r="474" spans="1:5">
      <c r="A474" s="68" t="s">
        <v>463</v>
      </c>
      <c r="B474" s="69"/>
      <c r="C474" s="70" t="s">
        <v>488</v>
      </c>
      <c r="D474" s="71"/>
      <c r="E474" s="72">
        <v>7270338</v>
      </c>
    </row>
    <row r="475" spans="1:5">
      <c r="A475" s="66" t="s">
        <v>463</v>
      </c>
      <c r="B475" s="42"/>
      <c r="C475" s="63" t="s">
        <v>489</v>
      </c>
      <c r="D475" s="62"/>
      <c r="E475" s="64">
        <v>66766260</v>
      </c>
    </row>
    <row r="476" spans="1:5">
      <c r="A476" s="68" t="s">
        <v>463</v>
      </c>
      <c r="B476" s="69"/>
      <c r="C476" s="70" t="s">
        <v>490</v>
      </c>
      <c r="D476" s="71"/>
      <c r="E476" s="72">
        <v>7201059</v>
      </c>
    </row>
    <row r="477" spans="1:5">
      <c r="A477" s="66" t="s">
        <v>463</v>
      </c>
      <c r="B477" s="42"/>
      <c r="C477" s="63" t="s">
        <v>491</v>
      </c>
      <c r="D477" s="62"/>
      <c r="E477" s="64">
        <v>2820063</v>
      </c>
    </row>
    <row r="478" spans="1:5">
      <c r="A478" s="68" t="s">
        <v>463</v>
      </c>
      <c r="B478" s="69"/>
      <c r="C478" s="70" t="s">
        <v>492</v>
      </c>
      <c r="D478" s="71"/>
      <c r="E478" s="72">
        <v>63279177</v>
      </c>
    </row>
    <row r="479" spans="1:5">
      <c r="A479" s="66" t="s">
        <v>463</v>
      </c>
      <c r="B479" s="42"/>
      <c r="C479" s="63" t="s">
        <v>493</v>
      </c>
      <c r="D479" s="62"/>
      <c r="E479" s="64">
        <v>65978751</v>
      </c>
    </row>
    <row r="480" spans="1:5">
      <c r="A480" s="68" t="s">
        <v>463</v>
      </c>
      <c r="B480" s="69"/>
      <c r="C480" s="70" t="s">
        <v>494</v>
      </c>
      <c r="D480" s="71"/>
      <c r="E480" s="72">
        <v>66461097</v>
      </c>
    </row>
    <row r="481" spans="1:5">
      <c r="A481" s="66" t="s">
        <v>463</v>
      </c>
      <c r="B481" s="42"/>
      <c r="C481" s="63" t="s">
        <v>495</v>
      </c>
      <c r="D481" s="62"/>
      <c r="E481" s="64">
        <v>66942614</v>
      </c>
    </row>
    <row r="482" spans="1:5">
      <c r="A482" s="68" t="s">
        <v>463</v>
      </c>
      <c r="B482" s="69"/>
      <c r="C482" s="70" t="s">
        <v>496</v>
      </c>
      <c r="D482" s="71"/>
      <c r="E482" s="72">
        <v>69804901</v>
      </c>
    </row>
    <row r="483" spans="1:5">
      <c r="A483" s="66" t="s">
        <v>463</v>
      </c>
      <c r="B483" s="42"/>
      <c r="C483" s="63" t="s">
        <v>497</v>
      </c>
      <c r="D483" s="62"/>
      <c r="E483" s="64">
        <v>64983740</v>
      </c>
    </row>
    <row r="484" spans="1:5">
      <c r="A484" s="68" t="s">
        <v>463</v>
      </c>
      <c r="B484" s="69"/>
      <c r="C484" s="70" t="s">
        <v>498</v>
      </c>
      <c r="D484" s="71"/>
      <c r="E484" s="72">
        <v>69063045</v>
      </c>
    </row>
    <row r="485" spans="1:5">
      <c r="A485" s="66" t="s">
        <v>463</v>
      </c>
      <c r="B485" s="42"/>
      <c r="C485" s="63" t="s">
        <v>499</v>
      </c>
      <c r="D485" s="62"/>
      <c r="E485" s="64">
        <v>65651749</v>
      </c>
    </row>
    <row r="486" spans="1:5">
      <c r="A486" s="68" t="s">
        <v>463</v>
      </c>
      <c r="B486" s="69"/>
      <c r="C486" s="70" t="s">
        <v>500</v>
      </c>
      <c r="D486" s="71"/>
      <c r="E486" s="72">
        <v>69658601</v>
      </c>
    </row>
    <row r="487" spans="1:5">
      <c r="A487" s="66" t="s">
        <v>463</v>
      </c>
      <c r="B487" s="42"/>
      <c r="C487" s="63" t="s">
        <v>501</v>
      </c>
      <c r="D487" s="62"/>
      <c r="E487" s="64">
        <v>69711389</v>
      </c>
    </row>
    <row r="488" spans="1:5">
      <c r="A488" s="68" t="s">
        <v>463</v>
      </c>
      <c r="B488" s="69"/>
      <c r="C488" s="70" t="s">
        <v>502</v>
      </c>
      <c r="D488" s="71"/>
      <c r="E488" s="72">
        <v>68987777</v>
      </c>
    </row>
    <row r="489" spans="1:5">
      <c r="A489" s="66" t="s">
        <v>463</v>
      </c>
      <c r="B489" s="42"/>
      <c r="C489" s="63" t="s">
        <v>503</v>
      </c>
      <c r="D489" s="62"/>
      <c r="E489" s="64">
        <v>7587749</v>
      </c>
    </row>
    <row r="490" spans="1:5">
      <c r="A490" s="68" t="s">
        <v>463</v>
      </c>
      <c r="B490" s="69"/>
      <c r="C490" s="70" t="s">
        <v>504</v>
      </c>
      <c r="D490" s="71"/>
      <c r="E490" s="72">
        <v>64835303</v>
      </c>
    </row>
    <row r="491" spans="1:5">
      <c r="A491" s="66" t="s">
        <v>463</v>
      </c>
      <c r="B491" s="42"/>
      <c r="C491" s="63" t="s">
        <v>505</v>
      </c>
      <c r="D491" s="62"/>
      <c r="E491" s="64">
        <v>63158963</v>
      </c>
    </row>
    <row r="492" spans="1:5">
      <c r="A492" s="68" t="s">
        <v>463</v>
      </c>
      <c r="B492" s="69"/>
      <c r="C492" s="70" t="s">
        <v>506</v>
      </c>
      <c r="D492" s="71"/>
      <c r="E492" s="72">
        <v>7714562</v>
      </c>
    </row>
    <row r="493" spans="1:5">
      <c r="A493" s="66" t="s">
        <v>463</v>
      </c>
      <c r="B493" s="42"/>
      <c r="C493" s="63" t="s">
        <v>507</v>
      </c>
      <c r="D493" s="62"/>
      <c r="E493" s="64">
        <v>64467474</v>
      </c>
    </row>
    <row r="494" spans="1:5">
      <c r="A494" s="68" t="s">
        <v>463</v>
      </c>
      <c r="B494" s="69"/>
      <c r="C494" s="70" t="s">
        <v>508</v>
      </c>
      <c r="D494" s="71"/>
      <c r="E494" s="72">
        <v>66861837</v>
      </c>
    </row>
    <row r="495" spans="1:5">
      <c r="A495" s="66" t="s">
        <v>463</v>
      </c>
      <c r="B495" s="42"/>
      <c r="C495" s="63" t="s">
        <v>509</v>
      </c>
      <c r="D495" s="62"/>
      <c r="E495" s="64">
        <v>65941355</v>
      </c>
    </row>
    <row r="496" spans="1:5">
      <c r="A496" s="68" t="s">
        <v>463</v>
      </c>
      <c r="B496" s="69"/>
      <c r="C496" s="70" t="s">
        <v>510</v>
      </c>
      <c r="D496" s="71"/>
      <c r="E496" s="72">
        <v>64948625</v>
      </c>
    </row>
    <row r="497" spans="1:5">
      <c r="A497" s="66" t="s">
        <v>463</v>
      </c>
      <c r="B497" s="42"/>
      <c r="C497" s="63" t="s">
        <v>511</v>
      </c>
      <c r="D497" s="62"/>
      <c r="E497" s="64">
        <v>64653186</v>
      </c>
    </row>
    <row r="498" spans="1:5">
      <c r="A498" s="68" t="s">
        <v>463</v>
      </c>
      <c r="B498" s="69"/>
      <c r="C498" s="70" t="s">
        <v>512</v>
      </c>
      <c r="D498" s="71"/>
      <c r="E498" s="72">
        <v>67162079</v>
      </c>
    </row>
    <row r="499" spans="1:5">
      <c r="A499" s="66" t="s">
        <v>463</v>
      </c>
      <c r="B499" s="42"/>
      <c r="C499" s="63" t="s">
        <v>513</v>
      </c>
      <c r="D499" s="62"/>
      <c r="E499" s="64">
        <v>64890683</v>
      </c>
    </row>
    <row r="500" spans="1:5">
      <c r="A500" s="68" t="s">
        <v>463</v>
      </c>
      <c r="B500" s="69"/>
      <c r="C500" s="70" t="s">
        <v>514</v>
      </c>
      <c r="D500" s="71"/>
      <c r="E500" s="72">
        <v>66582019</v>
      </c>
    </row>
    <row r="501" spans="1:5">
      <c r="A501" s="66" t="s">
        <v>463</v>
      </c>
      <c r="B501" s="42"/>
      <c r="C501" s="63" t="s">
        <v>515</v>
      </c>
      <c r="D501" s="62"/>
      <c r="E501" s="64">
        <v>65947836</v>
      </c>
    </row>
    <row r="502" spans="1:5">
      <c r="A502" s="68" t="s">
        <v>463</v>
      </c>
      <c r="B502" s="69"/>
      <c r="C502" s="70" t="s">
        <v>516</v>
      </c>
      <c r="D502" s="71"/>
      <c r="E502" s="72">
        <v>65305566</v>
      </c>
    </row>
    <row r="503" spans="1:5">
      <c r="A503" s="66" t="s">
        <v>463</v>
      </c>
      <c r="B503" s="42"/>
      <c r="C503" s="63" t="s">
        <v>517</v>
      </c>
      <c r="D503" s="62"/>
      <c r="E503" s="64">
        <v>69493403</v>
      </c>
    </row>
    <row r="504" spans="1:5">
      <c r="A504" s="68" t="s">
        <v>463</v>
      </c>
      <c r="B504" s="69"/>
      <c r="C504" s="70" t="s">
        <v>518</v>
      </c>
      <c r="D504" s="71"/>
      <c r="E504" s="72">
        <v>65681642</v>
      </c>
    </row>
    <row r="505" spans="1:5">
      <c r="A505" s="66" t="s">
        <v>463</v>
      </c>
      <c r="B505" s="42"/>
      <c r="C505" s="63" t="s">
        <v>519</v>
      </c>
      <c r="D505" s="62"/>
      <c r="E505" s="64">
        <v>65256752</v>
      </c>
    </row>
    <row r="506" spans="1:5">
      <c r="A506" s="68" t="s">
        <v>463</v>
      </c>
      <c r="B506" s="69"/>
      <c r="C506" s="70" t="s">
        <v>520</v>
      </c>
      <c r="D506" s="71"/>
      <c r="E506" s="72">
        <v>64464871</v>
      </c>
    </row>
    <row r="507" spans="1:5">
      <c r="A507" s="66" t="s">
        <v>463</v>
      </c>
      <c r="B507" s="42"/>
      <c r="C507" s="63" t="s">
        <v>521</v>
      </c>
      <c r="D507" s="62"/>
      <c r="E507" s="64">
        <v>7740498</v>
      </c>
    </row>
    <row r="508" spans="1:5">
      <c r="A508" s="68" t="s">
        <v>463</v>
      </c>
      <c r="B508" s="69"/>
      <c r="C508" s="70" t="s">
        <v>522</v>
      </c>
      <c r="D508" s="71"/>
      <c r="E508" s="72">
        <v>66916131</v>
      </c>
    </row>
    <row r="509" spans="1:5">
      <c r="A509" s="66" t="s">
        <v>463</v>
      </c>
      <c r="B509" s="42"/>
      <c r="C509" s="63" t="s">
        <v>523</v>
      </c>
      <c r="D509" s="62"/>
      <c r="E509" s="64">
        <v>62025753</v>
      </c>
    </row>
    <row r="510" spans="1:5">
      <c r="A510" s="68" t="s">
        <v>463</v>
      </c>
      <c r="B510" s="69"/>
      <c r="C510" s="70" t="s">
        <v>524</v>
      </c>
      <c r="D510" s="71"/>
      <c r="E510" s="72">
        <v>64517125</v>
      </c>
    </row>
    <row r="511" spans="1:5">
      <c r="A511" s="66" t="s">
        <v>463</v>
      </c>
      <c r="B511" s="42"/>
      <c r="C511" s="63" t="s">
        <v>525</v>
      </c>
      <c r="D511" s="62"/>
      <c r="E511" s="64">
        <v>66271259</v>
      </c>
    </row>
    <row r="512" spans="1:5">
      <c r="A512" s="68" t="s">
        <v>463</v>
      </c>
      <c r="B512" s="69"/>
      <c r="C512" s="70" t="s">
        <v>526</v>
      </c>
      <c r="D512" s="71"/>
      <c r="E512" s="72">
        <v>68567759</v>
      </c>
    </row>
    <row r="513" spans="1:5">
      <c r="A513" s="66" t="s">
        <v>463</v>
      </c>
      <c r="B513" s="42"/>
      <c r="C513" s="63" t="s">
        <v>527</v>
      </c>
      <c r="D513" s="62"/>
      <c r="E513" s="64">
        <v>66404062</v>
      </c>
    </row>
    <row r="514" spans="1:5">
      <c r="A514" s="68" t="s">
        <v>463</v>
      </c>
      <c r="B514" s="69"/>
      <c r="C514" s="70" t="s">
        <v>528</v>
      </c>
      <c r="D514" s="71"/>
      <c r="E514" s="72">
        <v>67737466</v>
      </c>
    </row>
    <row r="515" spans="1:5">
      <c r="A515" s="66" t="s">
        <v>463</v>
      </c>
      <c r="B515" s="42"/>
      <c r="C515" s="63" t="s">
        <v>529</v>
      </c>
      <c r="D515" s="62"/>
      <c r="E515" s="64">
        <v>65058002</v>
      </c>
    </row>
    <row r="516" spans="1:5">
      <c r="A516" s="68" t="s">
        <v>463</v>
      </c>
      <c r="B516" s="69"/>
      <c r="C516" s="70" t="s">
        <v>530</v>
      </c>
      <c r="D516" s="71"/>
      <c r="E516" s="72">
        <v>65629311</v>
      </c>
    </row>
    <row r="517" spans="1:5">
      <c r="A517" s="66" t="s">
        <v>463</v>
      </c>
      <c r="B517" s="42"/>
      <c r="C517" s="63" t="s">
        <v>531</v>
      </c>
      <c r="D517" s="62"/>
      <c r="E517" s="64">
        <v>65547041</v>
      </c>
    </row>
    <row r="518" spans="1:5">
      <c r="A518" s="68" t="s">
        <v>463</v>
      </c>
      <c r="B518" s="69"/>
      <c r="C518" s="70" t="s">
        <v>532</v>
      </c>
      <c r="D518" s="71"/>
      <c r="E518" s="72">
        <v>69009382</v>
      </c>
    </row>
    <row r="519" spans="1:5">
      <c r="A519" s="66" t="s">
        <v>463</v>
      </c>
      <c r="B519" s="42"/>
      <c r="C519" s="63" t="s">
        <v>533</v>
      </c>
      <c r="D519" s="62"/>
      <c r="E519" s="64">
        <v>68405759</v>
      </c>
    </row>
    <row r="520" spans="1:5">
      <c r="A520" s="68" t="s">
        <v>463</v>
      </c>
      <c r="B520" s="69"/>
      <c r="C520" s="70" t="s">
        <v>534</v>
      </c>
      <c r="D520" s="71"/>
      <c r="E520" s="72">
        <v>63866837</v>
      </c>
    </row>
    <row r="521" spans="1:5">
      <c r="A521" s="66" t="s">
        <v>463</v>
      </c>
      <c r="B521" s="42"/>
      <c r="C521" s="63" t="s">
        <v>535</v>
      </c>
      <c r="D521" s="62"/>
      <c r="E521" s="64">
        <v>68782378</v>
      </c>
    </row>
    <row r="522" spans="1:5">
      <c r="A522" s="68" t="s">
        <v>463</v>
      </c>
      <c r="B522" s="69"/>
      <c r="C522" s="70" t="s">
        <v>536</v>
      </c>
      <c r="D522" s="71"/>
      <c r="E522" s="72">
        <v>69725357</v>
      </c>
    </row>
    <row r="523" spans="1:5">
      <c r="A523" s="66" t="s">
        <v>463</v>
      </c>
      <c r="B523" s="42"/>
      <c r="C523" s="63" t="s">
        <v>537</v>
      </c>
      <c r="D523" s="62"/>
      <c r="E523" s="64">
        <v>66336313</v>
      </c>
    </row>
    <row r="524" spans="1:5">
      <c r="A524" s="68" t="s">
        <v>463</v>
      </c>
      <c r="B524" s="69"/>
      <c r="C524" s="70" t="s">
        <v>538</v>
      </c>
      <c r="D524" s="71"/>
      <c r="E524" s="72">
        <v>66777848</v>
      </c>
    </row>
    <row r="525" spans="1:5">
      <c r="A525" s="66" t="s">
        <v>463</v>
      </c>
      <c r="B525" s="42"/>
      <c r="C525" s="63" t="s">
        <v>539</v>
      </c>
      <c r="D525" s="62"/>
      <c r="E525" s="64">
        <v>66020344</v>
      </c>
    </row>
    <row r="526" spans="1:5">
      <c r="A526" s="68" t="s">
        <v>463</v>
      </c>
      <c r="B526" s="69"/>
      <c r="C526" s="70" t="s">
        <v>540</v>
      </c>
      <c r="D526" s="71"/>
      <c r="E526" s="72">
        <v>64152988</v>
      </c>
    </row>
    <row r="527" spans="1:5">
      <c r="A527" s="66" t="s">
        <v>463</v>
      </c>
      <c r="B527" s="42"/>
      <c r="C527" s="63" t="s">
        <v>541</v>
      </c>
      <c r="D527" s="62"/>
      <c r="E527" s="64">
        <v>64179817</v>
      </c>
    </row>
    <row r="528" spans="1:5">
      <c r="A528" s="68" t="s">
        <v>463</v>
      </c>
      <c r="B528" s="69"/>
      <c r="C528" s="70" t="s">
        <v>542</v>
      </c>
      <c r="D528" s="71"/>
      <c r="E528" s="72">
        <v>66932560</v>
      </c>
    </row>
    <row r="529" spans="1:5">
      <c r="A529" s="66" t="s">
        <v>463</v>
      </c>
      <c r="B529" s="42"/>
      <c r="C529" s="63" t="s">
        <v>543</v>
      </c>
      <c r="D529" s="62"/>
      <c r="E529" s="64">
        <v>63540370</v>
      </c>
    </row>
    <row r="530" spans="1:5">
      <c r="A530" s="68" t="s">
        <v>463</v>
      </c>
      <c r="B530" s="69"/>
      <c r="C530" s="70" t="s">
        <v>544</v>
      </c>
      <c r="D530" s="71"/>
      <c r="E530" s="72">
        <v>65700305</v>
      </c>
    </row>
    <row r="531" spans="1:5">
      <c r="A531" s="66" t="s">
        <v>463</v>
      </c>
      <c r="B531" s="42"/>
      <c r="C531" s="63" t="s">
        <v>545</v>
      </c>
      <c r="D531" s="62"/>
      <c r="E531" s="64">
        <v>62417475</v>
      </c>
    </row>
    <row r="532" spans="1:5">
      <c r="A532" s="68" t="s">
        <v>463</v>
      </c>
      <c r="B532" s="69"/>
      <c r="C532" s="70" t="s">
        <v>546</v>
      </c>
      <c r="D532" s="71"/>
      <c r="E532" s="72">
        <v>67389247</v>
      </c>
    </row>
    <row r="533" spans="1:5">
      <c r="A533" s="66" t="s">
        <v>463</v>
      </c>
      <c r="B533" s="42"/>
      <c r="C533" s="63" t="s">
        <v>547</v>
      </c>
      <c r="D533" s="62"/>
      <c r="E533" s="64">
        <v>64433910</v>
      </c>
    </row>
    <row r="534" spans="1:5">
      <c r="A534" s="68" t="s">
        <v>463</v>
      </c>
      <c r="B534" s="69"/>
      <c r="C534" s="70" t="s">
        <v>548</v>
      </c>
      <c r="D534" s="71"/>
      <c r="E534" s="72">
        <v>66032363</v>
      </c>
    </row>
    <row r="535" spans="1:5">
      <c r="A535" s="66" t="s">
        <v>463</v>
      </c>
      <c r="B535" s="42"/>
      <c r="C535" s="63" t="s">
        <v>549</v>
      </c>
      <c r="D535" s="62"/>
      <c r="E535" s="64">
        <v>62278288</v>
      </c>
    </row>
    <row r="536" spans="1:5">
      <c r="A536" s="68" t="s">
        <v>463</v>
      </c>
      <c r="B536" s="69"/>
      <c r="C536" s="70" t="s">
        <v>550</v>
      </c>
      <c r="D536" s="71"/>
      <c r="E536" s="72">
        <v>65021504</v>
      </c>
    </row>
    <row r="537" spans="1:5">
      <c r="A537" s="66" t="s">
        <v>463</v>
      </c>
      <c r="B537" s="42"/>
      <c r="C537" s="63" t="s">
        <v>551</v>
      </c>
      <c r="D537" s="62"/>
      <c r="E537" s="64">
        <v>66349206</v>
      </c>
    </row>
    <row r="538" spans="1:5">
      <c r="A538" s="68" t="s">
        <v>463</v>
      </c>
      <c r="B538" s="69"/>
      <c r="C538" s="70" t="s">
        <v>552</v>
      </c>
      <c r="D538" s="71"/>
      <c r="E538" s="72">
        <v>62290298</v>
      </c>
    </row>
    <row r="539" spans="1:5">
      <c r="A539" s="66" t="s">
        <v>463</v>
      </c>
      <c r="B539" s="42"/>
      <c r="C539" s="63" t="s">
        <v>553</v>
      </c>
      <c r="D539" s="62"/>
      <c r="E539" s="64">
        <v>66076254</v>
      </c>
    </row>
    <row r="540" spans="1:5">
      <c r="A540" s="68" t="s">
        <v>463</v>
      </c>
      <c r="B540" s="69"/>
      <c r="C540" s="70" t="s">
        <v>554</v>
      </c>
      <c r="D540" s="71"/>
      <c r="E540" s="72">
        <v>68478538</v>
      </c>
    </row>
    <row r="541" spans="1:5">
      <c r="A541" s="66" t="s">
        <v>463</v>
      </c>
      <c r="B541" s="42"/>
      <c r="C541" s="63" t="s">
        <v>555</v>
      </c>
      <c r="D541" s="62"/>
      <c r="E541" s="64">
        <v>67374178</v>
      </c>
    </row>
    <row r="542" spans="1:5">
      <c r="A542" s="68" t="s">
        <v>463</v>
      </c>
      <c r="B542" s="69"/>
      <c r="C542" s="70" t="s">
        <v>556</v>
      </c>
      <c r="D542" s="71"/>
      <c r="E542" s="72">
        <v>66561328</v>
      </c>
    </row>
    <row r="543" spans="1:5">
      <c r="A543" s="66" t="s">
        <v>463</v>
      </c>
      <c r="B543" s="42"/>
      <c r="C543" s="63" t="s">
        <v>557</v>
      </c>
      <c r="D543" s="62"/>
      <c r="E543" s="64">
        <v>67923846</v>
      </c>
    </row>
    <row r="544" spans="1:5">
      <c r="A544" s="68" t="s">
        <v>463</v>
      </c>
      <c r="B544" s="69"/>
      <c r="C544" s="70" t="s">
        <v>558</v>
      </c>
      <c r="D544" s="71"/>
      <c r="E544" s="72">
        <v>62022112</v>
      </c>
    </row>
    <row r="545" spans="1:5">
      <c r="A545" s="66" t="s">
        <v>463</v>
      </c>
      <c r="B545" s="42"/>
      <c r="C545" s="63" t="s">
        <v>559</v>
      </c>
      <c r="D545" s="62"/>
      <c r="E545" s="67">
        <v>64667067</v>
      </c>
    </row>
    <row r="546" spans="1:5">
      <c r="A546" s="68" t="s">
        <v>463</v>
      </c>
      <c r="B546" s="69"/>
      <c r="C546" s="70" t="s">
        <v>560</v>
      </c>
      <c r="D546" s="71"/>
      <c r="E546" s="73">
        <v>66304020</v>
      </c>
    </row>
    <row r="547" spans="1:5">
      <c r="A547" s="66" t="s">
        <v>463</v>
      </c>
      <c r="B547" s="42"/>
      <c r="C547" s="63" t="s">
        <v>561</v>
      </c>
      <c r="D547" s="62"/>
      <c r="E547" s="67">
        <v>7705719</v>
      </c>
    </row>
    <row r="548" spans="1:5">
      <c r="A548" s="68" t="s">
        <v>463</v>
      </c>
      <c r="B548" s="69"/>
      <c r="C548" s="70" t="s">
        <v>562</v>
      </c>
      <c r="D548" s="71"/>
      <c r="E548" s="73">
        <v>67819725</v>
      </c>
    </row>
    <row r="549" spans="1:5">
      <c r="A549" s="66" t="s">
        <v>463</v>
      </c>
      <c r="B549" s="42"/>
      <c r="C549" s="63" t="s">
        <v>563</v>
      </c>
      <c r="D549" s="62"/>
      <c r="E549" s="67">
        <v>65739381</v>
      </c>
    </row>
    <row r="550" spans="1:5">
      <c r="A550" s="68" t="s">
        <v>463</v>
      </c>
      <c r="B550" s="69"/>
      <c r="C550" s="70" t="s">
        <v>564</v>
      </c>
      <c r="D550" s="71"/>
      <c r="E550" s="73">
        <v>69973295</v>
      </c>
    </row>
    <row r="551" spans="1:5">
      <c r="A551" s="66" t="s">
        <v>463</v>
      </c>
      <c r="B551" s="42"/>
      <c r="C551" s="63" t="s">
        <v>565</v>
      </c>
      <c r="D551" s="62"/>
      <c r="E551" s="67">
        <v>7864567</v>
      </c>
    </row>
    <row r="552" spans="1:5">
      <c r="A552" s="68" t="s">
        <v>463</v>
      </c>
      <c r="B552" s="69"/>
      <c r="C552" s="70" t="s">
        <v>566</v>
      </c>
      <c r="D552" s="71"/>
      <c r="E552" s="73">
        <v>62375423</v>
      </c>
    </row>
    <row r="553" spans="1:5">
      <c r="A553" s="66" t="s">
        <v>463</v>
      </c>
      <c r="B553" s="42"/>
      <c r="C553" s="63" t="s">
        <v>567</v>
      </c>
      <c r="D553" s="62"/>
      <c r="E553" s="67">
        <v>68634490</v>
      </c>
    </row>
    <row r="554" spans="1:5">
      <c r="A554" s="68" t="s">
        <v>463</v>
      </c>
      <c r="B554" s="69"/>
      <c r="C554" s="70" t="s">
        <v>568</v>
      </c>
      <c r="D554" s="71"/>
      <c r="E554" s="73">
        <v>66298299</v>
      </c>
    </row>
    <row r="555" spans="1:5">
      <c r="A555" s="66" t="s">
        <v>463</v>
      </c>
      <c r="B555" s="42"/>
      <c r="C555" s="63" t="s">
        <v>569</v>
      </c>
      <c r="D555" s="62"/>
      <c r="E555" s="67">
        <v>65608314</v>
      </c>
    </row>
    <row r="556" spans="1:5">
      <c r="A556" s="68" t="s">
        <v>463</v>
      </c>
      <c r="B556" s="69"/>
      <c r="C556" s="70" t="s">
        <v>570</v>
      </c>
      <c r="D556" s="71"/>
      <c r="E556" s="73">
        <v>64670836</v>
      </c>
    </row>
    <row r="557" spans="1:5">
      <c r="A557" s="66" t="s">
        <v>463</v>
      </c>
      <c r="B557" s="42"/>
      <c r="C557" s="63" t="s">
        <v>571</v>
      </c>
      <c r="D557" s="62"/>
      <c r="E557" s="67">
        <v>66785666</v>
      </c>
    </row>
    <row r="558" spans="1:5">
      <c r="A558" s="68" t="s">
        <v>463</v>
      </c>
      <c r="B558" s="69"/>
      <c r="C558" s="70" t="s">
        <v>572</v>
      </c>
      <c r="D558" s="71"/>
      <c r="E558" s="73">
        <v>68397704</v>
      </c>
    </row>
    <row r="559" spans="1:5">
      <c r="A559" s="66" t="s">
        <v>463</v>
      </c>
      <c r="B559" s="42"/>
      <c r="C559" s="63" t="s">
        <v>573</v>
      </c>
      <c r="D559" s="62"/>
      <c r="E559" s="67">
        <v>65817645</v>
      </c>
    </row>
    <row r="560" spans="1:5">
      <c r="A560" s="68" t="s">
        <v>463</v>
      </c>
      <c r="B560" s="69"/>
      <c r="C560" s="70" t="s">
        <v>574</v>
      </c>
      <c r="D560" s="71"/>
      <c r="E560" s="73">
        <v>7307488</v>
      </c>
    </row>
    <row r="561" spans="1:5">
      <c r="A561" s="66" t="s">
        <v>463</v>
      </c>
      <c r="B561" s="42"/>
      <c r="C561" s="63" t="s">
        <v>575</v>
      </c>
      <c r="D561" s="62"/>
      <c r="E561" s="67">
        <v>68876464</v>
      </c>
    </row>
    <row r="562" spans="1:5">
      <c r="A562" s="68" t="s">
        <v>463</v>
      </c>
      <c r="B562" s="69"/>
      <c r="C562" s="70" t="s">
        <v>576</v>
      </c>
      <c r="D562" s="71"/>
      <c r="E562" s="73">
        <v>68043824</v>
      </c>
    </row>
    <row r="563" spans="1:5">
      <c r="A563" s="66" t="s">
        <v>463</v>
      </c>
      <c r="B563" s="42"/>
      <c r="C563" s="63" t="s">
        <v>577</v>
      </c>
      <c r="D563" s="62"/>
      <c r="E563" s="67">
        <v>66717484</v>
      </c>
    </row>
    <row r="564" spans="1:5">
      <c r="A564" s="68" t="s">
        <v>463</v>
      </c>
      <c r="B564" s="69"/>
      <c r="C564" s="70" t="s">
        <v>578</v>
      </c>
      <c r="D564" s="71"/>
      <c r="E564" s="73">
        <v>66988384</v>
      </c>
    </row>
    <row r="565" spans="1:5">
      <c r="A565" s="66" t="s">
        <v>463</v>
      </c>
      <c r="B565" s="42"/>
      <c r="C565" s="63" t="s">
        <v>579</v>
      </c>
      <c r="D565" s="62"/>
      <c r="E565" s="67">
        <v>7723069</v>
      </c>
    </row>
    <row r="566" spans="1:5">
      <c r="A566" s="68" t="s">
        <v>463</v>
      </c>
      <c r="B566" s="69"/>
      <c r="C566" s="70" t="s">
        <v>580</v>
      </c>
      <c r="D566" s="71"/>
      <c r="E566" s="73">
        <v>66349227</v>
      </c>
    </row>
    <row r="567" spans="1:5">
      <c r="A567" s="66" t="s">
        <v>463</v>
      </c>
      <c r="B567" s="42"/>
      <c r="C567" s="63" t="s">
        <v>581</v>
      </c>
      <c r="D567" s="62"/>
      <c r="E567" s="67">
        <v>64633322</v>
      </c>
    </row>
    <row r="568" spans="1:5">
      <c r="A568" s="68" t="s">
        <v>463</v>
      </c>
      <c r="B568" s="69"/>
      <c r="C568" s="70" t="s">
        <v>582</v>
      </c>
      <c r="D568" s="71"/>
      <c r="E568" s="73">
        <v>65804794</v>
      </c>
    </row>
    <row r="569" spans="1:5">
      <c r="A569" s="66" t="s">
        <v>463</v>
      </c>
      <c r="B569" s="42"/>
      <c r="C569" s="63" t="s">
        <v>583</v>
      </c>
      <c r="D569" s="62"/>
      <c r="E569" s="67">
        <v>65848223</v>
      </c>
    </row>
    <row r="570" spans="1:5">
      <c r="A570" s="68" t="s">
        <v>463</v>
      </c>
      <c r="B570" s="69"/>
      <c r="C570" s="70" t="s">
        <v>584</v>
      </c>
      <c r="D570" s="71"/>
      <c r="E570" s="73">
        <v>68457526</v>
      </c>
    </row>
    <row r="571" spans="1:5">
      <c r="A571" s="66" t="s">
        <v>463</v>
      </c>
      <c r="B571" s="42"/>
      <c r="C571" s="63" t="s">
        <v>585</v>
      </c>
      <c r="D571" s="62"/>
      <c r="E571" s="67">
        <v>65906632</v>
      </c>
    </row>
    <row r="572" spans="1:5">
      <c r="A572" s="68" t="s">
        <v>463</v>
      </c>
      <c r="B572" s="69"/>
      <c r="C572" s="70" t="s">
        <v>586</v>
      </c>
      <c r="D572" s="71"/>
      <c r="E572" s="73">
        <v>64820708</v>
      </c>
    </row>
    <row r="573" spans="1:5">
      <c r="A573" s="66" t="s">
        <v>463</v>
      </c>
      <c r="B573" s="42"/>
      <c r="C573" s="63" t="s">
        <v>587</v>
      </c>
      <c r="D573" s="62"/>
      <c r="E573" s="67">
        <v>67755875</v>
      </c>
    </row>
    <row r="574" spans="1:5">
      <c r="A574" s="68" t="s">
        <v>463</v>
      </c>
      <c r="B574" s="69"/>
      <c r="C574" s="70" t="s">
        <v>588</v>
      </c>
      <c r="D574" s="71"/>
      <c r="E574" s="73">
        <v>67373078</v>
      </c>
    </row>
    <row r="575" spans="1:5">
      <c r="A575" s="66" t="s">
        <v>463</v>
      </c>
      <c r="B575" s="42"/>
      <c r="C575" s="63" t="s">
        <v>589</v>
      </c>
      <c r="D575" s="62"/>
      <c r="E575" s="67">
        <v>7712044</v>
      </c>
    </row>
    <row r="576" spans="1:5">
      <c r="A576" s="68" t="s">
        <v>463</v>
      </c>
      <c r="B576" s="69"/>
      <c r="C576" s="70" t="s">
        <v>590</v>
      </c>
      <c r="D576" s="71"/>
      <c r="E576" s="73">
        <v>67067514</v>
      </c>
    </row>
    <row r="577" spans="1:5">
      <c r="A577" s="66" t="s">
        <v>463</v>
      </c>
      <c r="B577" s="42"/>
      <c r="C577" s="63" t="s">
        <v>591</v>
      </c>
      <c r="D577" s="62"/>
      <c r="E577" s="67">
        <v>69800528</v>
      </c>
    </row>
    <row r="578" spans="1:5">
      <c r="A578" s="68" t="s">
        <v>463</v>
      </c>
      <c r="B578" s="69"/>
      <c r="C578" s="70" t="s">
        <v>592</v>
      </c>
      <c r="D578" s="71"/>
      <c r="E578" s="73">
        <v>64434467</v>
      </c>
    </row>
    <row r="579" spans="1:5">
      <c r="A579" s="66" t="s">
        <v>463</v>
      </c>
      <c r="B579" s="42"/>
      <c r="C579" s="63" t="s">
        <v>593</v>
      </c>
      <c r="D579" s="62"/>
      <c r="E579" s="67">
        <v>66940670</v>
      </c>
    </row>
    <row r="580" spans="1:5">
      <c r="A580" s="68" t="s">
        <v>463</v>
      </c>
      <c r="B580" s="69"/>
      <c r="C580" s="70" t="s">
        <v>594</v>
      </c>
      <c r="D580" s="71"/>
      <c r="E580" s="73">
        <v>68859222</v>
      </c>
    </row>
    <row r="581" spans="1:5">
      <c r="A581" s="66" t="s">
        <v>463</v>
      </c>
      <c r="B581" s="42"/>
      <c r="C581" s="63" t="s">
        <v>595</v>
      </c>
      <c r="D581" s="62"/>
      <c r="E581" s="67">
        <v>66966512</v>
      </c>
    </row>
    <row r="582" spans="1:5">
      <c r="A582" s="68" t="s">
        <v>463</v>
      </c>
      <c r="B582" s="69"/>
      <c r="C582" s="70" t="s">
        <v>596</v>
      </c>
      <c r="D582" s="71"/>
      <c r="E582" s="73">
        <v>64729180</v>
      </c>
    </row>
    <row r="583" spans="1:5">
      <c r="A583" s="66" t="s">
        <v>463</v>
      </c>
      <c r="B583" s="42"/>
      <c r="C583" s="63" t="s">
        <v>597</v>
      </c>
      <c r="D583" s="62"/>
      <c r="E583" s="67">
        <v>67346385</v>
      </c>
    </row>
    <row r="584" spans="1:5">
      <c r="A584" s="68" t="s">
        <v>463</v>
      </c>
      <c r="B584" s="69"/>
      <c r="C584" s="70" t="s">
        <v>598</v>
      </c>
      <c r="D584" s="71"/>
      <c r="E584" s="73">
        <v>66219907</v>
      </c>
    </row>
    <row r="585" spans="1:5">
      <c r="A585" s="66" t="s">
        <v>463</v>
      </c>
      <c r="B585" s="42"/>
      <c r="C585" s="63" t="s">
        <v>599</v>
      </c>
      <c r="D585" s="62"/>
      <c r="E585" s="67">
        <v>63218352</v>
      </c>
    </row>
    <row r="586" spans="1:5">
      <c r="A586" s="68" t="s">
        <v>463</v>
      </c>
      <c r="B586" s="69"/>
      <c r="C586" s="70" t="s">
        <v>600</v>
      </c>
      <c r="D586" s="71"/>
      <c r="E586" s="73">
        <v>65731148</v>
      </c>
    </row>
    <row r="587" spans="1:5">
      <c r="A587" s="66" t="s">
        <v>463</v>
      </c>
      <c r="B587" s="42"/>
      <c r="C587" s="63" t="s">
        <v>601</v>
      </c>
      <c r="D587" s="62"/>
      <c r="E587" s="67">
        <v>68231093</v>
      </c>
    </row>
    <row r="588" spans="1:5">
      <c r="A588" s="68" t="s">
        <v>463</v>
      </c>
      <c r="B588" s="69"/>
      <c r="C588" s="70" t="s">
        <v>602</v>
      </c>
      <c r="D588" s="71"/>
      <c r="E588" s="73">
        <v>64516997</v>
      </c>
    </row>
    <row r="589" spans="1:5">
      <c r="A589" s="66" t="s">
        <v>463</v>
      </c>
      <c r="B589" s="42"/>
      <c r="C589" s="63" t="s">
        <v>603</v>
      </c>
      <c r="D589" s="62"/>
      <c r="E589" s="67">
        <v>66904481</v>
      </c>
    </row>
    <row r="590" spans="1:5">
      <c r="A590" s="68" t="s">
        <v>463</v>
      </c>
      <c r="B590" s="69"/>
      <c r="C590" s="70" t="s">
        <v>604</v>
      </c>
      <c r="D590" s="71"/>
      <c r="E590" s="73">
        <v>65191923</v>
      </c>
    </row>
    <row r="591" spans="1:5">
      <c r="A591" s="66" t="s">
        <v>463</v>
      </c>
      <c r="B591" s="42"/>
      <c r="C591" s="63" t="s">
        <v>605</v>
      </c>
      <c r="D591" s="62"/>
      <c r="E591" s="67">
        <v>69596465</v>
      </c>
    </row>
    <row r="592" spans="1:5">
      <c r="A592" s="68" t="s">
        <v>463</v>
      </c>
      <c r="B592" s="69"/>
      <c r="C592" s="70" t="s">
        <v>606</v>
      </c>
      <c r="D592" s="71"/>
      <c r="E592" s="73">
        <v>67232415</v>
      </c>
    </row>
    <row r="593" spans="1:5">
      <c r="A593" s="66" t="s">
        <v>463</v>
      </c>
      <c r="B593" s="42"/>
      <c r="C593" s="63" t="s">
        <v>607</v>
      </c>
      <c r="D593" s="62"/>
      <c r="E593" s="67">
        <v>7210174</v>
      </c>
    </row>
    <row r="594" spans="1:5">
      <c r="A594" s="68" t="s">
        <v>463</v>
      </c>
      <c r="B594" s="69"/>
      <c r="C594" s="70" t="s">
        <v>608</v>
      </c>
      <c r="D594" s="71"/>
      <c r="E594" s="73">
        <v>65248558</v>
      </c>
    </row>
    <row r="595" spans="1:5">
      <c r="A595" s="66" t="s">
        <v>463</v>
      </c>
      <c r="B595" s="42"/>
      <c r="C595" s="63" t="s">
        <v>609</v>
      </c>
      <c r="D595" s="62"/>
      <c r="E595" s="67">
        <v>67478647</v>
      </c>
    </row>
    <row r="596" spans="1:5">
      <c r="A596" s="68" t="s">
        <v>463</v>
      </c>
      <c r="B596" s="69"/>
      <c r="C596" s="70" t="s">
        <v>610</v>
      </c>
      <c r="D596" s="71"/>
      <c r="E596" s="73">
        <v>64644406</v>
      </c>
    </row>
    <row r="597" spans="1:5">
      <c r="A597" s="66" t="s">
        <v>463</v>
      </c>
      <c r="B597" s="42"/>
      <c r="C597" s="63" t="s">
        <v>611</v>
      </c>
      <c r="D597" s="62"/>
      <c r="E597" s="67">
        <v>66917477</v>
      </c>
    </row>
    <row r="598" spans="1:5">
      <c r="A598" s="68" t="s">
        <v>463</v>
      </c>
      <c r="B598" s="69"/>
      <c r="C598" s="70" t="s">
        <v>612</v>
      </c>
      <c r="D598" s="71"/>
      <c r="E598" s="73">
        <v>67608862</v>
      </c>
    </row>
    <row r="599" spans="1:5">
      <c r="A599" s="66" t="s">
        <v>463</v>
      </c>
      <c r="B599" s="42"/>
      <c r="C599" s="63" t="s">
        <v>613</v>
      </c>
      <c r="D599" s="62"/>
      <c r="E599" s="67">
        <v>62133255</v>
      </c>
    </row>
    <row r="600" spans="1:5">
      <c r="A600" s="68" t="s">
        <v>463</v>
      </c>
      <c r="B600" s="69"/>
      <c r="C600" s="70" t="s">
        <v>614</v>
      </c>
      <c r="D600" s="71"/>
      <c r="E600" s="73">
        <v>60473256</v>
      </c>
    </row>
    <row r="601" spans="1:5">
      <c r="A601" s="66" t="s">
        <v>463</v>
      </c>
      <c r="B601" s="42"/>
      <c r="C601" s="63" t="s">
        <v>615</v>
      </c>
      <c r="D601" s="62"/>
      <c r="E601" s="67">
        <v>68700236</v>
      </c>
    </row>
    <row r="602" spans="1:5">
      <c r="A602" s="68" t="s">
        <v>463</v>
      </c>
      <c r="B602" s="69"/>
      <c r="C602" s="70" t="s">
        <v>616</v>
      </c>
      <c r="D602" s="71"/>
      <c r="E602" s="73">
        <v>63536121</v>
      </c>
    </row>
    <row r="603" spans="1:5">
      <c r="A603" s="66" t="s">
        <v>463</v>
      </c>
      <c r="B603" s="42"/>
      <c r="C603" s="63" t="s">
        <v>617</v>
      </c>
      <c r="D603" s="62"/>
      <c r="E603" s="67">
        <v>67128024</v>
      </c>
    </row>
    <row r="604" spans="1:5">
      <c r="A604" s="68" t="s">
        <v>463</v>
      </c>
      <c r="B604" s="69"/>
      <c r="C604" s="70" t="s">
        <v>618</v>
      </c>
      <c r="D604" s="71"/>
      <c r="E604" s="73">
        <v>65459781</v>
      </c>
    </row>
    <row r="605" spans="1:5">
      <c r="A605" s="66" t="s">
        <v>463</v>
      </c>
      <c r="B605" s="42"/>
      <c r="C605" s="63" t="s">
        <v>619</v>
      </c>
      <c r="D605" s="62"/>
      <c r="E605" s="67">
        <v>7757103</v>
      </c>
    </row>
    <row r="606" spans="1:5">
      <c r="A606" s="68" t="s">
        <v>463</v>
      </c>
      <c r="B606" s="69"/>
      <c r="C606" s="70" t="s">
        <v>620</v>
      </c>
      <c r="D606" s="71"/>
      <c r="E606" s="73">
        <v>6329234</v>
      </c>
    </row>
    <row r="607" spans="1:5">
      <c r="A607" s="66" t="s">
        <v>463</v>
      </c>
      <c r="B607" s="42"/>
      <c r="C607" s="63" t="s">
        <v>621</v>
      </c>
      <c r="D607" s="62"/>
      <c r="E607" s="67">
        <v>62724945</v>
      </c>
    </row>
    <row r="608" spans="1:5">
      <c r="A608" s="68" t="s">
        <v>463</v>
      </c>
      <c r="B608" s="69"/>
      <c r="C608" s="70" t="s">
        <v>622</v>
      </c>
      <c r="D608" s="71"/>
      <c r="E608" s="73">
        <v>7090212</v>
      </c>
    </row>
    <row r="609" spans="1:5">
      <c r="A609" s="66" t="s">
        <v>463</v>
      </c>
      <c r="B609" s="42"/>
      <c r="C609" s="63" t="s">
        <v>623</v>
      </c>
      <c r="D609" s="62"/>
      <c r="E609" s="67">
        <v>60802583</v>
      </c>
    </row>
    <row r="610" spans="1:5">
      <c r="A610" s="68" t="s">
        <v>463</v>
      </c>
      <c r="B610" s="69"/>
      <c r="C610" s="70" t="s">
        <v>624</v>
      </c>
      <c r="D610" s="71"/>
      <c r="E610" s="73">
        <v>65977916</v>
      </c>
    </row>
    <row r="611" spans="1:5">
      <c r="A611" s="66" t="s">
        <v>463</v>
      </c>
      <c r="B611" s="42"/>
      <c r="C611" s="63" t="s">
        <v>625</v>
      </c>
      <c r="D611" s="62"/>
      <c r="E611" s="67">
        <v>67753549</v>
      </c>
    </row>
    <row r="612" spans="1:5">
      <c r="A612" s="68" t="s">
        <v>463</v>
      </c>
      <c r="B612" s="69"/>
      <c r="C612" s="70" t="s">
        <v>626</v>
      </c>
      <c r="D612" s="71"/>
      <c r="E612" s="73">
        <v>64807273</v>
      </c>
    </row>
    <row r="613" spans="1:5">
      <c r="A613" s="66" t="s">
        <v>463</v>
      </c>
      <c r="B613" s="42"/>
      <c r="C613" s="63" t="s">
        <v>627</v>
      </c>
      <c r="D613" s="62"/>
      <c r="E613" s="67">
        <v>66194214</v>
      </c>
    </row>
    <row r="614" spans="1:5">
      <c r="A614" s="68" t="s">
        <v>463</v>
      </c>
      <c r="B614" s="69"/>
      <c r="C614" s="70" t="s">
        <v>628</v>
      </c>
      <c r="D614" s="71"/>
      <c r="E614" s="73">
        <v>65855337</v>
      </c>
    </row>
    <row r="615" spans="1:5">
      <c r="A615" s="66" t="s">
        <v>463</v>
      </c>
      <c r="B615" s="42"/>
      <c r="C615" s="63" t="s">
        <v>629</v>
      </c>
      <c r="D615" s="62"/>
      <c r="E615" s="67">
        <v>64217698</v>
      </c>
    </row>
    <row r="616" spans="1:5">
      <c r="A616" s="68" t="s">
        <v>463</v>
      </c>
      <c r="B616" s="69"/>
      <c r="C616" s="70" t="s">
        <v>630</v>
      </c>
      <c r="D616" s="71"/>
      <c r="E616" s="73">
        <v>64002574</v>
      </c>
    </row>
    <row r="617" spans="1:5">
      <c r="A617" s="66" t="s">
        <v>463</v>
      </c>
      <c r="B617" s="42"/>
      <c r="C617" s="63" t="s">
        <v>631</v>
      </c>
      <c r="D617" s="62"/>
      <c r="E617" s="67">
        <v>7742733</v>
      </c>
    </row>
    <row r="618" spans="1:5">
      <c r="A618" s="68" t="s">
        <v>463</v>
      </c>
      <c r="B618" s="69"/>
      <c r="C618" s="70" t="s">
        <v>632</v>
      </c>
      <c r="D618" s="71"/>
      <c r="E618" s="73">
        <v>7752983</v>
      </c>
    </row>
    <row r="619" spans="1:5">
      <c r="A619" s="66" t="s">
        <v>463</v>
      </c>
      <c r="B619" s="42"/>
      <c r="C619" s="63" t="s">
        <v>633</v>
      </c>
      <c r="D619" s="62"/>
      <c r="E619" s="67">
        <v>7300993</v>
      </c>
    </row>
    <row r="620" spans="1:5">
      <c r="A620" s="68" t="s">
        <v>463</v>
      </c>
      <c r="B620" s="69"/>
      <c r="C620" s="70" t="s">
        <v>634</v>
      </c>
      <c r="D620" s="71"/>
      <c r="E620" s="73">
        <v>65903525</v>
      </c>
    </row>
    <row r="621" spans="1:5">
      <c r="A621" s="66" t="s">
        <v>463</v>
      </c>
      <c r="B621" s="42"/>
      <c r="C621" s="63" t="s">
        <v>635</v>
      </c>
      <c r="D621" s="62"/>
      <c r="E621" s="67">
        <v>7703632</v>
      </c>
    </row>
    <row r="622" spans="1:5">
      <c r="A622" s="68" t="s">
        <v>463</v>
      </c>
      <c r="B622" s="69"/>
      <c r="C622" s="70" t="s">
        <v>636</v>
      </c>
      <c r="D622" s="71"/>
      <c r="E622" s="73">
        <v>7705458</v>
      </c>
    </row>
    <row r="623" spans="1:5">
      <c r="A623" s="66" t="s">
        <v>463</v>
      </c>
      <c r="B623" s="42"/>
      <c r="C623" s="63" t="s">
        <v>637</v>
      </c>
      <c r="D623" s="62"/>
      <c r="E623" s="67">
        <v>2952767</v>
      </c>
    </row>
    <row r="624" spans="1:5">
      <c r="A624" s="68" t="s">
        <v>463</v>
      </c>
      <c r="B624" s="69"/>
      <c r="C624" s="70" t="s">
        <v>638</v>
      </c>
      <c r="D624" s="71"/>
      <c r="E624" s="73">
        <v>66786776</v>
      </c>
    </row>
    <row r="625" spans="1:5">
      <c r="A625" s="66" t="s">
        <v>463</v>
      </c>
      <c r="B625" s="42"/>
      <c r="C625" s="63" t="s">
        <v>639</v>
      </c>
      <c r="D625" s="62"/>
      <c r="E625" s="67">
        <v>7748437</v>
      </c>
    </row>
    <row r="626" spans="1:5">
      <c r="A626" s="68" t="s">
        <v>463</v>
      </c>
      <c r="B626" s="69"/>
      <c r="C626" s="70" t="s">
        <v>640</v>
      </c>
      <c r="D626" s="71"/>
      <c r="E626" s="73">
        <v>62336275</v>
      </c>
    </row>
    <row r="627" spans="1:5">
      <c r="A627" s="66" t="s">
        <v>463</v>
      </c>
      <c r="B627" s="42"/>
      <c r="C627" s="63" t="s">
        <v>641</v>
      </c>
      <c r="D627" s="62"/>
      <c r="E627" s="67">
        <v>64471509</v>
      </c>
    </row>
    <row r="628" spans="1:5">
      <c r="A628" s="68" t="s">
        <v>463</v>
      </c>
      <c r="B628" s="69"/>
      <c r="C628" s="70" t="s">
        <v>642</v>
      </c>
      <c r="D628" s="71"/>
      <c r="E628" s="73">
        <v>69123287</v>
      </c>
    </row>
    <row r="629" spans="1:5">
      <c r="A629" s="66" t="s">
        <v>463</v>
      </c>
      <c r="B629" s="42"/>
      <c r="C629" s="63" t="s">
        <v>643</v>
      </c>
      <c r="D629" s="62"/>
      <c r="E629" s="67">
        <v>62464091</v>
      </c>
    </row>
    <row r="630" spans="1:5">
      <c r="A630" s="68" t="s">
        <v>644</v>
      </c>
      <c r="B630" s="69"/>
      <c r="C630" s="70" t="s">
        <v>645</v>
      </c>
      <c r="D630" s="71"/>
      <c r="E630" s="72">
        <v>67289339</v>
      </c>
    </row>
    <row r="631" spans="1:5">
      <c r="A631" s="66" t="s">
        <v>644</v>
      </c>
      <c r="B631" s="42"/>
      <c r="C631" s="63" t="s">
        <v>646</v>
      </c>
      <c r="D631" s="62"/>
      <c r="E631" s="64">
        <v>63697112</v>
      </c>
    </row>
    <row r="632" spans="1:5">
      <c r="A632" s="68" t="s">
        <v>644</v>
      </c>
      <c r="B632" s="69"/>
      <c r="C632" s="70" t="s">
        <v>647</v>
      </c>
      <c r="D632" s="71"/>
      <c r="E632" s="72">
        <v>68156724</v>
      </c>
    </row>
    <row r="633" spans="1:5">
      <c r="A633" s="66" t="s">
        <v>644</v>
      </c>
      <c r="B633" s="42"/>
      <c r="C633" s="63" t="s">
        <v>648</v>
      </c>
      <c r="D633" s="62"/>
      <c r="E633" s="64">
        <v>64428669</v>
      </c>
    </row>
    <row r="634" spans="1:5">
      <c r="A634" s="68" t="s">
        <v>644</v>
      </c>
      <c r="B634" s="69"/>
      <c r="C634" s="70" t="s">
        <v>649</v>
      </c>
      <c r="D634" s="71"/>
      <c r="E634" s="72">
        <v>66098309</v>
      </c>
    </row>
    <row r="635" spans="1:5">
      <c r="A635" s="66" t="s">
        <v>644</v>
      </c>
      <c r="B635" s="42"/>
      <c r="C635" s="63" t="s">
        <v>650</v>
      </c>
      <c r="D635" s="62"/>
      <c r="E635" s="64">
        <v>68324393</v>
      </c>
    </row>
    <row r="636" spans="1:5">
      <c r="A636" s="68" t="s">
        <v>644</v>
      </c>
      <c r="B636" s="69"/>
      <c r="C636" s="70" t="s">
        <v>651</v>
      </c>
      <c r="D636" s="71"/>
      <c r="E636" s="72">
        <v>69726915</v>
      </c>
    </row>
    <row r="637" spans="1:5">
      <c r="A637" s="66" t="s">
        <v>644</v>
      </c>
      <c r="B637" s="42"/>
      <c r="C637" s="63" t="s">
        <v>652</v>
      </c>
      <c r="D637" s="62"/>
      <c r="E637" s="64">
        <v>68538405</v>
      </c>
    </row>
    <row r="638" spans="1:5">
      <c r="A638" s="68" t="s">
        <v>644</v>
      </c>
      <c r="B638" s="69"/>
      <c r="C638" s="70" t="s">
        <v>653</v>
      </c>
      <c r="D638" s="71"/>
      <c r="E638" s="73">
        <v>7756249</v>
      </c>
    </row>
    <row r="639" spans="1:5">
      <c r="A639" s="66" t="s">
        <v>644</v>
      </c>
      <c r="B639" s="42"/>
      <c r="C639" s="63" t="s">
        <v>654</v>
      </c>
      <c r="D639" s="62"/>
      <c r="E639" s="67">
        <v>64247413</v>
      </c>
    </row>
    <row r="640" spans="1:5">
      <c r="A640" s="68" t="s">
        <v>644</v>
      </c>
      <c r="B640" s="69"/>
      <c r="C640" s="70" t="s">
        <v>655</v>
      </c>
      <c r="D640" s="71"/>
      <c r="E640" s="73">
        <v>7300364</v>
      </c>
    </row>
    <row r="641" spans="1:5">
      <c r="A641" s="66" t="s">
        <v>644</v>
      </c>
      <c r="B641" s="42"/>
      <c r="C641" s="63" t="s">
        <v>656</v>
      </c>
      <c r="D641" s="62"/>
      <c r="E641" s="67">
        <v>66784754</v>
      </c>
    </row>
    <row r="642" spans="1:5">
      <c r="A642" s="68" t="s">
        <v>644</v>
      </c>
      <c r="B642" s="69"/>
      <c r="C642" s="70" t="s">
        <v>657</v>
      </c>
      <c r="D642" s="71"/>
      <c r="E642" s="73">
        <v>63219939</v>
      </c>
    </row>
    <row r="643" spans="1:5">
      <c r="A643" s="66" t="s">
        <v>644</v>
      </c>
      <c r="B643" s="42"/>
      <c r="C643" s="63" t="s">
        <v>658</v>
      </c>
      <c r="D643" s="62"/>
      <c r="E643" s="67">
        <v>64035120</v>
      </c>
    </row>
    <row r="644" spans="1:5">
      <c r="A644" s="68" t="s">
        <v>644</v>
      </c>
      <c r="B644" s="69"/>
      <c r="C644" s="70" t="s">
        <v>659</v>
      </c>
      <c r="D644" s="71"/>
      <c r="E644" s="73">
        <v>64171912</v>
      </c>
    </row>
    <row r="645" spans="1:5">
      <c r="A645" s="66" t="s">
        <v>644</v>
      </c>
      <c r="B645" s="42"/>
      <c r="C645" s="63" t="s">
        <v>660</v>
      </c>
      <c r="D645" s="62"/>
      <c r="E645" s="67">
        <v>7866093</v>
      </c>
    </row>
    <row r="646" spans="1:5">
      <c r="A646" s="68" t="s">
        <v>644</v>
      </c>
      <c r="B646" s="69"/>
      <c r="C646" s="70" t="s">
        <v>661</v>
      </c>
      <c r="D646" s="71"/>
      <c r="E646" s="73">
        <v>7740032</v>
      </c>
    </row>
    <row r="647" spans="1:5">
      <c r="A647" s="66" t="s">
        <v>644</v>
      </c>
      <c r="B647" s="42"/>
      <c r="C647" s="63" t="s">
        <v>662</v>
      </c>
      <c r="D647" s="62"/>
      <c r="E647" s="67">
        <v>7758779</v>
      </c>
    </row>
    <row r="648" spans="1:5">
      <c r="A648" s="68" t="s">
        <v>644</v>
      </c>
      <c r="B648" s="69"/>
      <c r="C648" s="70" t="s">
        <v>663</v>
      </c>
      <c r="D648" s="71"/>
      <c r="E648" s="73">
        <v>69251744</v>
      </c>
    </row>
    <row r="649" spans="1:5">
      <c r="A649" s="66" t="s">
        <v>644</v>
      </c>
      <c r="B649" s="42"/>
      <c r="C649" s="63" t="s">
        <v>664</v>
      </c>
      <c r="D649" s="62"/>
      <c r="E649" s="67">
        <v>65568596</v>
      </c>
    </row>
    <row r="650" spans="1:5">
      <c r="A650" s="68" t="s">
        <v>644</v>
      </c>
      <c r="B650" s="69"/>
      <c r="C650" s="70" t="s">
        <v>665</v>
      </c>
      <c r="D650" s="71"/>
      <c r="E650" s="73">
        <v>7728472</v>
      </c>
    </row>
    <row r="651" spans="1:5">
      <c r="A651" s="66" t="s">
        <v>644</v>
      </c>
      <c r="B651" s="42"/>
      <c r="C651" s="63" t="s">
        <v>666</v>
      </c>
      <c r="D651" s="62"/>
      <c r="E651" s="67">
        <v>62109878</v>
      </c>
    </row>
    <row r="652" spans="1:5">
      <c r="A652" s="68" t="s">
        <v>644</v>
      </c>
      <c r="B652" s="69"/>
      <c r="C652" s="70" t="s">
        <v>667</v>
      </c>
      <c r="D652" s="71"/>
      <c r="E652" s="73">
        <v>7772753</v>
      </c>
    </row>
    <row r="653" spans="1:5">
      <c r="A653" s="66" t="s">
        <v>644</v>
      </c>
      <c r="B653" s="42"/>
      <c r="C653" s="63" t="s">
        <v>668</v>
      </c>
      <c r="D653" s="62"/>
      <c r="E653" s="67">
        <v>66189216</v>
      </c>
    </row>
    <row r="654" spans="1:5">
      <c r="A654" s="68" t="s">
        <v>644</v>
      </c>
      <c r="B654" s="69"/>
      <c r="C654" s="70" t="s">
        <v>669</v>
      </c>
      <c r="D654" s="71"/>
      <c r="E654" s="73">
        <v>7774196</v>
      </c>
    </row>
    <row r="655" spans="1:5">
      <c r="A655" s="66" t="s">
        <v>644</v>
      </c>
      <c r="B655" s="42"/>
      <c r="C655" s="63" t="s">
        <v>670</v>
      </c>
      <c r="D655" s="62"/>
      <c r="E655" s="67">
        <v>66868125</v>
      </c>
    </row>
    <row r="656" spans="1:5">
      <c r="A656" s="68" t="s">
        <v>644</v>
      </c>
      <c r="B656" s="69"/>
      <c r="C656" s="70" t="s">
        <v>671</v>
      </c>
      <c r="D656" s="71"/>
      <c r="E656" s="73">
        <v>7757103</v>
      </c>
    </row>
    <row r="657" spans="1:5">
      <c r="A657" s="66" t="s">
        <v>644</v>
      </c>
      <c r="B657" s="42"/>
      <c r="C657" s="63" t="s">
        <v>672</v>
      </c>
      <c r="D657" s="62"/>
      <c r="E657" s="67">
        <v>64278325</v>
      </c>
    </row>
    <row r="658" spans="1:5">
      <c r="A658" s="68" t="s">
        <v>644</v>
      </c>
      <c r="B658" s="69"/>
      <c r="C658" s="70" t="s">
        <v>673</v>
      </c>
      <c r="D658" s="71"/>
      <c r="E658" s="73">
        <v>69207219</v>
      </c>
    </row>
    <row r="659" spans="1:5">
      <c r="A659" s="66" t="s">
        <v>644</v>
      </c>
      <c r="B659" s="42"/>
      <c r="C659" s="63" t="s">
        <v>674</v>
      </c>
      <c r="D659" s="62"/>
      <c r="E659" s="67">
        <v>68587095</v>
      </c>
    </row>
    <row r="660" spans="1:5">
      <c r="A660" s="68" t="s">
        <v>644</v>
      </c>
      <c r="B660" s="69"/>
      <c r="C660" s="70" t="s">
        <v>675</v>
      </c>
      <c r="D660" s="71"/>
      <c r="E660" s="73">
        <v>65318041</v>
      </c>
    </row>
    <row r="661" spans="1:5">
      <c r="A661" s="66" t="s">
        <v>644</v>
      </c>
      <c r="B661" s="42"/>
      <c r="C661" s="63" t="s">
        <v>676</v>
      </c>
      <c r="D661" s="62"/>
      <c r="E661" s="67">
        <v>7706451</v>
      </c>
    </row>
    <row r="662" spans="1:5">
      <c r="A662" s="68" t="s">
        <v>644</v>
      </c>
      <c r="B662" s="69"/>
      <c r="C662" s="70" t="s">
        <v>677</v>
      </c>
      <c r="D662" s="71"/>
      <c r="E662" s="73">
        <v>66079634</v>
      </c>
    </row>
    <row r="663" spans="1:5">
      <c r="A663" s="66" t="s">
        <v>644</v>
      </c>
      <c r="B663" s="42"/>
      <c r="C663" s="63" t="s">
        <v>678</v>
      </c>
      <c r="D663" s="62"/>
      <c r="E663" s="67">
        <v>64309206</v>
      </c>
    </row>
    <row r="664" spans="1:5">
      <c r="A664" s="68" t="s">
        <v>644</v>
      </c>
      <c r="B664" s="69"/>
      <c r="C664" s="70" t="s">
        <v>679</v>
      </c>
      <c r="D664" s="71"/>
      <c r="E664" s="73">
        <v>67149272</v>
      </c>
    </row>
    <row r="665" spans="1:5">
      <c r="A665" s="66" t="s">
        <v>644</v>
      </c>
      <c r="B665" s="42"/>
      <c r="C665" s="63" t="s">
        <v>680</v>
      </c>
      <c r="D665" s="62"/>
      <c r="E665" s="67">
        <v>62156289</v>
      </c>
    </row>
    <row r="666" spans="1:5">
      <c r="A666" s="68" t="s">
        <v>644</v>
      </c>
      <c r="B666" s="69"/>
      <c r="C666" s="70" t="s">
        <v>681</v>
      </c>
      <c r="D666" s="71"/>
      <c r="E666" s="73">
        <v>66993902</v>
      </c>
    </row>
    <row r="667" spans="1:5">
      <c r="A667" s="66" t="s">
        <v>644</v>
      </c>
      <c r="B667" s="42"/>
      <c r="C667" s="63" t="s">
        <v>682</v>
      </c>
      <c r="D667" s="62"/>
      <c r="E667" s="67">
        <v>67594151</v>
      </c>
    </row>
    <row r="668" spans="1:5">
      <c r="A668" s="68" t="s">
        <v>644</v>
      </c>
      <c r="B668" s="69"/>
      <c r="C668" s="70" t="s">
        <v>683</v>
      </c>
      <c r="D668" s="71"/>
      <c r="E668" s="73">
        <v>66768560</v>
      </c>
    </row>
    <row r="669" spans="1:5">
      <c r="A669" s="66" t="s">
        <v>644</v>
      </c>
      <c r="B669" s="42"/>
      <c r="C669" s="63" t="s">
        <v>684</v>
      </c>
      <c r="D669" s="62"/>
      <c r="E669" s="67">
        <v>65858768</v>
      </c>
    </row>
    <row r="670" spans="1:5">
      <c r="A670" s="68" t="s">
        <v>644</v>
      </c>
      <c r="B670" s="69"/>
      <c r="C670" s="70" t="s">
        <v>685</v>
      </c>
      <c r="D670" s="71"/>
      <c r="E670" s="73">
        <v>67022212</v>
      </c>
    </row>
    <row r="671" spans="1:5">
      <c r="A671" s="66" t="s">
        <v>644</v>
      </c>
      <c r="B671" s="42"/>
      <c r="C671" s="63" t="s">
        <v>686</v>
      </c>
      <c r="D671" s="62"/>
      <c r="E671" s="67">
        <v>65853494</v>
      </c>
    </row>
    <row r="672" spans="1:5">
      <c r="A672" s="68" t="s">
        <v>644</v>
      </c>
      <c r="B672" s="69"/>
      <c r="C672" s="70" t="s">
        <v>687</v>
      </c>
      <c r="D672" s="71"/>
      <c r="E672" s="73">
        <v>68185867</v>
      </c>
    </row>
    <row r="673" spans="1:5">
      <c r="A673" s="66" t="s">
        <v>644</v>
      </c>
      <c r="B673" s="42"/>
      <c r="C673" s="63" t="s">
        <v>688</v>
      </c>
      <c r="D673" s="62"/>
      <c r="E673" s="67">
        <v>7709099</v>
      </c>
    </row>
    <row r="674" spans="1:5">
      <c r="A674" s="68" t="s">
        <v>644</v>
      </c>
      <c r="B674" s="69"/>
      <c r="C674" s="70" t="s">
        <v>689</v>
      </c>
      <c r="D674" s="71"/>
      <c r="E674" s="73">
        <v>68391220</v>
      </c>
    </row>
    <row r="675" spans="1:5">
      <c r="A675" s="66" t="s">
        <v>644</v>
      </c>
      <c r="B675" s="42"/>
      <c r="C675" s="63" t="s">
        <v>690</v>
      </c>
      <c r="D675" s="62"/>
      <c r="E675" s="67">
        <v>62914422</v>
      </c>
    </row>
    <row r="676" spans="1:5">
      <c r="A676" s="68" t="s">
        <v>644</v>
      </c>
      <c r="B676" s="69"/>
      <c r="C676" s="70" t="s">
        <v>691</v>
      </c>
      <c r="D676" s="71"/>
      <c r="E676" s="73">
        <v>67976484</v>
      </c>
    </row>
    <row r="677" spans="1:5">
      <c r="A677" s="66" t="s">
        <v>644</v>
      </c>
      <c r="B677" s="42"/>
      <c r="C677" s="63" t="s">
        <v>692</v>
      </c>
      <c r="D677" s="62"/>
      <c r="E677" s="67">
        <v>65523310</v>
      </c>
    </row>
    <row r="678" spans="1:5">
      <c r="A678" s="68" t="s">
        <v>644</v>
      </c>
      <c r="B678" s="69"/>
      <c r="C678" s="70" t="s">
        <v>693</v>
      </c>
      <c r="D678" s="71"/>
      <c r="E678" s="73">
        <v>65003259</v>
      </c>
    </row>
    <row r="679" spans="1:5">
      <c r="A679" s="66" t="s">
        <v>644</v>
      </c>
      <c r="B679" s="42"/>
      <c r="C679" s="63" t="s">
        <v>694</v>
      </c>
      <c r="D679" s="62"/>
      <c r="E679" s="67">
        <v>65971971</v>
      </c>
    </row>
    <row r="680" spans="1:5">
      <c r="A680" s="68" t="s">
        <v>644</v>
      </c>
      <c r="B680" s="69"/>
      <c r="C680" s="70" t="s">
        <v>695</v>
      </c>
      <c r="D680" s="71"/>
      <c r="E680" s="73">
        <v>68297179</v>
      </c>
    </row>
    <row r="681" spans="1:5">
      <c r="A681" s="66" t="s">
        <v>644</v>
      </c>
      <c r="B681" s="42"/>
      <c r="C681" s="63" t="s">
        <v>696</v>
      </c>
      <c r="D681" s="62"/>
      <c r="E681" s="67">
        <v>65888145</v>
      </c>
    </row>
    <row r="682" spans="1:5">
      <c r="A682" s="68" t="s">
        <v>644</v>
      </c>
      <c r="B682" s="69"/>
      <c r="C682" s="70" t="s">
        <v>697</v>
      </c>
      <c r="D682" s="71"/>
      <c r="E682" s="73">
        <v>68819019</v>
      </c>
    </row>
    <row r="683" spans="1:5">
      <c r="A683" s="66" t="s">
        <v>644</v>
      </c>
      <c r="B683" s="42"/>
      <c r="C683" s="63" t="s">
        <v>698</v>
      </c>
      <c r="D683" s="62"/>
      <c r="E683" s="67">
        <v>63561737</v>
      </c>
    </row>
    <row r="684" spans="1:5">
      <c r="A684" s="68" t="s">
        <v>644</v>
      </c>
      <c r="B684" s="69"/>
      <c r="C684" s="70" t="s">
        <v>699</v>
      </c>
      <c r="D684" s="71"/>
      <c r="E684" s="73">
        <v>62276419</v>
      </c>
    </row>
    <row r="685" spans="1:5">
      <c r="A685" s="66" t="s">
        <v>644</v>
      </c>
      <c r="B685" s="42"/>
      <c r="C685" s="63" t="s">
        <v>700</v>
      </c>
      <c r="D685" s="62"/>
      <c r="E685" s="67">
        <v>67105798</v>
      </c>
    </row>
    <row r="686" spans="1:5">
      <c r="A686" s="68" t="s">
        <v>644</v>
      </c>
      <c r="B686" s="69"/>
      <c r="C686" s="70" t="s">
        <v>701</v>
      </c>
      <c r="D686" s="71"/>
      <c r="E686" s="73">
        <v>7749365</v>
      </c>
    </row>
    <row r="687" spans="1:5">
      <c r="A687" s="66" t="s">
        <v>644</v>
      </c>
      <c r="B687" s="42"/>
      <c r="C687" s="63" t="s">
        <v>702</v>
      </c>
      <c r="D687" s="62"/>
      <c r="E687" s="67">
        <v>65265942</v>
      </c>
    </row>
    <row r="688" spans="1:5">
      <c r="A688" s="68" t="s">
        <v>644</v>
      </c>
      <c r="B688" s="69"/>
      <c r="C688" s="70" t="s">
        <v>703</v>
      </c>
      <c r="D688" s="71"/>
      <c r="E688" s="73">
        <v>67893723</v>
      </c>
    </row>
    <row r="689" spans="1:5">
      <c r="A689" s="66" t="s">
        <v>644</v>
      </c>
      <c r="B689" s="42"/>
      <c r="C689" s="63" t="s">
        <v>704</v>
      </c>
      <c r="D689" s="62"/>
      <c r="E689" s="67">
        <v>65499501</v>
      </c>
    </row>
    <row r="690" spans="1:5">
      <c r="A690" s="68" t="s">
        <v>644</v>
      </c>
      <c r="B690" s="69"/>
      <c r="C690" s="70" t="s">
        <v>705</v>
      </c>
      <c r="D690" s="71"/>
      <c r="E690" s="73">
        <v>63625823</v>
      </c>
    </row>
    <row r="691" spans="1:5">
      <c r="A691" s="66" t="s">
        <v>644</v>
      </c>
      <c r="B691" s="42"/>
      <c r="C691" s="63" t="s">
        <v>706</v>
      </c>
      <c r="D691" s="62"/>
      <c r="E691" s="67">
        <v>67899728</v>
      </c>
    </row>
    <row r="692" spans="1:5">
      <c r="A692" s="68" t="s">
        <v>644</v>
      </c>
      <c r="B692" s="69"/>
      <c r="C692" s="70" t="s">
        <v>707</v>
      </c>
      <c r="D692" s="71"/>
      <c r="E692" s="73">
        <v>64302195</v>
      </c>
    </row>
    <row r="693" spans="1:5">
      <c r="A693" s="66" t="s">
        <v>644</v>
      </c>
      <c r="B693" s="42"/>
      <c r="C693" s="63" t="s">
        <v>708</v>
      </c>
      <c r="D693" s="62"/>
      <c r="E693" s="67">
        <v>62042313</v>
      </c>
    </row>
    <row r="694" spans="1:5">
      <c r="A694" s="68" t="s">
        <v>644</v>
      </c>
      <c r="B694" s="69"/>
      <c r="C694" s="70" t="s">
        <v>709</v>
      </c>
      <c r="D694" s="71"/>
      <c r="E694" s="73">
        <v>66168520</v>
      </c>
    </row>
    <row r="695" spans="1:5">
      <c r="A695" s="66" t="s">
        <v>644</v>
      </c>
      <c r="B695" s="42"/>
      <c r="C695" s="63" t="s">
        <v>710</v>
      </c>
      <c r="D695" s="62"/>
      <c r="E695" s="67">
        <v>67527955</v>
      </c>
    </row>
    <row r="696" spans="1:5">
      <c r="A696" s="68" t="s">
        <v>644</v>
      </c>
      <c r="B696" s="69"/>
      <c r="C696" s="70" t="s">
        <v>711</v>
      </c>
      <c r="D696" s="71"/>
      <c r="E696" s="73">
        <v>67331415</v>
      </c>
    </row>
    <row r="697" spans="1:5">
      <c r="A697" s="66" t="s">
        <v>644</v>
      </c>
      <c r="B697" s="42"/>
      <c r="C697" s="63" t="s">
        <v>712</v>
      </c>
      <c r="D697" s="62"/>
      <c r="E697" s="67">
        <v>68261270</v>
      </c>
    </row>
    <row r="698" spans="1:5">
      <c r="A698" s="68" t="s">
        <v>644</v>
      </c>
      <c r="B698" s="69"/>
      <c r="C698" s="70" t="s">
        <v>713</v>
      </c>
      <c r="D698" s="71"/>
      <c r="E698" s="73">
        <v>7772747</v>
      </c>
    </row>
    <row r="699" spans="1:5">
      <c r="A699" s="66" t="s">
        <v>644</v>
      </c>
      <c r="B699" s="42"/>
      <c r="C699" s="63" t="s">
        <v>714</v>
      </c>
      <c r="D699" s="62"/>
      <c r="E699" s="67">
        <v>64048790</v>
      </c>
    </row>
    <row r="700" spans="1:5">
      <c r="A700" s="68" t="s">
        <v>644</v>
      </c>
      <c r="B700" s="69"/>
      <c r="C700" s="70" t="s">
        <v>715</v>
      </c>
      <c r="D700" s="71"/>
      <c r="E700" s="73">
        <v>65013410</v>
      </c>
    </row>
    <row r="701" spans="1:5">
      <c r="A701" s="66" t="s">
        <v>644</v>
      </c>
      <c r="B701" s="42"/>
      <c r="C701" s="63" t="s">
        <v>716</v>
      </c>
      <c r="D701" s="62"/>
      <c r="E701" s="67">
        <v>65681672</v>
      </c>
    </row>
    <row r="702" spans="1:5">
      <c r="A702" s="68" t="s">
        <v>644</v>
      </c>
      <c r="B702" s="69"/>
      <c r="C702" s="70" t="s">
        <v>717</v>
      </c>
      <c r="D702" s="71"/>
      <c r="E702" s="73">
        <v>66895744</v>
      </c>
    </row>
    <row r="703" spans="1:5">
      <c r="A703" s="66" t="s">
        <v>644</v>
      </c>
      <c r="B703" s="42"/>
      <c r="C703" s="63" t="s">
        <v>718</v>
      </c>
      <c r="D703" s="62"/>
      <c r="E703" s="67">
        <v>67170442</v>
      </c>
    </row>
    <row r="704" spans="1:5">
      <c r="A704" s="68" t="s">
        <v>644</v>
      </c>
      <c r="B704" s="69"/>
      <c r="C704" s="70" t="s">
        <v>719</v>
      </c>
      <c r="D704" s="71"/>
      <c r="E704" s="73">
        <v>68584524</v>
      </c>
    </row>
    <row r="705" spans="1:5">
      <c r="A705" s="66" t="s">
        <v>644</v>
      </c>
      <c r="B705" s="42"/>
      <c r="C705" s="63" t="s">
        <v>720</v>
      </c>
      <c r="D705" s="62"/>
      <c r="E705" s="67">
        <v>7757531</v>
      </c>
    </row>
    <row r="706" spans="1:5">
      <c r="A706" s="68" t="s">
        <v>644</v>
      </c>
      <c r="B706" s="69"/>
      <c r="C706" s="70" t="s">
        <v>721</v>
      </c>
      <c r="D706" s="71"/>
      <c r="E706" s="73">
        <v>66503288</v>
      </c>
    </row>
    <row r="707" spans="1:5">
      <c r="A707" s="66" t="s">
        <v>644</v>
      </c>
      <c r="B707" s="42"/>
      <c r="C707" s="63" t="s">
        <v>722</v>
      </c>
      <c r="D707" s="62"/>
      <c r="E707" s="67">
        <v>67075332</v>
      </c>
    </row>
    <row r="708" spans="1:5">
      <c r="A708" s="68" t="s">
        <v>644</v>
      </c>
      <c r="B708" s="69"/>
      <c r="C708" s="70" t="s">
        <v>723</v>
      </c>
      <c r="D708" s="71"/>
      <c r="E708" s="73">
        <v>67069964</v>
      </c>
    </row>
    <row r="709" spans="1:5">
      <c r="A709" s="66" t="s">
        <v>644</v>
      </c>
      <c r="B709" s="42"/>
      <c r="C709" s="63" t="s">
        <v>724</v>
      </c>
      <c r="D709" s="62"/>
      <c r="E709" s="67">
        <v>67080813</v>
      </c>
    </row>
    <row r="710" spans="1:5">
      <c r="A710" s="68" t="s">
        <v>644</v>
      </c>
      <c r="B710" s="69"/>
      <c r="C710" s="70" t="s">
        <v>725</v>
      </c>
      <c r="D710" s="71"/>
      <c r="E710" s="73">
        <v>7744897</v>
      </c>
    </row>
    <row r="711" spans="1:5">
      <c r="A711" s="66" t="s">
        <v>644</v>
      </c>
      <c r="B711" s="42"/>
      <c r="C711" s="63" t="s">
        <v>726</v>
      </c>
      <c r="D711" s="62"/>
      <c r="E711" s="67">
        <v>7304720</v>
      </c>
    </row>
    <row r="712" spans="1:5">
      <c r="A712" s="68" t="s">
        <v>644</v>
      </c>
      <c r="B712" s="69"/>
      <c r="C712" s="70" t="s">
        <v>727</v>
      </c>
      <c r="D712" s="71"/>
      <c r="E712" s="73">
        <v>60048166</v>
      </c>
    </row>
    <row r="713" spans="1:5">
      <c r="A713" s="66" t="s">
        <v>644</v>
      </c>
      <c r="B713" s="42"/>
      <c r="C713" s="63" t="s">
        <v>728</v>
      </c>
      <c r="D713" s="62"/>
      <c r="E713" s="67">
        <v>66962409</v>
      </c>
    </row>
    <row r="714" spans="1:5">
      <c r="A714" s="68" t="s">
        <v>644</v>
      </c>
      <c r="B714" s="69"/>
      <c r="C714" s="70" t="s">
        <v>729</v>
      </c>
      <c r="D714" s="71"/>
      <c r="E714" s="73">
        <v>61496065</v>
      </c>
    </row>
    <row r="715" spans="1:5">
      <c r="A715" s="66" t="s">
        <v>644</v>
      </c>
      <c r="B715" s="42"/>
      <c r="C715" s="63" t="s">
        <v>730</v>
      </c>
      <c r="D715" s="62"/>
      <c r="E715" s="67">
        <v>7706033</v>
      </c>
    </row>
    <row r="716" spans="1:5">
      <c r="A716" s="68" t="s">
        <v>644</v>
      </c>
      <c r="B716" s="69"/>
      <c r="C716" s="70" t="s">
        <v>731</v>
      </c>
      <c r="D716" s="71"/>
      <c r="E716" s="73">
        <v>7774815</v>
      </c>
    </row>
    <row r="717" spans="1:5">
      <c r="A717" s="66" t="s">
        <v>644</v>
      </c>
      <c r="B717" s="42"/>
      <c r="C717" s="63" t="s">
        <v>732</v>
      </c>
      <c r="D717" s="62"/>
      <c r="E717" s="67">
        <v>67492105</v>
      </c>
    </row>
    <row r="718" spans="1:5">
      <c r="A718" s="68" t="s">
        <v>644</v>
      </c>
      <c r="B718" s="69"/>
      <c r="C718" s="70" t="s">
        <v>733</v>
      </c>
      <c r="D718" s="71"/>
      <c r="E718" s="73">
        <v>64130992</v>
      </c>
    </row>
    <row r="719" spans="1:5">
      <c r="A719" s="66" t="s">
        <v>734</v>
      </c>
      <c r="B719" s="42"/>
      <c r="C719" s="63" t="s">
        <v>735</v>
      </c>
      <c r="D719" s="62"/>
      <c r="E719" s="64">
        <v>65866883</v>
      </c>
    </row>
    <row r="720" spans="1:5">
      <c r="A720" s="68" t="s">
        <v>734</v>
      </c>
      <c r="B720" s="69"/>
      <c r="C720" s="70" t="s">
        <v>736</v>
      </c>
      <c r="D720" s="71"/>
      <c r="E720" s="72">
        <v>68692720</v>
      </c>
    </row>
    <row r="721" spans="1:5">
      <c r="A721" s="66" t="s">
        <v>734</v>
      </c>
      <c r="B721" s="42"/>
      <c r="C721" s="63" t="s">
        <v>737</v>
      </c>
      <c r="D721" s="62"/>
      <c r="E721" s="64">
        <v>68082876</v>
      </c>
    </row>
    <row r="722" spans="1:5">
      <c r="A722" s="68" t="s">
        <v>734</v>
      </c>
      <c r="B722" s="69"/>
      <c r="C722" s="70" t="s">
        <v>738</v>
      </c>
      <c r="D722" s="71"/>
      <c r="E722" s="72">
        <v>67865852</v>
      </c>
    </row>
    <row r="723" spans="1:5">
      <c r="A723" s="66" t="s">
        <v>734</v>
      </c>
      <c r="B723" s="42"/>
      <c r="C723" s="63" t="s">
        <v>739</v>
      </c>
      <c r="D723" s="62"/>
      <c r="E723" s="64">
        <v>66897433</v>
      </c>
    </row>
    <row r="724" spans="1:5">
      <c r="A724" s="68" t="s">
        <v>734</v>
      </c>
      <c r="B724" s="69"/>
      <c r="C724" s="70" t="s">
        <v>740</v>
      </c>
      <c r="D724" s="71"/>
      <c r="E724" s="72">
        <v>62463439</v>
      </c>
    </row>
    <row r="725" spans="1:5">
      <c r="A725" s="66" t="s">
        <v>734</v>
      </c>
      <c r="B725" s="42"/>
      <c r="C725" s="63" t="s">
        <v>741</v>
      </c>
      <c r="D725" s="62"/>
      <c r="E725" s="64">
        <v>66238354</v>
      </c>
    </row>
    <row r="726" spans="1:5">
      <c r="A726" s="68" t="s">
        <v>734</v>
      </c>
      <c r="B726" s="69"/>
      <c r="C726" s="70" t="s">
        <v>742</v>
      </c>
      <c r="D726" s="71"/>
      <c r="E726" s="72">
        <v>7754054</v>
      </c>
    </row>
    <row r="727" spans="1:5">
      <c r="A727" s="66" t="s">
        <v>734</v>
      </c>
      <c r="B727" s="42"/>
      <c r="C727" s="63" t="s">
        <v>743</v>
      </c>
      <c r="D727" s="62"/>
      <c r="E727" s="64">
        <v>68027038</v>
      </c>
    </row>
    <row r="728" spans="1:5">
      <c r="A728" s="68" t="s">
        <v>734</v>
      </c>
      <c r="B728" s="69"/>
      <c r="C728" s="70" t="s">
        <v>744</v>
      </c>
      <c r="D728" s="71"/>
      <c r="E728" s="72">
        <v>66263807</v>
      </c>
    </row>
    <row r="729" spans="1:5">
      <c r="A729" s="66" t="s">
        <v>734</v>
      </c>
      <c r="B729" s="42"/>
      <c r="C729" s="63" t="s">
        <v>745</v>
      </c>
      <c r="D729" s="62"/>
      <c r="E729" s="64">
        <v>66965061</v>
      </c>
    </row>
    <row r="730" spans="1:5">
      <c r="A730" s="68" t="s">
        <v>734</v>
      </c>
      <c r="B730" s="69"/>
      <c r="C730" s="70" t="s">
        <v>746</v>
      </c>
      <c r="D730" s="71"/>
      <c r="E730" s="72">
        <v>65724030</v>
      </c>
    </row>
    <row r="731" spans="1:5">
      <c r="A731" s="66" t="s">
        <v>734</v>
      </c>
      <c r="B731" s="42"/>
      <c r="C731" s="63" t="s">
        <v>747</v>
      </c>
      <c r="D731" s="62"/>
      <c r="E731" s="64">
        <v>66611938</v>
      </c>
    </row>
    <row r="732" spans="1:5">
      <c r="A732" s="68" t="s">
        <v>734</v>
      </c>
      <c r="B732" s="69"/>
      <c r="C732" s="70" t="s">
        <v>748</v>
      </c>
      <c r="D732" s="71"/>
      <c r="E732" s="72">
        <v>66455589</v>
      </c>
    </row>
    <row r="733" spans="1:5">
      <c r="A733" s="66" t="s">
        <v>734</v>
      </c>
      <c r="B733" s="42"/>
      <c r="C733" s="63" t="s">
        <v>749</v>
      </c>
      <c r="D733" s="62"/>
      <c r="E733" s="64">
        <v>7205209</v>
      </c>
    </row>
    <row r="734" spans="1:5">
      <c r="A734" s="68" t="s">
        <v>734</v>
      </c>
      <c r="B734" s="69"/>
      <c r="C734" s="70" t="s">
        <v>750</v>
      </c>
      <c r="D734" s="71"/>
      <c r="E734" s="72">
        <v>63674636</v>
      </c>
    </row>
    <row r="735" spans="1:5">
      <c r="A735" s="66" t="s">
        <v>734</v>
      </c>
      <c r="B735" s="42"/>
      <c r="C735" s="63" t="s">
        <v>751</v>
      </c>
      <c r="D735" s="62"/>
      <c r="E735" s="64">
        <v>63102637</v>
      </c>
    </row>
    <row r="736" spans="1:5">
      <c r="A736" s="68" t="s">
        <v>734</v>
      </c>
      <c r="B736" s="69"/>
      <c r="C736" s="70" t="s">
        <v>752</v>
      </c>
      <c r="D736" s="71"/>
      <c r="E736" s="72">
        <v>69906861</v>
      </c>
    </row>
    <row r="737" spans="1:5">
      <c r="A737" s="66" t="s">
        <v>734</v>
      </c>
      <c r="B737" s="42"/>
      <c r="C737" s="63" t="s">
        <v>753</v>
      </c>
      <c r="D737" s="62"/>
      <c r="E737" s="64">
        <v>68101855</v>
      </c>
    </row>
    <row r="738" spans="1:5">
      <c r="A738" s="68" t="s">
        <v>734</v>
      </c>
      <c r="B738" s="69"/>
      <c r="C738" s="70" t="s">
        <v>754</v>
      </c>
      <c r="D738" s="71"/>
      <c r="E738" s="72">
        <v>63625910</v>
      </c>
    </row>
    <row r="739" spans="1:5">
      <c r="A739" s="66" t="s">
        <v>734</v>
      </c>
      <c r="B739" s="42"/>
      <c r="C739" s="63" t="s">
        <v>755</v>
      </c>
      <c r="D739" s="62"/>
      <c r="E739" s="64">
        <v>66728469</v>
      </c>
    </row>
    <row r="740" spans="1:5">
      <c r="A740" s="68" t="s">
        <v>734</v>
      </c>
      <c r="B740" s="69"/>
      <c r="C740" s="70" t="s">
        <v>756</v>
      </c>
      <c r="D740" s="71"/>
      <c r="E740" s="72">
        <v>66979969</v>
      </c>
    </row>
    <row r="741" spans="1:5">
      <c r="A741" s="75" t="s">
        <v>734</v>
      </c>
      <c r="B741" s="42"/>
      <c r="C741" s="63" t="s">
        <v>757</v>
      </c>
      <c r="D741" s="62"/>
      <c r="E741" s="64">
        <v>7706554</v>
      </c>
    </row>
    <row r="742" spans="1:5">
      <c r="A742" s="74" t="s">
        <v>734</v>
      </c>
      <c r="B742" s="69"/>
      <c r="C742" s="70" t="s">
        <v>758</v>
      </c>
      <c r="D742" s="71"/>
      <c r="E742" s="72">
        <v>68958553</v>
      </c>
    </row>
    <row r="743" spans="1:5">
      <c r="A743" s="75" t="s">
        <v>734</v>
      </c>
      <c r="B743" s="42"/>
      <c r="C743" s="63" t="s">
        <v>759</v>
      </c>
      <c r="D743" s="62"/>
      <c r="E743" s="64">
        <v>64805150</v>
      </c>
    </row>
    <row r="744" spans="1:5">
      <c r="A744" s="74" t="s">
        <v>734</v>
      </c>
      <c r="B744" s="69"/>
      <c r="C744" s="70" t="s">
        <v>760</v>
      </c>
      <c r="D744" s="71"/>
      <c r="E744" s="72">
        <v>7757103</v>
      </c>
    </row>
    <row r="745" spans="1:5">
      <c r="A745" s="75" t="s">
        <v>734</v>
      </c>
      <c r="B745" s="42"/>
      <c r="C745" s="63" t="s">
        <v>761</v>
      </c>
      <c r="D745" s="62"/>
      <c r="E745" s="64">
        <v>62402704</v>
      </c>
    </row>
    <row r="746" spans="1:5">
      <c r="A746" s="74" t="s">
        <v>734</v>
      </c>
      <c r="B746" s="69"/>
      <c r="C746" s="70" t="s">
        <v>762</v>
      </c>
      <c r="D746" s="71"/>
      <c r="E746" s="72">
        <v>65633664</v>
      </c>
    </row>
    <row r="747" spans="1:5">
      <c r="A747" s="75" t="s">
        <v>734</v>
      </c>
      <c r="B747" s="42"/>
      <c r="C747" s="63" t="s">
        <v>763</v>
      </c>
      <c r="D747" s="62"/>
      <c r="E747" s="64">
        <v>7758914</v>
      </c>
    </row>
    <row r="748" spans="1:5">
      <c r="A748" s="74" t="s">
        <v>734</v>
      </c>
      <c r="B748" s="69"/>
      <c r="C748" s="70" t="s">
        <v>764</v>
      </c>
      <c r="D748" s="71"/>
      <c r="E748" s="72">
        <v>69865868</v>
      </c>
    </row>
    <row r="749" spans="1:5">
      <c r="A749" s="75" t="s">
        <v>734</v>
      </c>
      <c r="B749" s="42"/>
      <c r="C749" s="63" t="s">
        <v>765</v>
      </c>
      <c r="D749" s="62"/>
      <c r="E749" s="64">
        <v>65162583</v>
      </c>
    </row>
    <row r="750" spans="1:5">
      <c r="A750" s="74" t="s">
        <v>734</v>
      </c>
      <c r="B750" s="69"/>
      <c r="C750" s="70" t="s">
        <v>766</v>
      </c>
      <c r="D750" s="71"/>
      <c r="E750" s="72">
        <v>64439333</v>
      </c>
    </row>
    <row r="751" spans="1:5">
      <c r="A751" s="75" t="s">
        <v>734</v>
      </c>
      <c r="B751" s="42"/>
      <c r="C751" s="63" t="s">
        <v>767</v>
      </c>
      <c r="D751" s="62"/>
      <c r="E751" s="64">
        <v>7742387</v>
      </c>
    </row>
    <row r="752" spans="1:5">
      <c r="A752" s="74" t="s">
        <v>734</v>
      </c>
      <c r="B752" s="69"/>
      <c r="C752" s="70" t="s">
        <v>768</v>
      </c>
      <c r="D752" s="71"/>
      <c r="E752" s="72">
        <v>69760567</v>
      </c>
    </row>
    <row r="753" spans="1:5">
      <c r="A753" s="75" t="s">
        <v>734</v>
      </c>
      <c r="B753" s="42"/>
      <c r="C753" s="63" t="s">
        <v>769</v>
      </c>
      <c r="D753" s="62"/>
      <c r="E753" s="64">
        <v>66397000</v>
      </c>
    </row>
    <row r="754" spans="1:5">
      <c r="A754" s="74" t="s">
        <v>734</v>
      </c>
      <c r="B754" s="69"/>
      <c r="C754" s="70" t="s">
        <v>770</v>
      </c>
      <c r="D754" s="71"/>
      <c r="E754" s="72">
        <v>65360469</v>
      </c>
    </row>
    <row r="755" spans="1:5">
      <c r="A755" s="75" t="s">
        <v>734</v>
      </c>
      <c r="B755" s="42"/>
      <c r="C755" s="63" t="s">
        <v>771</v>
      </c>
      <c r="D755" s="62"/>
      <c r="E755" s="64">
        <v>69699846</v>
      </c>
    </row>
    <row r="756" spans="1:5">
      <c r="A756" s="74" t="s">
        <v>734</v>
      </c>
      <c r="B756" s="69"/>
      <c r="C756" s="70" t="s">
        <v>772</v>
      </c>
      <c r="D756" s="71"/>
      <c r="E756" s="72">
        <v>65847356</v>
      </c>
    </row>
    <row r="757" spans="1:5">
      <c r="A757" s="75" t="s">
        <v>734</v>
      </c>
      <c r="B757" s="42"/>
      <c r="C757" s="63" t="s">
        <v>773</v>
      </c>
      <c r="D757" s="62"/>
      <c r="E757" s="64">
        <v>65714796</v>
      </c>
    </row>
    <row r="758" spans="1:5">
      <c r="A758" s="74" t="s">
        <v>734</v>
      </c>
      <c r="B758" s="69"/>
      <c r="C758" s="70" t="s">
        <v>774</v>
      </c>
      <c r="D758" s="71"/>
      <c r="E758" s="72">
        <v>65866498</v>
      </c>
    </row>
    <row r="759" spans="1:5">
      <c r="A759" s="75" t="s">
        <v>734</v>
      </c>
      <c r="B759" s="42"/>
      <c r="C759" s="63" t="s">
        <v>775</v>
      </c>
      <c r="D759" s="62"/>
      <c r="E759" s="64">
        <v>63877762</v>
      </c>
    </row>
    <row r="760" spans="1:5">
      <c r="A760" s="74" t="s">
        <v>734</v>
      </c>
      <c r="B760" s="69"/>
      <c r="C760" s="70" t="s">
        <v>776</v>
      </c>
      <c r="D760" s="71"/>
      <c r="E760" s="72">
        <v>64605152</v>
      </c>
    </row>
    <row r="761" spans="1:5">
      <c r="A761" s="75" t="s">
        <v>734</v>
      </c>
      <c r="B761" s="42"/>
      <c r="C761" s="63" t="s">
        <v>777</v>
      </c>
      <c r="D761" s="62"/>
      <c r="E761" s="64">
        <v>64479741</v>
      </c>
    </row>
    <row r="762" spans="1:5">
      <c r="A762" s="74" t="s">
        <v>734</v>
      </c>
      <c r="B762" s="69"/>
      <c r="C762" s="70" t="s">
        <v>778</v>
      </c>
      <c r="D762" s="71"/>
      <c r="E762" s="72">
        <v>66951313</v>
      </c>
    </row>
    <row r="763" spans="1:5">
      <c r="A763" s="75" t="s">
        <v>734</v>
      </c>
      <c r="B763" s="42"/>
      <c r="C763" s="63" t="s">
        <v>779</v>
      </c>
      <c r="D763" s="62"/>
      <c r="E763" s="64">
        <v>64969871</v>
      </c>
    </row>
    <row r="764" spans="1:5">
      <c r="A764" s="74" t="s">
        <v>734</v>
      </c>
      <c r="B764" s="69"/>
      <c r="C764" s="70" t="s">
        <v>780</v>
      </c>
      <c r="D764" s="71"/>
      <c r="E764" s="72">
        <v>68449331</v>
      </c>
    </row>
    <row r="765" spans="1:5">
      <c r="A765" s="75" t="s">
        <v>734</v>
      </c>
      <c r="B765" s="42"/>
      <c r="C765" s="63" t="s">
        <v>781</v>
      </c>
      <c r="D765" s="62"/>
      <c r="E765" s="64">
        <v>65069952</v>
      </c>
    </row>
    <row r="766" spans="1:5">
      <c r="A766" s="74" t="s">
        <v>734</v>
      </c>
      <c r="B766" s="69"/>
      <c r="C766" s="70" t="s">
        <v>782</v>
      </c>
      <c r="D766" s="71"/>
      <c r="E766" s="72">
        <v>66260054</v>
      </c>
    </row>
    <row r="767" spans="1:5">
      <c r="A767" s="75" t="s">
        <v>734</v>
      </c>
      <c r="B767" s="42"/>
      <c r="C767" s="63" t="s">
        <v>783</v>
      </c>
      <c r="D767" s="62"/>
      <c r="E767" s="64">
        <v>68123202</v>
      </c>
    </row>
    <row r="768" spans="1:5">
      <c r="A768" s="74" t="s">
        <v>734</v>
      </c>
      <c r="B768" s="69"/>
      <c r="C768" s="70" t="s">
        <v>784</v>
      </c>
      <c r="D768" s="71"/>
      <c r="E768" s="72">
        <v>67495272</v>
      </c>
    </row>
    <row r="769" spans="1:5">
      <c r="A769" s="75" t="s">
        <v>734</v>
      </c>
      <c r="B769" s="42"/>
      <c r="C769" s="63" t="s">
        <v>785</v>
      </c>
      <c r="D769" s="62"/>
      <c r="E769" s="64">
        <v>7756267</v>
      </c>
    </row>
    <row r="770" spans="1:5">
      <c r="A770" s="74" t="s">
        <v>734</v>
      </c>
      <c r="B770" s="69"/>
      <c r="C770" s="70" t="s">
        <v>786</v>
      </c>
      <c r="D770" s="71"/>
      <c r="E770" s="72">
        <v>62885993</v>
      </c>
    </row>
    <row r="771" spans="1:5">
      <c r="A771" s="75" t="s">
        <v>734</v>
      </c>
      <c r="B771" s="42"/>
      <c r="C771" s="63" t="s">
        <v>787</v>
      </c>
      <c r="D771" s="62"/>
      <c r="E771" s="64">
        <v>65134274</v>
      </c>
    </row>
    <row r="772" spans="1:5">
      <c r="A772" s="74" t="s">
        <v>734</v>
      </c>
      <c r="B772" s="69"/>
      <c r="C772" s="70" t="s">
        <v>788</v>
      </c>
      <c r="D772" s="71"/>
      <c r="E772" s="72">
        <v>66672598</v>
      </c>
    </row>
    <row r="773" spans="1:5">
      <c r="A773" s="75" t="s">
        <v>734</v>
      </c>
      <c r="B773" s="42"/>
      <c r="C773" s="63" t="s">
        <v>789</v>
      </c>
      <c r="D773" s="62"/>
      <c r="E773" s="64">
        <v>66428307</v>
      </c>
    </row>
    <row r="774" spans="1:5">
      <c r="A774" s="74" t="s">
        <v>734</v>
      </c>
      <c r="B774" s="69"/>
      <c r="C774" s="70" t="s">
        <v>790</v>
      </c>
      <c r="D774" s="71"/>
      <c r="E774" s="72">
        <v>67649388</v>
      </c>
    </row>
    <row r="775" spans="1:5">
      <c r="A775" s="75" t="s">
        <v>734</v>
      </c>
      <c r="B775" s="42"/>
      <c r="C775" s="63" t="s">
        <v>791</v>
      </c>
      <c r="D775" s="62"/>
      <c r="E775" s="64">
        <v>7202809</v>
      </c>
    </row>
    <row r="776" spans="1:5">
      <c r="A776" s="74" t="s">
        <v>734</v>
      </c>
      <c r="B776" s="69"/>
      <c r="C776" s="70" t="s">
        <v>792</v>
      </c>
      <c r="D776" s="71"/>
      <c r="E776" s="72">
        <v>67235596</v>
      </c>
    </row>
    <row r="777" spans="1:5">
      <c r="A777" s="75" t="s">
        <v>734</v>
      </c>
      <c r="B777" s="42"/>
      <c r="C777" s="63" t="s">
        <v>793</v>
      </c>
      <c r="D777" s="62"/>
      <c r="E777" s="64">
        <v>62920623</v>
      </c>
    </row>
    <row r="778" spans="1:5">
      <c r="A778" s="74" t="s">
        <v>734</v>
      </c>
      <c r="B778" s="69"/>
      <c r="C778" s="70" t="s">
        <v>794</v>
      </c>
      <c r="D778" s="71"/>
      <c r="E778" s="72">
        <v>65408541</v>
      </c>
    </row>
    <row r="779" spans="1:5">
      <c r="A779" s="75" t="s">
        <v>734</v>
      </c>
      <c r="B779" s="42"/>
      <c r="C779" s="63" t="s">
        <v>795</v>
      </c>
      <c r="D779" s="62"/>
      <c r="E779" s="64">
        <v>68693968</v>
      </c>
    </row>
    <row r="780" spans="1:5">
      <c r="A780" s="74" t="s">
        <v>734</v>
      </c>
      <c r="B780" s="69"/>
      <c r="C780" s="70" t="s">
        <v>796</v>
      </c>
      <c r="D780" s="71"/>
      <c r="E780" s="72">
        <v>67160348</v>
      </c>
    </row>
    <row r="781" spans="1:5">
      <c r="A781" s="75" t="s">
        <v>734</v>
      </c>
      <c r="B781" s="42"/>
      <c r="C781" s="63" t="s">
        <v>797</v>
      </c>
      <c r="D781" s="62"/>
      <c r="E781" s="64">
        <v>68040441</v>
      </c>
    </row>
    <row r="782" spans="1:5">
      <c r="A782" s="74" t="s">
        <v>734</v>
      </c>
      <c r="B782" s="69"/>
      <c r="C782" s="70" t="s">
        <v>798</v>
      </c>
      <c r="D782" s="71"/>
      <c r="E782" s="72">
        <v>7747814</v>
      </c>
    </row>
    <row r="783" spans="1:5">
      <c r="A783" s="75" t="s">
        <v>734</v>
      </c>
      <c r="B783" s="42"/>
      <c r="C783" s="63" t="s">
        <v>799</v>
      </c>
      <c r="D783" s="62"/>
      <c r="E783" s="64">
        <v>65760382</v>
      </c>
    </row>
    <row r="784" spans="1:5">
      <c r="A784" s="74" t="s">
        <v>734</v>
      </c>
      <c r="B784" s="69"/>
      <c r="C784" s="70" t="s">
        <v>800</v>
      </c>
      <c r="D784" s="71"/>
      <c r="E784" s="72">
        <v>67990689</v>
      </c>
    </row>
    <row r="785" spans="1:5">
      <c r="A785" s="75" t="s">
        <v>734</v>
      </c>
      <c r="B785" s="42"/>
      <c r="C785" s="63" t="s">
        <v>801</v>
      </c>
      <c r="D785" s="62"/>
      <c r="E785" s="64">
        <v>64029765</v>
      </c>
    </row>
    <row r="786" spans="1:5">
      <c r="A786" s="74" t="s">
        <v>734</v>
      </c>
      <c r="B786" s="69"/>
      <c r="C786" s="70" t="s">
        <v>802</v>
      </c>
      <c r="D786" s="71"/>
      <c r="E786" s="72">
        <v>64606088</v>
      </c>
    </row>
    <row r="787" spans="1:5">
      <c r="A787" s="75" t="s">
        <v>734</v>
      </c>
      <c r="B787" s="42"/>
      <c r="C787" s="63" t="s">
        <v>803</v>
      </c>
      <c r="D787" s="62"/>
      <c r="E787" s="64">
        <v>63556716</v>
      </c>
    </row>
    <row r="788" spans="1:5">
      <c r="A788" s="74" t="s">
        <v>734</v>
      </c>
      <c r="B788" s="69"/>
      <c r="C788" s="70" t="s">
        <v>804</v>
      </c>
      <c r="D788" s="71"/>
      <c r="E788" s="72">
        <v>62501399</v>
      </c>
    </row>
    <row r="789" spans="1:5">
      <c r="A789" s="75" t="s">
        <v>734</v>
      </c>
      <c r="B789" s="42"/>
      <c r="C789" s="63" t="s">
        <v>805</v>
      </c>
      <c r="D789" s="62"/>
      <c r="E789" s="64">
        <v>65246556</v>
      </c>
    </row>
    <row r="790" spans="1:5">
      <c r="A790" s="74" t="s">
        <v>734</v>
      </c>
      <c r="B790" s="69"/>
      <c r="C790" s="70" t="s">
        <v>806</v>
      </c>
      <c r="D790" s="71"/>
      <c r="E790" s="72">
        <v>68333561</v>
      </c>
    </row>
    <row r="791" spans="1:5">
      <c r="A791" s="75" t="s">
        <v>734</v>
      </c>
      <c r="B791" s="42"/>
      <c r="C791" s="63" t="s">
        <v>807</v>
      </c>
      <c r="D791" s="62"/>
      <c r="E791" s="64">
        <v>69325449</v>
      </c>
    </row>
    <row r="792" spans="1:5">
      <c r="A792" s="74" t="s">
        <v>734</v>
      </c>
      <c r="B792" s="69"/>
      <c r="C792" s="70" t="s">
        <v>808</v>
      </c>
      <c r="D792" s="71"/>
      <c r="E792" s="72">
        <v>63896465</v>
      </c>
    </row>
    <row r="793" spans="1:5">
      <c r="A793" s="75" t="s">
        <v>734</v>
      </c>
      <c r="B793" s="42"/>
      <c r="C793" s="63" t="s">
        <v>809</v>
      </c>
      <c r="D793" s="62"/>
      <c r="E793" s="64">
        <v>67957974</v>
      </c>
    </row>
    <row r="794" spans="1:5">
      <c r="A794" s="74" t="s">
        <v>734</v>
      </c>
      <c r="B794" s="69"/>
      <c r="C794" s="70" t="s">
        <v>810</v>
      </c>
      <c r="D794" s="71"/>
      <c r="E794" s="72">
        <v>66174579</v>
      </c>
    </row>
    <row r="795" spans="1:5">
      <c r="A795" s="75" t="s">
        <v>734</v>
      </c>
      <c r="B795" s="42"/>
      <c r="C795" s="63" t="s">
        <v>811</v>
      </c>
      <c r="D795" s="62"/>
      <c r="E795" s="64">
        <v>66967478</v>
      </c>
    </row>
    <row r="796" spans="1:5">
      <c r="A796" s="74" t="s">
        <v>734</v>
      </c>
      <c r="B796" s="69"/>
      <c r="C796" s="70" t="s">
        <v>812</v>
      </c>
      <c r="D796" s="71"/>
      <c r="E796" s="72">
        <v>64107569</v>
      </c>
    </row>
    <row r="797" spans="1:5">
      <c r="A797" s="75" t="s">
        <v>734</v>
      </c>
      <c r="B797" s="42"/>
      <c r="C797" s="63" t="s">
        <v>813</v>
      </c>
      <c r="D797" s="62"/>
      <c r="E797" s="64">
        <v>7763248</v>
      </c>
    </row>
    <row r="798" spans="1:5">
      <c r="A798" s="74" t="s">
        <v>734</v>
      </c>
      <c r="B798" s="69"/>
      <c r="C798" s="70" t="s">
        <v>814</v>
      </c>
      <c r="D798" s="71"/>
      <c r="E798" s="72">
        <v>62920282</v>
      </c>
    </row>
    <row r="799" spans="1:5">
      <c r="A799" s="75" t="s">
        <v>734</v>
      </c>
      <c r="B799" s="42"/>
      <c r="C799" s="63" t="s">
        <v>815</v>
      </c>
      <c r="D799" s="62"/>
      <c r="E799" s="64">
        <v>66042276</v>
      </c>
    </row>
    <row r="800" spans="1:5">
      <c r="A800" s="74" t="s">
        <v>734</v>
      </c>
      <c r="B800" s="69"/>
      <c r="C800" s="70" t="s">
        <v>816</v>
      </c>
      <c r="D800" s="71"/>
      <c r="E800" s="72">
        <v>63517015</v>
      </c>
    </row>
    <row r="801" spans="1:5">
      <c r="A801" s="75" t="s">
        <v>734</v>
      </c>
      <c r="B801" s="42"/>
      <c r="C801" s="63" t="s">
        <v>817</v>
      </c>
      <c r="D801" s="62"/>
      <c r="E801" s="64">
        <v>62675879</v>
      </c>
    </row>
    <row r="802" spans="1:5">
      <c r="A802" s="74" t="s">
        <v>734</v>
      </c>
      <c r="B802" s="69"/>
      <c r="C802" s="70" t="s">
        <v>818</v>
      </c>
      <c r="D802" s="71"/>
      <c r="E802" s="72">
        <v>63927716</v>
      </c>
    </row>
    <row r="803" spans="1:5">
      <c r="A803" s="75" t="s">
        <v>734</v>
      </c>
      <c r="B803" s="42"/>
      <c r="C803" s="63" t="s">
        <v>819</v>
      </c>
      <c r="D803" s="62"/>
      <c r="E803" s="64">
        <v>64600496</v>
      </c>
    </row>
    <row r="804" spans="1:5">
      <c r="A804" s="74" t="s">
        <v>734</v>
      </c>
      <c r="B804" s="69"/>
      <c r="C804" s="70" t="s">
        <v>820</v>
      </c>
      <c r="D804" s="71"/>
      <c r="E804" s="72">
        <v>64529679</v>
      </c>
    </row>
    <row r="805" spans="1:5">
      <c r="A805" s="75" t="s">
        <v>734</v>
      </c>
      <c r="B805" s="42"/>
      <c r="C805" s="63" t="s">
        <v>821</v>
      </c>
      <c r="D805" s="62"/>
      <c r="E805" s="64">
        <v>66624059</v>
      </c>
    </row>
    <row r="806" spans="1:5">
      <c r="A806" s="74" t="s">
        <v>734</v>
      </c>
      <c r="B806" s="69"/>
      <c r="C806" s="70" t="s">
        <v>822</v>
      </c>
      <c r="D806" s="71"/>
      <c r="E806" s="72">
        <v>69009741</v>
      </c>
    </row>
    <row r="807" spans="1:5">
      <c r="A807" s="75" t="s">
        <v>734</v>
      </c>
      <c r="B807" s="42"/>
      <c r="C807" s="63" t="s">
        <v>823</v>
      </c>
      <c r="D807" s="62"/>
      <c r="E807" s="64">
        <v>68229116</v>
      </c>
    </row>
    <row r="808" spans="1:5">
      <c r="A808" s="74" t="s">
        <v>734</v>
      </c>
      <c r="B808" s="69"/>
      <c r="C808" s="70" t="s">
        <v>824</v>
      </c>
      <c r="D808" s="71"/>
      <c r="E808" s="72">
        <v>68617488</v>
      </c>
    </row>
    <row r="809" spans="1:5">
      <c r="A809" s="75" t="s">
        <v>734</v>
      </c>
      <c r="B809" s="42"/>
      <c r="C809" s="63" t="s">
        <v>825</v>
      </c>
      <c r="D809" s="62"/>
      <c r="E809" s="64">
        <v>64389047</v>
      </c>
    </row>
    <row r="810" spans="1:5">
      <c r="A810" s="74" t="s">
        <v>734</v>
      </c>
      <c r="B810" s="69"/>
      <c r="C810" s="70" t="s">
        <v>826</v>
      </c>
      <c r="D810" s="71"/>
      <c r="E810" s="72">
        <v>7746657</v>
      </c>
    </row>
    <row r="811" spans="1:5">
      <c r="A811" s="75" t="s">
        <v>734</v>
      </c>
      <c r="B811" s="42"/>
      <c r="C811" s="63" t="s">
        <v>827</v>
      </c>
      <c r="D811" s="62"/>
      <c r="E811" s="64">
        <v>63872044</v>
      </c>
    </row>
    <row r="812" spans="1:5">
      <c r="A812" s="74" t="s">
        <v>734</v>
      </c>
      <c r="B812" s="69"/>
      <c r="C812" s="70" t="s">
        <v>828</v>
      </c>
      <c r="D812" s="71"/>
      <c r="E812" s="72">
        <v>66895925</v>
      </c>
    </row>
    <row r="813" spans="1:5">
      <c r="A813" s="75" t="s">
        <v>734</v>
      </c>
      <c r="B813" s="42"/>
      <c r="C813" s="63" t="s">
        <v>829</v>
      </c>
      <c r="D813" s="62"/>
      <c r="E813" s="64">
        <v>66911463</v>
      </c>
    </row>
    <row r="814" spans="1:5">
      <c r="A814" s="74" t="s">
        <v>734</v>
      </c>
      <c r="B814" s="69"/>
      <c r="C814" s="70" t="s">
        <v>830</v>
      </c>
      <c r="D814" s="71"/>
      <c r="E814" s="72">
        <v>68729344</v>
      </c>
    </row>
    <row r="815" spans="1:5">
      <c r="A815" s="75" t="s">
        <v>734</v>
      </c>
      <c r="B815" s="42"/>
      <c r="C815" s="63" t="s">
        <v>831</v>
      </c>
      <c r="D815" s="62"/>
      <c r="E815" s="64">
        <v>64413804</v>
      </c>
    </row>
    <row r="816" spans="1:5">
      <c r="A816" s="74" t="s">
        <v>734</v>
      </c>
      <c r="B816" s="69"/>
      <c r="C816" s="70" t="s">
        <v>832</v>
      </c>
      <c r="D816" s="71"/>
      <c r="E816" s="72">
        <v>68998723</v>
      </c>
    </row>
    <row r="817" spans="1:5">
      <c r="A817" s="75" t="s">
        <v>734</v>
      </c>
      <c r="B817" s="42"/>
      <c r="C817" s="63" t="s">
        <v>833</v>
      </c>
      <c r="D817" s="62"/>
      <c r="E817" s="64">
        <v>68454828</v>
      </c>
    </row>
    <row r="818" spans="1:5">
      <c r="A818" s="74" t="s">
        <v>734</v>
      </c>
      <c r="B818" s="69"/>
      <c r="C818" s="70" t="s">
        <v>834</v>
      </c>
      <c r="D818" s="71"/>
      <c r="E818" s="72">
        <v>68154468</v>
      </c>
    </row>
    <row r="819" spans="1:5">
      <c r="A819" s="75" t="s">
        <v>734</v>
      </c>
      <c r="B819" s="42"/>
      <c r="C819" s="63" t="s">
        <v>835</v>
      </c>
      <c r="D819" s="62"/>
      <c r="E819" s="64">
        <v>66975591</v>
      </c>
    </row>
    <row r="820" spans="1:5">
      <c r="A820" s="74" t="s">
        <v>734</v>
      </c>
      <c r="B820" s="69"/>
      <c r="C820" s="70" t="s">
        <v>836</v>
      </c>
      <c r="D820" s="71"/>
      <c r="E820" s="72">
        <v>64760126</v>
      </c>
    </row>
    <row r="821" spans="1:5">
      <c r="A821" s="75" t="s">
        <v>734</v>
      </c>
      <c r="B821" s="42"/>
      <c r="C821" s="63" t="s">
        <v>837</v>
      </c>
      <c r="D821" s="62"/>
      <c r="E821" s="64">
        <v>66577908</v>
      </c>
    </row>
    <row r="822" spans="1:5">
      <c r="A822" s="74" t="s">
        <v>734</v>
      </c>
      <c r="B822" s="69"/>
      <c r="C822" s="70" t="s">
        <v>838</v>
      </c>
      <c r="D822" s="71"/>
      <c r="E822" s="72">
        <v>7773571</v>
      </c>
    </row>
    <row r="823" spans="1:5">
      <c r="A823" s="75" t="s">
        <v>734</v>
      </c>
      <c r="B823" s="42"/>
      <c r="C823" s="63" t="s">
        <v>839</v>
      </c>
      <c r="D823" s="62"/>
      <c r="E823" s="64">
        <v>67168725</v>
      </c>
    </row>
    <row r="824" spans="1:5">
      <c r="A824" s="74" t="s">
        <v>734</v>
      </c>
      <c r="B824" s="69"/>
      <c r="C824" s="70" t="s">
        <v>840</v>
      </c>
      <c r="D824" s="71"/>
      <c r="E824" s="72">
        <v>63936894</v>
      </c>
    </row>
    <row r="825" spans="1:5">
      <c r="A825" s="75" t="s">
        <v>734</v>
      </c>
      <c r="B825" s="42"/>
      <c r="C825" s="63" t="s">
        <v>841</v>
      </c>
      <c r="D825" s="62"/>
      <c r="E825" s="64">
        <v>65884903</v>
      </c>
    </row>
    <row r="826" spans="1:5">
      <c r="A826" s="74" t="s">
        <v>734</v>
      </c>
      <c r="B826" s="69"/>
      <c r="C826" s="70" t="s">
        <v>842</v>
      </c>
      <c r="D826" s="71"/>
      <c r="E826" s="72">
        <v>67028652</v>
      </c>
    </row>
    <row r="827" spans="1:5">
      <c r="A827" s="75" t="s">
        <v>734</v>
      </c>
      <c r="B827" s="42"/>
      <c r="C827" s="63" t="s">
        <v>843</v>
      </c>
      <c r="D827" s="62"/>
      <c r="E827" s="64">
        <v>62139301</v>
      </c>
    </row>
    <row r="828" spans="1:5">
      <c r="A828" s="74" t="s">
        <v>734</v>
      </c>
      <c r="B828" s="69"/>
      <c r="C828" s="70" t="s">
        <v>844</v>
      </c>
      <c r="D828" s="71"/>
      <c r="E828" s="72">
        <v>68941396</v>
      </c>
    </row>
    <row r="829" spans="1:5">
      <c r="A829" s="75" t="s">
        <v>734</v>
      </c>
      <c r="B829" s="42"/>
      <c r="C829" s="63" t="s">
        <v>845</v>
      </c>
      <c r="D829" s="62"/>
      <c r="E829" s="64">
        <v>65259149</v>
      </c>
    </row>
    <row r="830" spans="1:5">
      <c r="A830" s="74" t="s">
        <v>734</v>
      </c>
      <c r="B830" s="69"/>
      <c r="C830" s="70" t="s">
        <v>846</v>
      </c>
      <c r="D830" s="71"/>
      <c r="E830" s="72">
        <v>62186977</v>
      </c>
    </row>
    <row r="831" spans="1:5">
      <c r="A831" s="75" t="s">
        <v>734</v>
      </c>
      <c r="B831" s="42"/>
      <c r="C831" s="63" t="s">
        <v>847</v>
      </c>
      <c r="D831" s="62"/>
      <c r="E831" s="64">
        <v>68150215</v>
      </c>
    </row>
    <row r="832" spans="1:5">
      <c r="A832" s="74" t="s">
        <v>734</v>
      </c>
      <c r="B832" s="69"/>
      <c r="C832" s="70" t="s">
        <v>848</v>
      </c>
      <c r="D832" s="71"/>
      <c r="E832" s="72">
        <v>69223667</v>
      </c>
    </row>
    <row r="833" spans="1:5">
      <c r="A833" s="75" t="s">
        <v>734</v>
      </c>
      <c r="B833" s="42"/>
      <c r="C833" s="63" t="s">
        <v>849</v>
      </c>
      <c r="D833" s="62"/>
      <c r="E833" s="64">
        <v>7702517</v>
      </c>
    </row>
    <row r="834" spans="1:5">
      <c r="A834" s="74" t="s">
        <v>734</v>
      </c>
      <c r="B834" s="69"/>
      <c r="C834" s="70" t="s">
        <v>850</v>
      </c>
      <c r="D834" s="71"/>
      <c r="E834" s="72">
        <v>66234475</v>
      </c>
    </row>
    <row r="835" spans="1:5">
      <c r="A835" s="75" t="s">
        <v>734</v>
      </c>
      <c r="B835" s="42"/>
      <c r="C835" s="63" t="s">
        <v>851</v>
      </c>
      <c r="D835" s="62"/>
      <c r="E835" s="64">
        <v>64407983</v>
      </c>
    </row>
    <row r="836" spans="1:5">
      <c r="A836" s="74" t="s">
        <v>734</v>
      </c>
      <c r="B836" s="69"/>
      <c r="C836" s="70" t="s">
        <v>852</v>
      </c>
      <c r="D836" s="71"/>
      <c r="E836" s="72">
        <v>65606418</v>
      </c>
    </row>
    <row r="837" spans="1:5">
      <c r="A837" s="75" t="s">
        <v>734</v>
      </c>
      <c r="B837" s="42"/>
      <c r="C837" s="63" t="s">
        <v>853</v>
      </c>
      <c r="D837" s="62"/>
      <c r="E837" s="64">
        <v>66699196</v>
      </c>
    </row>
    <row r="838" spans="1:5">
      <c r="A838" s="74" t="s">
        <v>734</v>
      </c>
      <c r="B838" s="69"/>
      <c r="C838" s="70" t="s">
        <v>854</v>
      </c>
      <c r="D838" s="71"/>
      <c r="E838" s="72">
        <v>63725473</v>
      </c>
    </row>
    <row r="839" spans="1:5">
      <c r="A839" s="75" t="s">
        <v>734</v>
      </c>
      <c r="B839" s="42"/>
      <c r="C839" s="63" t="s">
        <v>855</v>
      </c>
      <c r="D839" s="62"/>
      <c r="E839" s="64">
        <v>69829726</v>
      </c>
    </row>
    <row r="840" spans="1:5">
      <c r="A840" s="74" t="s">
        <v>734</v>
      </c>
      <c r="B840" s="69"/>
      <c r="C840" s="70" t="s">
        <v>856</v>
      </c>
      <c r="D840" s="71"/>
      <c r="E840" s="72">
        <v>65751962</v>
      </c>
    </row>
    <row r="841" spans="1:5">
      <c r="A841" s="75" t="s">
        <v>734</v>
      </c>
      <c r="B841" s="42"/>
      <c r="C841" s="63" t="s">
        <v>857</v>
      </c>
      <c r="D841" s="62"/>
      <c r="E841" s="64">
        <v>66671709</v>
      </c>
    </row>
    <row r="842" spans="1:5">
      <c r="A842" s="74" t="s">
        <v>734</v>
      </c>
      <c r="B842" s="69"/>
      <c r="C842" s="70" t="s">
        <v>858</v>
      </c>
      <c r="D842" s="71"/>
      <c r="E842" s="72">
        <v>65502011</v>
      </c>
    </row>
    <row r="843" spans="1:5">
      <c r="A843" s="75" t="s">
        <v>734</v>
      </c>
      <c r="B843" s="42"/>
      <c r="C843" s="63" t="s">
        <v>859</v>
      </c>
      <c r="D843" s="62"/>
      <c r="E843" s="64">
        <v>64885905</v>
      </c>
    </row>
    <row r="844" spans="1:5">
      <c r="A844" s="74" t="s">
        <v>734</v>
      </c>
      <c r="B844" s="69"/>
      <c r="C844" s="70" t="s">
        <v>860</v>
      </c>
      <c r="D844" s="71"/>
      <c r="E844" s="72">
        <v>62965907</v>
      </c>
    </row>
    <row r="845" spans="1:5">
      <c r="A845" s="75" t="s">
        <v>734</v>
      </c>
      <c r="B845" s="42"/>
      <c r="C845" s="63" t="s">
        <v>861</v>
      </c>
      <c r="D845" s="62"/>
      <c r="E845" s="64">
        <v>64703351</v>
      </c>
    </row>
    <row r="846" spans="1:5">
      <c r="A846" s="74" t="s">
        <v>734</v>
      </c>
      <c r="B846" s="69"/>
      <c r="C846" s="70" t="s">
        <v>862</v>
      </c>
      <c r="D846" s="71"/>
      <c r="E846" s="72">
        <v>65095972</v>
      </c>
    </row>
    <row r="847" spans="1:5">
      <c r="A847" s="75" t="s">
        <v>734</v>
      </c>
      <c r="B847" s="42"/>
      <c r="C847" s="63" t="s">
        <v>863</v>
      </c>
      <c r="D847" s="62"/>
      <c r="E847" s="64">
        <v>64462328</v>
      </c>
    </row>
    <row r="848" spans="1:5">
      <c r="A848" s="74" t="s">
        <v>734</v>
      </c>
      <c r="B848" s="69"/>
      <c r="C848" s="70" t="s">
        <v>864</v>
      </c>
      <c r="D848" s="71"/>
      <c r="E848" s="72">
        <v>63456761</v>
      </c>
    </row>
    <row r="849" spans="1:5">
      <c r="A849" s="75" t="s">
        <v>734</v>
      </c>
      <c r="B849" s="42"/>
      <c r="C849" s="63" t="s">
        <v>865</v>
      </c>
      <c r="D849" s="62"/>
      <c r="E849" s="64">
        <v>61690017</v>
      </c>
    </row>
    <row r="850" spans="1:5">
      <c r="A850" s="74" t="s">
        <v>734</v>
      </c>
      <c r="B850" s="69"/>
      <c r="C850" s="70" t="s">
        <v>866</v>
      </c>
      <c r="D850" s="71"/>
      <c r="E850" s="72">
        <v>7308476</v>
      </c>
    </row>
    <row r="851" spans="1:5">
      <c r="A851" s="75" t="s">
        <v>734</v>
      </c>
      <c r="B851" s="42"/>
      <c r="C851" s="63" t="s">
        <v>867</v>
      </c>
      <c r="D851" s="62"/>
      <c r="E851" s="64">
        <v>64481817</v>
      </c>
    </row>
    <row r="852" spans="1:5">
      <c r="A852" s="74" t="s">
        <v>734</v>
      </c>
      <c r="B852" s="69"/>
      <c r="C852" s="70" t="s">
        <v>868</v>
      </c>
      <c r="D852" s="71"/>
      <c r="E852" s="72">
        <v>69244689</v>
      </c>
    </row>
    <row r="853" spans="1:5">
      <c r="A853" s="75" t="s">
        <v>734</v>
      </c>
      <c r="B853" s="42"/>
      <c r="C853" s="63" t="s">
        <v>869</v>
      </c>
      <c r="D853" s="62"/>
      <c r="E853" s="64">
        <v>62050629</v>
      </c>
    </row>
    <row r="854" spans="1:5">
      <c r="A854" s="74" t="s">
        <v>734</v>
      </c>
      <c r="B854" s="69"/>
      <c r="C854" s="70" t="s">
        <v>870</v>
      </c>
      <c r="D854" s="71"/>
      <c r="E854" s="72">
        <v>69159522</v>
      </c>
    </row>
    <row r="855" spans="1:5">
      <c r="A855" s="75" t="s">
        <v>734</v>
      </c>
      <c r="B855" s="42"/>
      <c r="C855" s="63" t="s">
        <v>871</v>
      </c>
      <c r="D855" s="62"/>
      <c r="E855" s="64">
        <v>66396762</v>
      </c>
    </row>
    <row r="856" spans="1:5">
      <c r="A856" s="74" t="s">
        <v>734</v>
      </c>
      <c r="B856" s="69"/>
      <c r="C856" s="70" t="s">
        <v>872</v>
      </c>
      <c r="D856" s="71"/>
      <c r="E856" s="72">
        <v>69389333</v>
      </c>
    </row>
    <row r="857" spans="1:5">
      <c r="A857" s="75" t="s">
        <v>734</v>
      </c>
      <c r="B857" s="42"/>
      <c r="C857" s="63" t="s">
        <v>873</v>
      </c>
      <c r="D857" s="62"/>
      <c r="E857" s="64">
        <v>66312231</v>
      </c>
    </row>
    <row r="858" spans="1:5">
      <c r="A858" s="74" t="s">
        <v>734</v>
      </c>
      <c r="B858" s="69"/>
      <c r="C858" s="70" t="s">
        <v>874</v>
      </c>
      <c r="D858" s="71"/>
      <c r="E858" s="72">
        <v>69141369</v>
      </c>
    </row>
    <row r="859" spans="1:5">
      <c r="A859" s="75" t="s">
        <v>734</v>
      </c>
      <c r="B859" s="42"/>
      <c r="C859" s="63" t="s">
        <v>875</v>
      </c>
      <c r="D859" s="62"/>
      <c r="E859" s="64">
        <v>68884115</v>
      </c>
    </row>
    <row r="860" spans="1:5">
      <c r="A860" s="74" t="s">
        <v>734</v>
      </c>
      <c r="B860" s="69"/>
      <c r="C860" s="70" t="s">
        <v>876</v>
      </c>
      <c r="D860" s="71"/>
      <c r="E860" s="72">
        <v>63218639</v>
      </c>
    </row>
    <row r="861" spans="1:5">
      <c r="A861" s="75" t="s">
        <v>734</v>
      </c>
      <c r="B861" s="42"/>
      <c r="C861" s="63" t="s">
        <v>877</v>
      </c>
      <c r="D861" s="62"/>
      <c r="E861" s="64">
        <v>64418122</v>
      </c>
    </row>
    <row r="862" spans="1:5">
      <c r="A862" s="74" t="s">
        <v>734</v>
      </c>
      <c r="B862" s="69"/>
      <c r="C862" s="70" t="s">
        <v>878</v>
      </c>
      <c r="D862" s="71"/>
      <c r="E862" s="72">
        <v>63498782</v>
      </c>
    </row>
    <row r="863" spans="1:5">
      <c r="A863" s="75" t="s">
        <v>734</v>
      </c>
      <c r="B863" s="42"/>
      <c r="C863" s="63" t="s">
        <v>879</v>
      </c>
      <c r="D863" s="62"/>
      <c r="E863" s="64">
        <v>64100771</v>
      </c>
    </row>
    <row r="864" spans="1:5">
      <c r="A864" s="74" t="s">
        <v>734</v>
      </c>
      <c r="B864" s="69"/>
      <c r="C864" s="70" t="s">
        <v>880</v>
      </c>
      <c r="D864" s="71"/>
      <c r="E864" s="72">
        <v>65423146</v>
      </c>
    </row>
    <row r="865" spans="1:5">
      <c r="A865" s="75" t="s">
        <v>734</v>
      </c>
      <c r="B865" s="42"/>
      <c r="C865" s="63" t="s">
        <v>881</v>
      </c>
      <c r="D865" s="62"/>
      <c r="E865" s="64">
        <v>66213398</v>
      </c>
    </row>
    <row r="866" spans="1:5">
      <c r="A866" s="74" t="s">
        <v>734</v>
      </c>
      <c r="B866" s="69"/>
      <c r="C866" s="70" t="s">
        <v>882</v>
      </c>
      <c r="D866" s="71"/>
      <c r="E866" s="72">
        <v>63343813</v>
      </c>
    </row>
    <row r="867" spans="1:5">
      <c r="A867" s="75" t="s">
        <v>734</v>
      </c>
      <c r="B867" s="42"/>
      <c r="C867" s="63" t="s">
        <v>883</v>
      </c>
      <c r="D867" s="62"/>
      <c r="E867" s="64">
        <v>66392999</v>
      </c>
    </row>
    <row r="868" spans="1:5">
      <c r="A868" s="74" t="s">
        <v>734</v>
      </c>
      <c r="B868" s="69"/>
      <c r="C868" s="70" t="s">
        <v>884</v>
      </c>
      <c r="D868" s="71"/>
      <c r="E868" s="72">
        <v>64283378</v>
      </c>
    </row>
    <row r="869" spans="1:5">
      <c r="A869" s="75" t="s">
        <v>734</v>
      </c>
      <c r="B869" s="42"/>
      <c r="C869" s="63" t="s">
        <v>885</v>
      </c>
      <c r="D869" s="62"/>
      <c r="E869" s="64">
        <v>65226128</v>
      </c>
    </row>
    <row r="870" spans="1:5">
      <c r="A870" s="74" t="s">
        <v>734</v>
      </c>
      <c r="B870" s="69"/>
      <c r="C870" s="70" t="s">
        <v>886</v>
      </c>
      <c r="D870" s="71"/>
      <c r="E870" s="72">
        <v>67265664</v>
      </c>
    </row>
    <row r="871" spans="1:5">
      <c r="A871" s="75" t="s">
        <v>734</v>
      </c>
      <c r="B871" s="42"/>
      <c r="C871" s="63" t="s">
        <v>887</v>
      </c>
      <c r="D871" s="62"/>
      <c r="E871" s="64">
        <v>63947178</v>
      </c>
    </row>
    <row r="872" spans="1:5">
      <c r="A872" s="74" t="s">
        <v>734</v>
      </c>
      <c r="B872" s="69"/>
      <c r="C872" s="70" t="s">
        <v>888</v>
      </c>
      <c r="D872" s="71"/>
      <c r="E872" s="72">
        <v>63731581</v>
      </c>
    </row>
    <row r="873" spans="1:5">
      <c r="A873" s="75" t="s">
        <v>734</v>
      </c>
      <c r="B873" s="42"/>
      <c r="C873" s="63" t="s">
        <v>889</v>
      </c>
      <c r="D873" s="62"/>
      <c r="E873" s="64">
        <v>66940303</v>
      </c>
    </row>
    <row r="874" spans="1:5">
      <c r="A874" s="74" t="s">
        <v>734</v>
      </c>
      <c r="B874" s="69"/>
      <c r="C874" s="70" t="s">
        <v>890</v>
      </c>
      <c r="D874" s="71"/>
      <c r="E874" s="72">
        <v>64548980</v>
      </c>
    </row>
    <row r="875" spans="1:5">
      <c r="A875" s="75" t="s">
        <v>734</v>
      </c>
      <c r="B875" s="42"/>
      <c r="C875" s="63" t="s">
        <v>891</v>
      </c>
      <c r="D875" s="62"/>
      <c r="E875" s="64">
        <v>63093616</v>
      </c>
    </row>
    <row r="876" spans="1:5">
      <c r="A876" s="74" t="s">
        <v>734</v>
      </c>
      <c r="B876" s="69"/>
      <c r="C876" s="70" t="s">
        <v>892</v>
      </c>
      <c r="D876" s="71"/>
      <c r="E876" s="72">
        <v>66500405</v>
      </c>
    </row>
    <row r="877" spans="1:5">
      <c r="A877" s="75" t="s">
        <v>734</v>
      </c>
      <c r="B877" s="42"/>
      <c r="C877" s="63" t="s">
        <v>893</v>
      </c>
      <c r="D877" s="62"/>
      <c r="E877" s="64">
        <v>64654133</v>
      </c>
    </row>
    <row r="878" spans="1:5">
      <c r="A878" s="74" t="s">
        <v>734</v>
      </c>
      <c r="B878" s="69"/>
      <c r="C878" s="70" t="s">
        <v>894</v>
      </c>
      <c r="D878" s="71"/>
      <c r="E878" s="72">
        <v>68984613</v>
      </c>
    </row>
    <row r="879" spans="1:5">
      <c r="A879" s="75" t="s">
        <v>734</v>
      </c>
      <c r="B879" s="42"/>
      <c r="C879" s="63" t="s">
        <v>895</v>
      </c>
      <c r="D879" s="62"/>
      <c r="E879" s="64">
        <v>61117842</v>
      </c>
    </row>
    <row r="880" spans="1:5">
      <c r="A880" s="74" t="s">
        <v>734</v>
      </c>
      <c r="B880" s="69"/>
      <c r="C880" s="70" t="s">
        <v>896</v>
      </c>
      <c r="D880" s="71"/>
      <c r="E880" s="72">
        <v>63962278</v>
      </c>
    </row>
    <row r="881" spans="1:5">
      <c r="A881" s="75" t="s">
        <v>734</v>
      </c>
      <c r="B881" s="42"/>
      <c r="C881" s="63" t="s">
        <v>897</v>
      </c>
      <c r="D881" s="62"/>
      <c r="E881" s="64">
        <v>69661698</v>
      </c>
    </row>
    <row r="882" spans="1:5">
      <c r="A882" s="74" t="s">
        <v>734</v>
      </c>
      <c r="B882" s="69"/>
      <c r="C882" s="70" t="s">
        <v>898</v>
      </c>
      <c r="D882" s="71"/>
      <c r="E882" s="72">
        <v>62931139</v>
      </c>
    </row>
    <row r="883" spans="1:5">
      <c r="A883" s="75" t="s">
        <v>734</v>
      </c>
      <c r="B883" s="42"/>
      <c r="C883" s="63" t="s">
        <v>899</v>
      </c>
      <c r="D883" s="62"/>
      <c r="E883" s="64">
        <v>62704242</v>
      </c>
    </row>
    <row r="884" spans="1:5">
      <c r="A884" s="74" t="s">
        <v>734</v>
      </c>
      <c r="B884" s="69"/>
      <c r="C884" s="70" t="s">
        <v>900</v>
      </c>
      <c r="D884" s="71"/>
      <c r="E884" s="72">
        <v>69844252</v>
      </c>
    </row>
    <row r="885" spans="1:5">
      <c r="A885" s="75" t="s">
        <v>734</v>
      </c>
      <c r="B885" s="42"/>
      <c r="C885" s="63" t="s">
        <v>901</v>
      </c>
      <c r="D885" s="62"/>
      <c r="E885" s="64">
        <v>63179481</v>
      </c>
    </row>
    <row r="886" spans="1:5">
      <c r="A886" s="74" t="s">
        <v>734</v>
      </c>
      <c r="B886" s="69"/>
      <c r="C886" s="70" t="s">
        <v>902</v>
      </c>
      <c r="D886" s="71"/>
      <c r="E886" s="72">
        <v>69163205</v>
      </c>
    </row>
    <row r="887" spans="1:5">
      <c r="A887" s="75" t="s">
        <v>734</v>
      </c>
      <c r="B887" s="42"/>
      <c r="C887" s="63" t="s">
        <v>903</v>
      </c>
      <c r="D887" s="62"/>
      <c r="E887" s="64">
        <v>66900494</v>
      </c>
    </row>
    <row r="888" spans="1:5">
      <c r="A888" s="74" t="s">
        <v>734</v>
      </c>
      <c r="B888" s="69"/>
      <c r="C888" s="70" t="s">
        <v>904</v>
      </c>
      <c r="D888" s="71"/>
      <c r="E888" s="72">
        <v>68075473</v>
      </c>
    </row>
    <row r="889" spans="1:5">
      <c r="A889" s="75" t="s">
        <v>734</v>
      </c>
      <c r="B889" s="42"/>
      <c r="C889" s="63" t="s">
        <v>905</v>
      </c>
      <c r="D889" s="62"/>
      <c r="E889" s="64">
        <v>7718738</v>
      </c>
    </row>
    <row r="890" spans="1:5">
      <c r="A890" s="74" t="s">
        <v>734</v>
      </c>
      <c r="B890" s="69"/>
      <c r="C890" s="70" t="s">
        <v>906</v>
      </c>
      <c r="D890" s="71"/>
      <c r="E890" s="72">
        <v>65049908</v>
      </c>
    </row>
    <row r="891" spans="1:5">
      <c r="A891" s="75" t="s">
        <v>734</v>
      </c>
      <c r="B891" s="42"/>
      <c r="C891" s="63" t="s">
        <v>907</v>
      </c>
      <c r="D891" s="62"/>
      <c r="E891" s="64">
        <v>68888868</v>
      </c>
    </row>
    <row r="892" spans="1:5">
      <c r="A892" s="74" t="s">
        <v>734</v>
      </c>
      <c r="B892" s="69"/>
      <c r="C892" s="70" t="s">
        <v>908</v>
      </c>
      <c r="D892" s="71"/>
      <c r="E892" s="72">
        <v>7714306</v>
      </c>
    </row>
    <row r="893" spans="1:5">
      <c r="A893" s="75" t="s">
        <v>734</v>
      </c>
      <c r="B893" s="42"/>
      <c r="C893" s="63" t="s">
        <v>909</v>
      </c>
      <c r="D893" s="62"/>
      <c r="E893" s="64">
        <v>67878491</v>
      </c>
    </row>
    <row r="894" spans="1:5">
      <c r="A894" s="74" t="s">
        <v>734</v>
      </c>
      <c r="B894" s="69"/>
      <c r="C894" s="70" t="s">
        <v>910</v>
      </c>
      <c r="D894" s="71"/>
      <c r="E894" s="72">
        <v>65701199</v>
      </c>
    </row>
    <row r="895" spans="1:5">
      <c r="A895" s="75" t="s">
        <v>734</v>
      </c>
      <c r="B895" s="42"/>
      <c r="C895" s="63" t="s">
        <v>911</v>
      </c>
      <c r="D895" s="62"/>
      <c r="E895" s="64">
        <v>66278099</v>
      </c>
    </row>
    <row r="896" spans="1:5">
      <c r="A896" s="74" t="s">
        <v>734</v>
      </c>
      <c r="B896" s="69"/>
      <c r="C896" s="70" t="s">
        <v>912</v>
      </c>
      <c r="D896" s="71"/>
      <c r="E896" s="72">
        <v>64859942</v>
      </c>
    </row>
    <row r="897" spans="1:5">
      <c r="A897" s="75" t="s">
        <v>734</v>
      </c>
      <c r="B897" s="42"/>
      <c r="C897" s="63" t="s">
        <v>913</v>
      </c>
      <c r="D897" s="62"/>
      <c r="E897" s="64">
        <v>66858086</v>
      </c>
    </row>
    <row r="898" spans="1:5">
      <c r="A898" s="74" t="s">
        <v>734</v>
      </c>
      <c r="B898" s="69"/>
      <c r="C898" s="70" t="s">
        <v>914</v>
      </c>
      <c r="D898" s="71"/>
      <c r="E898" s="72">
        <v>66014605</v>
      </c>
    </row>
    <row r="899" spans="1:5">
      <c r="A899" s="75" t="s">
        <v>734</v>
      </c>
      <c r="B899" s="42"/>
      <c r="C899" s="63" t="s">
        <v>915</v>
      </c>
      <c r="D899" s="62"/>
      <c r="E899" s="64">
        <v>6468960</v>
      </c>
    </row>
    <row r="900" spans="1:5">
      <c r="A900" s="74" t="s">
        <v>734</v>
      </c>
      <c r="B900" s="69"/>
      <c r="C900" s="70" t="s">
        <v>916</v>
      </c>
      <c r="D900" s="71"/>
      <c r="E900" s="72">
        <v>67025508</v>
      </c>
    </row>
    <row r="901" spans="1:5">
      <c r="A901" s="75" t="s">
        <v>734</v>
      </c>
      <c r="B901" s="42"/>
      <c r="C901" s="63" t="s">
        <v>917</v>
      </c>
      <c r="D901" s="62"/>
      <c r="E901" s="64">
        <v>69881769</v>
      </c>
    </row>
    <row r="902" spans="1:5">
      <c r="A902" s="74" t="s">
        <v>734</v>
      </c>
      <c r="B902" s="69"/>
      <c r="C902" s="70" t="s">
        <v>918</v>
      </c>
      <c r="D902" s="71"/>
      <c r="E902" s="72">
        <v>65913388</v>
      </c>
    </row>
    <row r="903" spans="1:5">
      <c r="A903" s="75" t="s">
        <v>734</v>
      </c>
      <c r="B903" s="42"/>
      <c r="C903" s="63" t="s">
        <v>919</v>
      </c>
      <c r="D903" s="62"/>
      <c r="E903" s="64">
        <v>65171640</v>
      </c>
    </row>
    <row r="904" spans="1:5">
      <c r="A904" s="74" t="s">
        <v>734</v>
      </c>
      <c r="B904" s="69"/>
      <c r="C904" s="70" t="s">
        <v>920</v>
      </c>
      <c r="D904" s="71"/>
      <c r="E904" s="73">
        <v>64087575</v>
      </c>
    </row>
    <row r="905" spans="1:5">
      <c r="A905" s="75" t="s">
        <v>734</v>
      </c>
      <c r="B905" s="42"/>
      <c r="C905" s="63" t="s">
        <v>921</v>
      </c>
      <c r="D905" s="62"/>
      <c r="E905" s="67">
        <v>7206690</v>
      </c>
    </row>
    <row r="906" spans="1:5">
      <c r="A906" s="74" t="s">
        <v>734</v>
      </c>
      <c r="B906" s="69"/>
      <c r="C906" s="70" t="s">
        <v>922</v>
      </c>
      <c r="D906" s="71"/>
      <c r="E906" s="73">
        <v>7706296</v>
      </c>
    </row>
    <row r="907" spans="1:5">
      <c r="A907" s="75" t="s">
        <v>734</v>
      </c>
      <c r="B907" s="42"/>
      <c r="C907" s="63" t="s">
        <v>923</v>
      </c>
      <c r="D907" s="62"/>
      <c r="E907" s="67">
        <v>7752354</v>
      </c>
    </row>
    <row r="908" spans="1:5">
      <c r="A908" s="74" t="s">
        <v>734</v>
      </c>
      <c r="B908" s="69"/>
      <c r="C908" s="70" t="s">
        <v>924</v>
      </c>
      <c r="D908" s="71"/>
      <c r="E908" s="73">
        <v>7307263</v>
      </c>
    </row>
    <row r="909" spans="1:5">
      <c r="A909" s="75" t="s">
        <v>734</v>
      </c>
      <c r="B909" s="42"/>
      <c r="C909" s="63" t="s">
        <v>925</v>
      </c>
      <c r="D909" s="62"/>
      <c r="E909" s="67">
        <v>7754969</v>
      </c>
    </row>
    <row r="910" spans="1:5">
      <c r="A910" s="74" t="s">
        <v>734</v>
      </c>
      <c r="B910" s="69"/>
      <c r="C910" s="70" t="s">
        <v>926</v>
      </c>
      <c r="D910" s="71"/>
      <c r="E910" s="73">
        <v>7752746</v>
      </c>
    </row>
    <row r="911" spans="1:5">
      <c r="A911" s="75" t="s">
        <v>734</v>
      </c>
      <c r="B911" s="42"/>
      <c r="C911" s="63" t="s">
        <v>927</v>
      </c>
      <c r="D911" s="62"/>
      <c r="E911" s="67">
        <v>7745990</v>
      </c>
    </row>
    <row r="912" spans="1:5">
      <c r="A912" s="74" t="s">
        <v>734</v>
      </c>
      <c r="B912" s="69"/>
      <c r="C912" s="70" t="s">
        <v>928</v>
      </c>
      <c r="D912" s="71"/>
      <c r="E912" s="73">
        <v>60917371</v>
      </c>
    </row>
    <row r="913" spans="1:5">
      <c r="A913" s="75" t="s">
        <v>734</v>
      </c>
      <c r="B913" s="42"/>
      <c r="C913" s="63" t="s">
        <v>929</v>
      </c>
      <c r="D913" s="62"/>
      <c r="E913" s="67">
        <v>63281781</v>
      </c>
    </row>
    <row r="914" spans="1:5">
      <c r="A914" s="74" t="s">
        <v>734</v>
      </c>
      <c r="B914" s="69"/>
      <c r="C914" s="70" t="s">
        <v>930</v>
      </c>
      <c r="D914" s="71"/>
      <c r="E914" s="73">
        <v>62006587</v>
      </c>
    </row>
    <row r="915" spans="1:5">
      <c r="A915" s="75" t="s">
        <v>734</v>
      </c>
      <c r="B915" s="42"/>
      <c r="C915" s="63" t="s">
        <v>931</v>
      </c>
      <c r="D915" s="62"/>
      <c r="E915" s="67">
        <v>7709486</v>
      </c>
    </row>
    <row r="916" spans="1:5">
      <c r="A916" s="74" t="s">
        <v>734</v>
      </c>
      <c r="B916" s="69"/>
      <c r="C916" s="70" t="s">
        <v>932</v>
      </c>
      <c r="D916" s="71"/>
      <c r="E916" s="73">
        <v>7300427</v>
      </c>
    </row>
    <row r="917" spans="1:5">
      <c r="A917" s="75" t="s">
        <v>734</v>
      </c>
      <c r="B917" s="42"/>
      <c r="C917" s="63" t="s">
        <v>933</v>
      </c>
      <c r="D917" s="62"/>
      <c r="E917" s="67">
        <v>7882755</v>
      </c>
    </row>
    <row r="918" spans="1:5">
      <c r="A918" s="74" t="s">
        <v>734</v>
      </c>
      <c r="B918" s="69"/>
      <c r="C918" s="70" t="s">
        <v>934</v>
      </c>
      <c r="D918" s="71"/>
      <c r="E918" s="73">
        <v>66123417</v>
      </c>
    </row>
    <row r="919" spans="1:5">
      <c r="A919" s="75" t="s">
        <v>734</v>
      </c>
      <c r="B919" s="42"/>
      <c r="C919" s="63" t="s">
        <v>935</v>
      </c>
      <c r="D919" s="62"/>
      <c r="E919" s="67">
        <v>67138880</v>
      </c>
    </row>
    <row r="920" spans="1:5">
      <c r="A920" s="74" t="s">
        <v>734</v>
      </c>
      <c r="B920" s="69"/>
      <c r="C920" s="70" t="s">
        <v>936</v>
      </c>
      <c r="D920" s="71"/>
      <c r="E920" s="73">
        <v>7301482</v>
      </c>
    </row>
    <row r="921" spans="1:5">
      <c r="A921" s="75" t="s">
        <v>734</v>
      </c>
      <c r="B921" s="42"/>
      <c r="C921" s="63" t="s">
        <v>937</v>
      </c>
      <c r="D921" s="62"/>
      <c r="E921" s="67">
        <v>64888811</v>
      </c>
    </row>
    <row r="922" spans="1:5">
      <c r="A922" s="74" t="s">
        <v>734</v>
      </c>
      <c r="B922" s="69"/>
      <c r="C922" s="70" t="s">
        <v>938</v>
      </c>
      <c r="D922" s="71"/>
      <c r="E922" s="73">
        <v>62385461</v>
      </c>
    </row>
    <row r="923" spans="1:5">
      <c r="A923" s="75" t="s">
        <v>734</v>
      </c>
      <c r="B923" s="42"/>
      <c r="C923" s="63" t="s">
        <v>939</v>
      </c>
      <c r="D923" s="62"/>
      <c r="E923" s="67">
        <v>64779617</v>
      </c>
    </row>
    <row r="924" spans="1:5">
      <c r="A924" s="74" t="s">
        <v>734</v>
      </c>
      <c r="B924" s="69"/>
      <c r="C924" s="70" t="s">
        <v>940</v>
      </c>
      <c r="D924" s="71"/>
      <c r="E924" s="73">
        <v>62310312</v>
      </c>
    </row>
    <row r="925" spans="1:5">
      <c r="A925" s="75" t="s">
        <v>734</v>
      </c>
      <c r="B925" s="42"/>
      <c r="C925" s="63" t="s">
        <v>941</v>
      </c>
      <c r="D925" s="62"/>
      <c r="E925" s="67">
        <v>69931345</v>
      </c>
    </row>
    <row r="926" spans="1:5">
      <c r="A926" s="74" t="s">
        <v>734</v>
      </c>
      <c r="B926" s="69"/>
      <c r="C926" s="70" t="s">
        <v>942</v>
      </c>
      <c r="D926" s="71"/>
      <c r="E926" s="73">
        <v>68301018</v>
      </c>
    </row>
    <row r="927" spans="1:5">
      <c r="A927" s="75" t="s">
        <v>734</v>
      </c>
      <c r="B927" s="42"/>
      <c r="C927" s="63" t="s">
        <v>943</v>
      </c>
      <c r="D927" s="62"/>
      <c r="E927" s="67">
        <v>6768297</v>
      </c>
    </row>
    <row r="928" spans="1:5">
      <c r="A928" s="74" t="s">
        <v>734</v>
      </c>
      <c r="B928" s="69"/>
      <c r="C928" s="70" t="s">
        <v>944</v>
      </c>
      <c r="D928" s="71"/>
      <c r="E928" s="73">
        <v>66835606</v>
      </c>
    </row>
    <row r="929" spans="1:5">
      <c r="A929" s="75" t="s">
        <v>734</v>
      </c>
      <c r="B929" s="42"/>
      <c r="C929" s="63" t="s">
        <v>945</v>
      </c>
      <c r="D929" s="62"/>
      <c r="E929" s="67">
        <v>69476218</v>
      </c>
    </row>
    <row r="930" spans="1:5">
      <c r="A930" s="74" t="s">
        <v>734</v>
      </c>
      <c r="B930" s="69"/>
      <c r="C930" s="70" t="s">
        <v>946</v>
      </c>
      <c r="D930" s="71"/>
      <c r="E930" s="73">
        <v>7303564</v>
      </c>
    </row>
    <row r="931" spans="1:5">
      <c r="A931" s="75" t="s">
        <v>734</v>
      </c>
      <c r="B931" s="42"/>
      <c r="C931" s="63" t="s">
        <v>947</v>
      </c>
      <c r="D931" s="62"/>
      <c r="E931" s="67">
        <v>69561964</v>
      </c>
    </row>
    <row r="932" spans="1:5">
      <c r="A932" s="74" t="s">
        <v>734</v>
      </c>
      <c r="B932" s="69"/>
      <c r="C932" s="70" t="s">
        <v>948</v>
      </c>
      <c r="D932" s="71"/>
      <c r="E932" s="73">
        <v>62104644</v>
      </c>
    </row>
    <row r="933" spans="1:5">
      <c r="A933" s="75" t="s">
        <v>734</v>
      </c>
      <c r="B933" s="42"/>
      <c r="C933" s="63" t="s">
        <v>949</v>
      </c>
      <c r="D933" s="62"/>
      <c r="E933" s="67">
        <v>68616387</v>
      </c>
    </row>
    <row r="934" spans="1:5">
      <c r="A934" s="74" t="s">
        <v>734</v>
      </c>
      <c r="B934" s="69"/>
      <c r="C934" s="70" t="s">
        <v>950</v>
      </c>
      <c r="D934" s="71"/>
      <c r="E934" s="73">
        <v>65032140</v>
      </c>
    </row>
    <row r="935" spans="1:5">
      <c r="A935" s="75" t="s">
        <v>734</v>
      </c>
      <c r="B935" s="42"/>
      <c r="C935" s="63" t="s">
        <v>951</v>
      </c>
      <c r="D935" s="62"/>
      <c r="E935" s="67">
        <v>66556299</v>
      </c>
    </row>
    <row r="936" spans="1:5">
      <c r="A936" s="74" t="s">
        <v>734</v>
      </c>
      <c r="B936" s="69"/>
      <c r="C936" s="70" t="s">
        <v>952</v>
      </c>
      <c r="D936" s="71"/>
      <c r="E936" s="73">
        <v>68068036</v>
      </c>
    </row>
    <row r="937" spans="1:5">
      <c r="A937" s="75" t="s">
        <v>734</v>
      </c>
      <c r="B937" s="42"/>
      <c r="C937" s="63" t="s">
        <v>953</v>
      </c>
      <c r="D937" s="62"/>
      <c r="E937" s="67">
        <v>65502289</v>
      </c>
    </row>
    <row r="938" spans="1:5">
      <c r="A938" s="74" t="s">
        <v>734</v>
      </c>
      <c r="B938" s="69"/>
      <c r="C938" s="70" t="s">
        <v>954</v>
      </c>
      <c r="D938" s="71"/>
      <c r="E938" s="73">
        <v>68270499</v>
      </c>
    </row>
    <row r="939" spans="1:5">
      <c r="A939" s="75" t="s">
        <v>734</v>
      </c>
      <c r="B939" s="42"/>
      <c r="C939" s="63" t="s">
        <v>955</v>
      </c>
      <c r="D939" s="62"/>
      <c r="E939" s="67">
        <v>66361084</v>
      </c>
    </row>
    <row r="940" spans="1:5">
      <c r="A940" s="74" t="s">
        <v>734</v>
      </c>
      <c r="B940" s="69"/>
      <c r="C940" s="70" t="s">
        <v>956</v>
      </c>
      <c r="D940" s="71"/>
      <c r="E940" s="73">
        <v>66465524</v>
      </c>
    </row>
    <row r="941" spans="1:5">
      <c r="A941" s="75" t="s">
        <v>734</v>
      </c>
      <c r="B941" s="42"/>
      <c r="C941" s="63" t="s">
        <v>957</v>
      </c>
      <c r="D941" s="62"/>
      <c r="E941" s="67">
        <v>66368125</v>
      </c>
    </row>
    <row r="942" spans="1:5">
      <c r="A942" s="74" t="s">
        <v>734</v>
      </c>
      <c r="B942" s="69"/>
      <c r="C942" s="70" t="s">
        <v>958</v>
      </c>
      <c r="D942" s="71"/>
      <c r="E942" s="73">
        <v>65743849</v>
      </c>
    </row>
    <row r="943" spans="1:5">
      <c r="A943" s="75" t="s">
        <v>734</v>
      </c>
      <c r="B943" s="42"/>
      <c r="C943" s="63" t="s">
        <v>959</v>
      </c>
      <c r="D943" s="62"/>
      <c r="E943" s="67">
        <v>67421060</v>
      </c>
    </row>
    <row r="944" spans="1:5">
      <c r="A944" s="74" t="s">
        <v>734</v>
      </c>
      <c r="B944" s="69"/>
      <c r="C944" s="70" t="s">
        <v>960</v>
      </c>
      <c r="D944" s="71"/>
      <c r="E944" s="73">
        <v>64964249</v>
      </c>
    </row>
    <row r="945" spans="1:5">
      <c r="A945" s="75" t="s">
        <v>734</v>
      </c>
      <c r="B945" s="42"/>
      <c r="C945" s="63" t="s">
        <v>961</v>
      </c>
      <c r="D945" s="62"/>
      <c r="E945" s="67">
        <v>66267606</v>
      </c>
    </row>
    <row r="946" spans="1:5">
      <c r="A946" s="74" t="s">
        <v>734</v>
      </c>
      <c r="B946" s="69"/>
      <c r="C946" s="70" t="s">
        <v>962</v>
      </c>
      <c r="D946" s="71"/>
      <c r="E946" s="73">
        <v>68517397</v>
      </c>
    </row>
    <row r="947" spans="1:5">
      <c r="A947" s="75" t="s">
        <v>734</v>
      </c>
      <c r="B947" s="42"/>
      <c r="C947" s="63" t="s">
        <v>963</v>
      </c>
      <c r="D947" s="62"/>
      <c r="E947" s="67">
        <v>68329019</v>
      </c>
    </row>
    <row r="948" spans="1:5">
      <c r="A948" s="74" t="s">
        <v>734</v>
      </c>
      <c r="B948" s="69"/>
      <c r="C948" s="70" t="s">
        <v>964</v>
      </c>
      <c r="D948" s="71"/>
      <c r="E948" s="73">
        <v>63840122</v>
      </c>
    </row>
    <row r="949" spans="1:5">
      <c r="A949" s="75" t="s">
        <v>734</v>
      </c>
      <c r="B949" s="42"/>
      <c r="C949" s="63" t="s">
        <v>965</v>
      </c>
      <c r="D949" s="62"/>
      <c r="E949" s="67">
        <v>7740024</v>
      </c>
    </row>
    <row r="950" spans="1:5">
      <c r="A950" s="74" t="s">
        <v>734</v>
      </c>
      <c r="B950" s="69"/>
      <c r="C950" s="70" t="s">
        <v>966</v>
      </c>
      <c r="D950" s="71"/>
      <c r="E950" s="73">
        <v>68442861</v>
      </c>
    </row>
    <row r="951" spans="1:5">
      <c r="A951" s="75" t="s">
        <v>734</v>
      </c>
      <c r="B951" s="42"/>
      <c r="C951" s="63" t="s">
        <v>967</v>
      </c>
      <c r="D951" s="62"/>
      <c r="E951" s="67">
        <v>67592484</v>
      </c>
    </row>
    <row r="952" spans="1:5">
      <c r="A952" s="74" t="s">
        <v>734</v>
      </c>
      <c r="B952" s="69"/>
      <c r="C952" s="70" t="s">
        <v>968</v>
      </c>
      <c r="D952" s="71"/>
      <c r="E952" s="73">
        <v>7755573</v>
      </c>
    </row>
    <row r="953" spans="1:5">
      <c r="A953" s="75" t="s">
        <v>734</v>
      </c>
      <c r="B953" s="42"/>
      <c r="C953" s="63" t="s">
        <v>969</v>
      </c>
      <c r="D953" s="62"/>
      <c r="E953" s="67">
        <v>65339408</v>
      </c>
    </row>
    <row r="954" spans="1:5">
      <c r="A954" s="74" t="s">
        <v>734</v>
      </c>
      <c r="B954" s="69"/>
      <c r="C954" s="70" t="s">
        <v>970</v>
      </c>
      <c r="D954" s="71"/>
      <c r="E954" s="73">
        <v>67936888</v>
      </c>
    </row>
    <row r="955" spans="1:5">
      <c r="A955" s="75" t="s">
        <v>734</v>
      </c>
      <c r="B955" s="42"/>
      <c r="C955" s="63" t="s">
        <v>971</v>
      </c>
      <c r="D955" s="62"/>
      <c r="E955" s="67">
        <v>64911413</v>
      </c>
    </row>
    <row r="956" spans="1:5">
      <c r="A956" s="74" t="s">
        <v>734</v>
      </c>
      <c r="B956" s="69"/>
      <c r="C956" s="70" t="s">
        <v>972</v>
      </c>
      <c r="D956" s="71"/>
      <c r="E956" s="73">
        <v>63892163</v>
      </c>
    </row>
    <row r="957" spans="1:5">
      <c r="A957" s="75" t="s">
        <v>734</v>
      </c>
      <c r="B957" s="42"/>
      <c r="C957" s="63" t="s">
        <v>973</v>
      </c>
      <c r="D957" s="62"/>
      <c r="E957" s="67">
        <v>67958981</v>
      </c>
    </row>
    <row r="958" spans="1:5">
      <c r="A958" s="74" t="s">
        <v>734</v>
      </c>
      <c r="B958" s="69"/>
      <c r="C958" s="70" t="s">
        <v>974</v>
      </c>
      <c r="D958" s="71"/>
      <c r="E958" s="73">
        <v>7751613</v>
      </c>
    </row>
    <row r="959" spans="1:5">
      <c r="A959" s="75" t="s">
        <v>734</v>
      </c>
      <c r="B959" s="42"/>
      <c r="C959" s="63" t="s">
        <v>975</v>
      </c>
      <c r="D959" s="62"/>
      <c r="E959" s="67">
        <v>62935552</v>
      </c>
    </row>
    <row r="960" spans="1:5">
      <c r="A960" s="74" t="s">
        <v>734</v>
      </c>
      <c r="B960" s="69"/>
      <c r="C960" s="70" t="s">
        <v>976</v>
      </c>
      <c r="D960" s="71"/>
      <c r="E960" s="73">
        <v>69241671</v>
      </c>
    </row>
    <row r="961" spans="1:5">
      <c r="A961" s="75" t="s">
        <v>734</v>
      </c>
      <c r="B961" s="42"/>
      <c r="C961" s="63" t="s">
        <v>977</v>
      </c>
      <c r="D961" s="62"/>
      <c r="E961" s="67">
        <v>68396621</v>
      </c>
    </row>
    <row r="962" spans="1:5">
      <c r="A962" s="74" t="s">
        <v>734</v>
      </c>
      <c r="B962" s="69"/>
      <c r="C962" s="70" t="s">
        <v>978</v>
      </c>
      <c r="D962" s="71"/>
      <c r="E962" s="73">
        <v>67523619</v>
      </c>
    </row>
    <row r="963" spans="1:5">
      <c r="A963" s="75" t="s">
        <v>734</v>
      </c>
      <c r="B963" s="42"/>
      <c r="C963" s="63" t="s">
        <v>979</v>
      </c>
      <c r="D963" s="62"/>
      <c r="E963" s="67">
        <v>69510662</v>
      </c>
    </row>
    <row r="964" spans="1:5">
      <c r="A964" s="74" t="s">
        <v>734</v>
      </c>
      <c r="B964" s="69"/>
      <c r="C964" s="70" t="s">
        <v>980</v>
      </c>
      <c r="D964" s="71"/>
      <c r="E964" s="73">
        <v>7222832</v>
      </c>
    </row>
    <row r="965" spans="1:5">
      <c r="A965" s="75" t="s">
        <v>734</v>
      </c>
      <c r="B965" s="42"/>
      <c r="C965" s="63" t="s">
        <v>981</v>
      </c>
      <c r="D965" s="62"/>
      <c r="E965" s="67">
        <v>7741641</v>
      </c>
    </row>
    <row r="966" spans="1:5">
      <c r="A966" s="74" t="s">
        <v>734</v>
      </c>
      <c r="B966" s="69"/>
      <c r="C966" s="70" t="s">
        <v>982</v>
      </c>
      <c r="D966" s="71"/>
      <c r="E966" s="73">
        <v>65963252</v>
      </c>
    </row>
    <row r="967" spans="1:5">
      <c r="A967" s="75" t="s">
        <v>734</v>
      </c>
      <c r="B967" s="42"/>
      <c r="C967" s="63" t="s">
        <v>983</v>
      </c>
      <c r="D967" s="62"/>
      <c r="E967" s="67">
        <v>62830747</v>
      </c>
    </row>
    <row r="968" spans="1:5">
      <c r="A968" s="74" t="s">
        <v>734</v>
      </c>
      <c r="B968" s="69"/>
      <c r="C968" s="70" t="s">
        <v>984</v>
      </c>
      <c r="D968" s="71"/>
      <c r="E968" s="73">
        <v>64426468</v>
      </c>
    </row>
    <row r="969" spans="1:5">
      <c r="A969" s="75" t="s">
        <v>734</v>
      </c>
      <c r="B969" s="42"/>
      <c r="C969" s="63" t="s">
        <v>985</v>
      </c>
      <c r="D969" s="62"/>
      <c r="E969" s="67">
        <v>64016666</v>
      </c>
    </row>
    <row r="970" spans="1:5">
      <c r="A970" s="74" t="s">
        <v>734</v>
      </c>
      <c r="B970" s="69"/>
      <c r="C970" s="70" t="s">
        <v>986</v>
      </c>
      <c r="D970" s="71"/>
      <c r="E970" s="73">
        <v>64544391</v>
      </c>
    </row>
    <row r="971" spans="1:5">
      <c r="A971" s="75" t="s">
        <v>734</v>
      </c>
      <c r="B971" s="42"/>
      <c r="C971" s="63" t="s">
        <v>987</v>
      </c>
      <c r="D971" s="62"/>
      <c r="E971" s="67">
        <v>68377049</v>
      </c>
    </row>
    <row r="972" spans="1:5">
      <c r="A972" s="74" t="s">
        <v>734</v>
      </c>
      <c r="B972" s="69"/>
      <c r="C972" s="70" t="s">
        <v>988</v>
      </c>
      <c r="D972" s="71"/>
      <c r="E972" s="73">
        <v>65164606</v>
      </c>
    </row>
    <row r="973" spans="1:5">
      <c r="A973" s="75" t="s">
        <v>734</v>
      </c>
      <c r="B973" s="42"/>
      <c r="C973" s="63" t="s">
        <v>989</v>
      </c>
      <c r="D973" s="62"/>
      <c r="E973" s="67">
        <v>7304804</v>
      </c>
    </row>
    <row r="974" spans="1:5">
      <c r="A974" s="74" t="s">
        <v>734</v>
      </c>
      <c r="B974" s="69"/>
      <c r="C974" s="70" t="s">
        <v>990</v>
      </c>
      <c r="D974" s="71"/>
      <c r="E974" s="73">
        <v>7706308</v>
      </c>
    </row>
    <row r="975" spans="1:5">
      <c r="A975" s="75" t="s">
        <v>734</v>
      </c>
      <c r="B975" s="42"/>
      <c r="C975" s="63" t="s">
        <v>991</v>
      </c>
      <c r="D975" s="62"/>
      <c r="E975" s="67">
        <v>65296283</v>
      </c>
    </row>
    <row r="976" spans="1:5">
      <c r="A976" s="74" t="s">
        <v>734</v>
      </c>
      <c r="B976" s="69"/>
      <c r="C976" s="70" t="s">
        <v>992</v>
      </c>
      <c r="D976" s="71"/>
      <c r="E976" s="73">
        <v>64906310</v>
      </c>
    </row>
    <row r="977" spans="1:5">
      <c r="A977" s="75" t="s">
        <v>734</v>
      </c>
      <c r="B977" s="42"/>
      <c r="C977" s="63" t="s">
        <v>993</v>
      </c>
      <c r="D977" s="62"/>
      <c r="E977" s="67">
        <v>7209091</v>
      </c>
    </row>
    <row r="978" spans="1:5">
      <c r="A978" s="74" t="s">
        <v>734</v>
      </c>
      <c r="B978" s="69"/>
      <c r="C978" s="70" t="s">
        <v>994</v>
      </c>
      <c r="D978" s="71"/>
      <c r="E978" s="73">
        <v>67900212</v>
      </c>
    </row>
    <row r="979" spans="1:5">
      <c r="A979" s="75" t="s">
        <v>734</v>
      </c>
      <c r="B979" s="42"/>
      <c r="C979" s="63" t="s">
        <v>995</v>
      </c>
      <c r="D979" s="62"/>
      <c r="E979" s="67">
        <v>67666023</v>
      </c>
    </row>
    <row r="980" spans="1:5">
      <c r="A980" s="74" t="s">
        <v>734</v>
      </c>
      <c r="B980" s="69"/>
      <c r="C980" s="70" t="s">
        <v>996</v>
      </c>
      <c r="D980" s="71"/>
      <c r="E980" s="73">
        <v>7758298</v>
      </c>
    </row>
    <row r="981" spans="1:5">
      <c r="A981" s="75" t="s">
        <v>734</v>
      </c>
      <c r="B981" s="42"/>
      <c r="C981" s="63" t="s">
        <v>997</v>
      </c>
      <c r="D981" s="62"/>
      <c r="E981" s="67">
        <v>64283307</v>
      </c>
    </row>
    <row r="982" spans="1:5">
      <c r="A982" s="74" t="s">
        <v>734</v>
      </c>
      <c r="B982" s="69"/>
      <c r="C982" s="70" t="s">
        <v>998</v>
      </c>
      <c r="D982" s="71"/>
      <c r="E982" s="73">
        <v>7744287</v>
      </c>
    </row>
    <row r="983" spans="1:5">
      <c r="A983" s="75" t="s">
        <v>734</v>
      </c>
      <c r="B983" s="42"/>
      <c r="C983" s="63" t="s">
        <v>999</v>
      </c>
      <c r="D983" s="62"/>
      <c r="E983" s="67">
        <v>7751348</v>
      </c>
    </row>
    <row r="984" spans="1:5">
      <c r="A984" s="74" t="s">
        <v>734</v>
      </c>
      <c r="B984" s="69"/>
      <c r="C984" s="70" t="s">
        <v>1000</v>
      </c>
      <c r="D984" s="71"/>
      <c r="E984" s="73">
        <v>7098384</v>
      </c>
    </row>
    <row r="985" spans="1:5">
      <c r="A985" s="75" t="s">
        <v>734</v>
      </c>
      <c r="B985" s="42"/>
      <c r="C985" s="63" t="s">
        <v>1001</v>
      </c>
      <c r="D985" s="62"/>
      <c r="E985" s="67">
        <v>68646044</v>
      </c>
    </row>
    <row r="986" spans="1:5">
      <c r="A986" s="74" t="s">
        <v>734</v>
      </c>
      <c r="B986" s="69"/>
      <c r="C986" s="70" t="s">
        <v>1002</v>
      </c>
      <c r="D986" s="71"/>
      <c r="E986" s="73">
        <v>7760083</v>
      </c>
    </row>
    <row r="987" spans="1:5">
      <c r="A987" s="75" t="s">
        <v>734</v>
      </c>
      <c r="B987" s="42"/>
      <c r="C987" s="63" t="s">
        <v>1003</v>
      </c>
      <c r="D987" s="62"/>
      <c r="E987" s="67">
        <v>68130281</v>
      </c>
    </row>
    <row r="988" spans="1:5">
      <c r="A988" s="74" t="s">
        <v>734</v>
      </c>
      <c r="B988" s="69"/>
      <c r="C988" s="70" t="s">
        <v>1004</v>
      </c>
      <c r="D988" s="71"/>
      <c r="E988" s="73">
        <v>65752908</v>
      </c>
    </row>
    <row r="989" spans="1:5" ht="30">
      <c r="A989" s="66" t="s">
        <v>1005</v>
      </c>
      <c r="B989" s="42"/>
      <c r="C989" s="63" t="s">
        <v>1006</v>
      </c>
      <c r="D989" s="62"/>
      <c r="E989" s="64">
        <v>65876485</v>
      </c>
    </row>
    <row r="990" spans="1:5" ht="30">
      <c r="A990" s="68" t="s">
        <v>1005</v>
      </c>
      <c r="B990" s="69"/>
      <c r="C990" s="70" t="s">
        <v>1007</v>
      </c>
      <c r="D990" s="71"/>
      <c r="E990" s="72">
        <v>7309439</v>
      </c>
    </row>
    <row r="991" spans="1:5" ht="30">
      <c r="A991" s="66" t="s">
        <v>1005</v>
      </c>
      <c r="B991" s="42"/>
      <c r="C991" s="63" t="s">
        <v>1008</v>
      </c>
      <c r="D991" s="62"/>
      <c r="E991" s="64">
        <v>7304720</v>
      </c>
    </row>
    <row r="992" spans="1:5" ht="30">
      <c r="A992" s="68" t="s">
        <v>1005</v>
      </c>
      <c r="B992" s="69"/>
      <c r="C992" s="70" t="s">
        <v>1009</v>
      </c>
      <c r="D992" s="71"/>
      <c r="E992" s="72">
        <v>60819515</v>
      </c>
    </row>
    <row r="993" spans="1:5" ht="30">
      <c r="A993" s="66" t="s">
        <v>1005</v>
      </c>
      <c r="B993" s="42"/>
      <c r="C993" s="63" t="s">
        <v>1010</v>
      </c>
      <c r="D993" s="62"/>
      <c r="E993" s="64">
        <v>62151865</v>
      </c>
    </row>
    <row r="994" spans="1:5" ht="30">
      <c r="A994" s="68" t="s">
        <v>1005</v>
      </c>
      <c r="B994" s="69"/>
      <c r="C994" s="70" t="s">
        <v>1011</v>
      </c>
      <c r="D994" s="71"/>
      <c r="E994" s="72">
        <v>64692710</v>
      </c>
    </row>
    <row r="995" spans="1:5" ht="30">
      <c r="A995" s="66" t="s">
        <v>1005</v>
      </c>
      <c r="B995" s="42"/>
      <c r="C995" s="63" t="s">
        <v>1012</v>
      </c>
      <c r="D995" s="62"/>
      <c r="E995" s="64">
        <v>62362379</v>
      </c>
    </row>
    <row r="996" spans="1:5" ht="30">
      <c r="A996" s="68" t="s">
        <v>1005</v>
      </c>
      <c r="B996" s="69"/>
      <c r="C996" s="70" t="s">
        <v>1013</v>
      </c>
      <c r="D996" s="71"/>
      <c r="E996" s="72">
        <v>65163218</v>
      </c>
    </row>
    <row r="997" spans="1:5" ht="30">
      <c r="A997" s="66" t="s">
        <v>1005</v>
      </c>
      <c r="B997" s="42"/>
      <c r="C997" s="63" t="s">
        <v>1014</v>
      </c>
      <c r="D997" s="62"/>
      <c r="E997" s="64">
        <v>64489692</v>
      </c>
    </row>
    <row r="998" spans="1:5" ht="30">
      <c r="A998" s="68" t="s">
        <v>1005</v>
      </c>
      <c r="B998" s="69"/>
      <c r="C998" s="70" t="s">
        <v>1015</v>
      </c>
      <c r="D998" s="71"/>
      <c r="E998" s="72">
        <v>64756809</v>
      </c>
    </row>
    <row r="999" spans="1:5" ht="30">
      <c r="A999" s="66" t="s">
        <v>1005</v>
      </c>
      <c r="B999" s="42"/>
      <c r="C999" s="63" t="s">
        <v>1016</v>
      </c>
      <c r="D999" s="62"/>
      <c r="E999" s="64">
        <v>67178261</v>
      </c>
    </row>
    <row r="1000" spans="1:5" ht="30">
      <c r="A1000" s="68" t="s">
        <v>1005</v>
      </c>
      <c r="B1000" s="69"/>
      <c r="C1000" s="70" t="s">
        <v>1017</v>
      </c>
      <c r="D1000" s="71"/>
      <c r="E1000" s="72">
        <v>62195095</v>
      </c>
    </row>
    <row r="1001" spans="1:5" ht="30">
      <c r="A1001" s="66" t="s">
        <v>1005</v>
      </c>
      <c r="B1001" s="42"/>
      <c r="C1001" s="63" t="s">
        <v>1018</v>
      </c>
      <c r="D1001" s="62"/>
      <c r="E1001" s="64">
        <v>64779333</v>
      </c>
    </row>
    <row r="1002" spans="1:5" ht="30">
      <c r="A1002" s="68" t="s">
        <v>1005</v>
      </c>
      <c r="B1002" s="69"/>
      <c r="C1002" s="70" t="s">
        <v>1019</v>
      </c>
      <c r="D1002" s="71"/>
      <c r="E1002" s="72">
        <v>65597101</v>
      </c>
    </row>
    <row r="1003" spans="1:5" ht="30">
      <c r="A1003" s="66" t="s">
        <v>1005</v>
      </c>
      <c r="B1003" s="42"/>
      <c r="C1003" s="63" t="s">
        <v>1020</v>
      </c>
      <c r="D1003" s="62"/>
      <c r="E1003" s="64">
        <v>7201543</v>
      </c>
    </row>
    <row r="1004" spans="1:5" ht="30">
      <c r="A1004" s="68" t="s">
        <v>1005</v>
      </c>
      <c r="B1004" s="69"/>
      <c r="C1004" s="70" t="s">
        <v>1021</v>
      </c>
      <c r="D1004" s="71"/>
      <c r="E1004" s="72">
        <v>68971695</v>
      </c>
    </row>
    <row r="1005" spans="1:5" ht="30">
      <c r="A1005" s="66" t="s">
        <v>1005</v>
      </c>
      <c r="B1005" s="42"/>
      <c r="C1005" s="63" t="s">
        <v>1022</v>
      </c>
      <c r="D1005" s="62"/>
      <c r="E1005" s="64">
        <v>69072821</v>
      </c>
    </row>
    <row r="1006" spans="1:5" ht="30">
      <c r="A1006" s="68" t="s">
        <v>1005</v>
      </c>
      <c r="B1006" s="69"/>
      <c r="C1006" s="70" t="s">
        <v>1023</v>
      </c>
      <c r="D1006" s="71"/>
      <c r="E1006" s="72">
        <v>65745859</v>
      </c>
    </row>
    <row r="1007" spans="1:5" ht="30">
      <c r="A1007" s="66" t="s">
        <v>1005</v>
      </c>
      <c r="B1007" s="42"/>
      <c r="C1007" s="63" t="s">
        <v>1024</v>
      </c>
      <c r="D1007" s="62"/>
      <c r="E1007" s="64">
        <v>66552947</v>
      </c>
    </row>
    <row r="1008" spans="1:5" ht="30">
      <c r="A1008" s="68" t="s">
        <v>1005</v>
      </c>
      <c r="B1008" s="69"/>
      <c r="C1008" s="70" t="s">
        <v>1025</v>
      </c>
      <c r="D1008" s="71"/>
      <c r="E1008" s="72">
        <v>68134263</v>
      </c>
    </row>
    <row r="1009" spans="1:5" ht="30">
      <c r="A1009" s="66" t="s">
        <v>1005</v>
      </c>
      <c r="B1009" s="42"/>
      <c r="C1009" s="63" t="s">
        <v>1026</v>
      </c>
      <c r="D1009" s="62"/>
      <c r="E1009" s="64">
        <v>63261398</v>
      </c>
    </row>
    <row r="1010" spans="1:5" ht="30">
      <c r="A1010" s="68" t="s">
        <v>1005</v>
      </c>
      <c r="B1010" s="69"/>
      <c r="C1010" s="70" t="s">
        <v>1027</v>
      </c>
      <c r="D1010" s="71"/>
      <c r="E1010" s="72">
        <v>61549772</v>
      </c>
    </row>
    <row r="1011" spans="1:5" ht="30">
      <c r="A1011" s="66" t="s">
        <v>1005</v>
      </c>
      <c r="B1011" s="42"/>
      <c r="C1011" s="63" t="s">
        <v>1028</v>
      </c>
      <c r="D1011" s="62"/>
      <c r="E1011" s="64">
        <v>65875062</v>
      </c>
    </row>
    <row r="1012" spans="1:5" ht="30">
      <c r="A1012" s="68" t="s">
        <v>1005</v>
      </c>
      <c r="B1012" s="69"/>
      <c r="C1012" s="70" t="s">
        <v>1029</v>
      </c>
      <c r="D1012" s="71"/>
      <c r="E1012" s="72">
        <v>64983655</v>
      </c>
    </row>
    <row r="1013" spans="1:5" ht="30">
      <c r="A1013" s="66" t="s">
        <v>1005</v>
      </c>
      <c r="B1013" s="42"/>
      <c r="C1013" s="63" t="s">
        <v>1030</v>
      </c>
      <c r="D1013" s="62"/>
      <c r="E1013" s="64">
        <v>66316483</v>
      </c>
    </row>
    <row r="1014" spans="1:5" ht="30">
      <c r="A1014" s="68" t="s">
        <v>1005</v>
      </c>
      <c r="B1014" s="69"/>
      <c r="C1014" s="70" t="s">
        <v>1031</v>
      </c>
      <c r="D1014" s="71"/>
      <c r="E1014" s="72">
        <v>65833303</v>
      </c>
    </row>
    <row r="1015" spans="1:5" ht="30">
      <c r="A1015" s="66" t="s">
        <v>1005</v>
      </c>
      <c r="B1015" s="42"/>
      <c r="C1015" s="63" t="s">
        <v>1032</v>
      </c>
      <c r="D1015" s="62"/>
      <c r="E1015" s="64">
        <v>68721217</v>
      </c>
    </row>
    <row r="1016" spans="1:5" ht="30">
      <c r="A1016" s="68" t="s">
        <v>1005</v>
      </c>
      <c r="B1016" s="69"/>
      <c r="C1016" s="70" t="s">
        <v>1033</v>
      </c>
      <c r="D1016" s="71"/>
      <c r="E1016" s="72">
        <v>67146001</v>
      </c>
    </row>
    <row r="1017" spans="1:5" ht="30">
      <c r="A1017" s="66" t="s">
        <v>1005</v>
      </c>
      <c r="B1017" s="42"/>
      <c r="C1017" s="63" t="s">
        <v>1034</v>
      </c>
      <c r="D1017" s="62"/>
      <c r="E1017" s="64">
        <v>60250157</v>
      </c>
    </row>
    <row r="1018" spans="1:5" ht="30">
      <c r="A1018" s="68" t="s">
        <v>1005</v>
      </c>
      <c r="B1018" s="69"/>
      <c r="C1018" s="70" t="s">
        <v>1035</v>
      </c>
      <c r="D1018" s="71"/>
      <c r="E1018" s="72">
        <v>66887940</v>
      </c>
    </row>
    <row r="1019" spans="1:5" ht="30">
      <c r="A1019" s="66" t="s">
        <v>1005</v>
      </c>
      <c r="B1019" s="42"/>
      <c r="C1019" s="63" t="s">
        <v>1036</v>
      </c>
      <c r="D1019" s="62"/>
      <c r="E1019" s="64">
        <v>68679867</v>
      </c>
    </row>
    <row r="1020" spans="1:5" ht="30">
      <c r="A1020" s="68" t="s">
        <v>1005</v>
      </c>
      <c r="B1020" s="69"/>
      <c r="C1020" s="70" t="s">
        <v>1037</v>
      </c>
      <c r="D1020" s="71"/>
      <c r="E1020" s="72">
        <v>61133642</v>
      </c>
    </row>
    <row r="1021" spans="1:5" ht="30">
      <c r="A1021" s="66" t="s">
        <v>1005</v>
      </c>
      <c r="B1021" s="42"/>
      <c r="C1021" s="63" t="s">
        <v>1038</v>
      </c>
      <c r="D1021" s="62"/>
      <c r="E1021" s="64">
        <v>68833772</v>
      </c>
    </row>
    <row r="1022" spans="1:5" ht="30">
      <c r="A1022" s="68" t="s">
        <v>1005</v>
      </c>
      <c r="B1022" s="69"/>
      <c r="C1022" s="70" t="s">
        <v>1039</v>
      </c>
      <c r="D1022" s="71"/>
      <c r="E1022" s="72">
        <v>67918111</v>
      </c>
    </row>
    <row r="1023" spans="1:5" ht="30">
      <c r="A1023" s="66" t="s">
        <v>1005</v>
      </c>
      <c r="B1023" s="42"/>
      <c r="C1023" s="63" t="s">
        <v>1040</v>
      </c>
      <c r="D1023" s="62"/>
      <c r="E1023" s="64">
        <v>64054648</v>
      </c>
    </row>
    <row r="1024" spans="1:5" ht="30">
      <c r="A1024" s="68" t="s">
        <v>1005</v>
      </c>
      <c r="B1024" s="69"/>
      <c r="C1024" s="70" t="s">
        <v>1041</v>
      </c>
      <c r="D1024" s="71"/>
      <c r="E1024" s="72">
        <v>67000905</v>
      </c>
    </row>
    <row r="1025" spans="1:5" ht="30">
      <c r="A1025" s="66" t="s">
        <v>1005</v>
      </c>
      <c r="B1025" s="42"/>
      <c r="C1025" s="63" t="s">
        <v>1042</v>
      </c>
      <c r="D1025" s="62"/>
      <c r="E1025" s="64">
        <v>69704907</v>
      </c>
    </row>
    <row r="1026" spans="1:5" ht="30">
      <c r="A1026" s="68" t="s">
        <v>1005</v>
      </c>
      <c r="B1026" s="69"/>
      <c r="C1026" s="70" t="s">
        <v>1043</v>
      </c>
      <c r="D1026" s="71"/>
      <c r="E1026" s="72">
        <v>69083126</v>
      </c>
    </row>
    <row r="1027" spans="1:5" ht="30">
      <c r="A1027" s="66" t="s">
        <v>1005</v>
      </c>
      <c r="B1027" s="42"/>
      <c r="C1027" s="63" t="s">
        <v>1044</v>
      </c>
      <c r="D1027" s="62"/>
      <c r="E1027" s="64">
        <v>64892483</v>
      </c>
    </row>
    <row r="1028" spans="1:5" ht="30">
      <c r="A1028" s="68" t="s">
        <v>1005</v>
      </c>
      <c r="B1028" s="69"/>
      <c r="C1028" s="70" t="s">
        <v>1045</v>
      </c>
      <c r="D1028" s="71"/>
      <c r="E1028" s="72">
        <v>65558718</v>
      </c>
    </row>
    <row r="1029" spans="1:5" ht="30">
      <c r="A1029" s="66" t="s">
        <v>1005</v>
      </c>
      <c r="B1029" s="42"/>
      <c r="C1029" s="63" t="s">
        <v>1046</v>
      </c>
      <c r="D1029" s="62"/>
      <c r="E1029" s="64">
        <v>66300129</v>
      </c>
    </row>
    <row r="1030" spans="1:5" ht="30">
      <c r="A1030" s="68" t="s">
        <v>1005</v>
      </c>
      <c r="B1030" s="69"/>
      <c r="C1030" s="70" t="s">
        <v>1047</v>
      </c>
      <c r="D1030" s="71"/>
      <c r="E1030" s="72">
        <v>67543112</v>
      </c>
    </row>
    <row r="1031" spans="1:5" ht="30">
      <c r="A1031" s="66" t="s">
        <v>1005</v>
      </c>
      <c r="B1031" s="42"/>
      <c r="C1031" s="63" t="s">
        <v>1048</v>
      </c>
      <c r="D1031" s="62"/>
      <c r="E1031" s="64">
        <v>64379258</v>
      </c>
    </row>
    <row r="1032" spans="1:5" ht="30">
      <c r="A1032" s="68" t="s">
        <v>1005</v>
      </c>
      <c r="B1032" s="69"/>
      <c r="C1032" s="70" t="s">
        <v>1049</v>
      </c>
      <c r="D1032" s="71"/>
      <c r="E1032" s="72">
        <v>67688894</v>
      </c>
    </row>
    <row r="1033" spans="1:5" ht="30">
      <c r="A1033" s="66" t="s">
        <v>1005</v>
      </c>
      <c r="B1033" s="42"/>
      <c r="C1033" s="63" t="s">
        <v>1050</v>
      </c>
      <c r="D1033" s="62"/>
      <c r="E1033" s="64">
        <v>7871170</v>
      </c>
    </row>
    <row r="1034" spans="1:5" ht="30">
      <c r="A1034" s="68" t="s">
        <v>1005</v>
      </c>
      <c r="B1034" s="69"/>
      <c r="C1034" s="70" t="s">
        <v>1051</v>
      </c>
      <c r="D1034" s="71"/>
      <c r="E1034" s="72">
        <v>65605313</v>
      </c>
    </row>
    <row r="1035" spans="1:5" ht="30">
      <c r="A1035" s="66" t="s">
        <v>1005</v>
      </c>
      <c r="B1035" s="42"/>
      <c r="C1035" s="63" t="s">
        <v>1052</v>
      </c>
      <c r="D1035" s="62"/>
      <c r="E1035" s="64">
        <v>68169242</v>
      </c>
    </row>
    <row r="1036" spans="1:5" ht="30">
      <c r="A1036" s="68" t="s">
        <v>1005</v>
      </c>
      <c r="B1036" s="69"/>
      <c r="C1036" s="70" t="s">
        <v>1053</v>
      </c>
      <c r="D1036" s="71"/>
      <c r="E1036" s="72">
        <v>62212065</v>
      </c>
    </row>
    <row r="1037" spans="1:5" ht="30">
      <c r="A1037" s="66" t="s">
        <v>1005</v>
      </c>
      <c r="B1037" s="42"/>
      <c r="C1037" s="63" t="s">
        <v>1054</v>
      </c>
      <c r="D1037" s="62"/>
      <c r="E1037" s="64">
        <v>66014462</v>
      </c>
    </row>
    <row r="1038" spans="1:5" ht="30">
      <c r="A1038" s="68" t="s">
        <v>1005</v>
      </c>
      <c r="B1038" s="69"/>
      <c r="C1038" s="70" t="s">
        <v>1055</v>
      </c>
      <c r="D1038" s="71"/>
      <c r="E1038" s="72">
        <v>67964232</v>
      </c>
    </row>
    <row r="1039" spans="1:5" ht="30">
      <c r="A1039" s="66" t="s">
        <v>1005</v>
      </c>
      <c r="B1039" s="42"/>
      <c r="C1039" s="63" t="s">
        <v>1056</v>
      </c>
      <c r="D1039" s="62"/>
      <c r="E1039" s="64">
        <v>65685511</v>
      </c>
    </row>
    <row r="1040" spans="1:5" ht="30">
      <c r="A1040" s="68" t="s">
        <v>1005</v>
      </c>
      <c r="B1040" s="69"/>
      <c r="C1040" s="70" t="s">
        <v>1057</v>
      </c>
      <c r="D1040" s="71"/>
      <c r="E1040" s="72">
        <v>61658805</v>
      </c>
    </row>
    <row r="1041" spans="1:5" ht="30">
      <c r="A1041" s="66" t="s">
        <v>1005</v>
      </c>
      <c r="B1041" s="42"/>
      <c r="C1041" s="63" t="s">
        <v>1058</v>
      </c>
      <c r="D1041" s="62"/>
      <c r="E1041" s="64">
        <v>62240573</v>
      </c>
    </row>
    <row r="1042" spans="1:5" ht="30">
      <c r="A1042" s="68" t="s">
        <v>1005</v>
      </c>
      <c r="B1042" s="69"/>
      <c r="C1042" s="70" t="s">
        <v>1059</v>
      </c>
      <c r="D1042" s="71"/>
      <c r="E1042" s="72">
        <v>66973256</v>
      </c>
    </row>
    <row r="1043" spans="1:5" ht="30">
      <c r="A1043" s="66" t="s">
        <v>1005</v>
      </c>
      <c r="B1043" s="42"/>
      <c r="C1043" s="63" t="s">
        <v>1060</v>
      </c>
      <c r="D1043" s="62"/>
      <c r="E1043" s="64">
        <v>62063931</v>
      </c>
    </row>
    <row r="1044" spans="1:5" ht="30">
      <c r="A1044" s="68" t="s">
        <v>1005</v>
      </c>
      <c r="B1044" s="69"/>
      <c r="C1044" s="70" t="s">
        <v>1061</v>
      </c>
      <c r="D1044" s="71"/>
      <c r="E1044" s="72">
        <v>63275849</v>
      </c>
    </row>
    <row r="1045" spans="1:5" ht="30">
      <c r="A1045" s="66" t="s">
        <v>1005</v>
      </c>
      <c r="B1045" s="42"/>
      <c r="C1045" s="63" t="s">
        <v>1062</v>
      </c>
      <c r="D1045" s="62"/>
      <c r="E1045" s="64">
        <v>64295865</v>
      </c>
    </row>
    <row r="1046" spans="1:5" ht="30">
      <c r="A1046" s="68" t="s">
        <v>1005</v>
      </c>
      <c r="B1046" s="69"/>
      <c r="C1046" s="70" t="s">
        <v>1063</v>
      </c>
      <c r="D1046" s="71"/>
      <c r="E1046" s="72">
        <v>63867045</v>
      </c>
    </row>
    <row r="1047" spans="1:5" ht="30">
      <c r="A1047" s="66" t="s">
        <v>1005</v>
      </c>
      <c r="B1047" s="42"/>
      <c r="C1047" s="63" t="s">
        <v>1064</v>
      </c>
      <c r="D1047" s="62"/>
      <c r="E1047" s="64">
        <v>64260329</v>
      </c>
    </row>
    <row r="1048" spans="1:5" ht="30">
      <c r="A1048" s="68" t="s">
        <v>1005</v>
      </c>
      <c r="B1048" s="69"/>
      <c r="C1048" s="70" t="s">
        <v>1065</v>
      </c>
      <c r="D1048" s="71"/>
      <c r="E1048" s="72">
        <v>67523084</v>
      </c>
    </row>
    <row r="1049" spans="1:5" ht="30">
      <c r="A1049" s="66" t="s">
        <v>1005</v>
      </c>
      <c r="B1049" s="42"/>
      <c r="C1049" s="63" t="s">
        <v>1066</v>
      </c>
      <c r="D1049" s="62"/>
      <c r="E1049" s="64">
        <v>69368725</v>
      </c>
    </row>
    <row r="1050" spans="1:5" ht="30">
      <c r="A1050" s="68" t="s">
        <v>1005</v>
      </c>
      <c r="B1050" s="69"/>
      <c r="C1050" s="70" t="s">
        <v>1067</v>
      </c>
      <c r="D1050" s="71"/>
      <c r="E1050" s="72">
        <v>68156413</v>
      </c>
    </row>
    <row r="1051" spans="1:5" ht="30">
      <c r="A1051" s="66" t="s">
        <v>1005</v>
      </c>
      <c r="B1051" s="42"/>
      <c r="C1051" s="63" t="s">
        <v>1068</v>
      </c>
      <c r="D1051" s="62"/>
      <c r="E1051" s="64">
        <v>65569830</v>
      </c>
    </row>
    <row r="1052" spans="1:5" ht="30">
      <c r="A1052" s="68" t="s">
        <v>1005</v>
      </c>
      <c r="B1052" s="69"/>
      <c r="C1052" s="70" t="s">
        <v>1069</v>
      </c>
      <c r="D1052" s="71"/>
      <c r="E1052" s="72">
        <v>62396610</v>
      </c>
    </row>
    <row r="1053" spans="1:5" ht="30">
      <c r="A1053" s="66" t="s">
        <v>1005</v>
      </c>
      <c r="B1053" s="42"/>
      <c r="C1053" s="63" t="s">
        <v>1070</v>
      </c>
      <c r="D1053" s="62"/>
      <c r="E1053" s="64">
        <v>67349418</v>
      </c>
    </row>
    <row r="1054" spans="1:5" ht="30">
      <c r="A1054" s="68" t="s">
        <v>1005</v>
      </c>
      <c r="B1054" s="69"/>
      <c r="C1054" s="70" t="s">
        <v>1071</v>
      </c>
      <c r="D1054" s="71"/>
      <c r="E1054" s="72">
        <v>7210372</v>
      </c>
    </row>
    <row r="1055" spans="1:5" ht="30">
      <c r="A1055" s="66" t="s">
        <v>1005</v>
      </c>
      <c r="B1055" s="42"/>
      <c r="C1055" s="63" t="s">
        <v>1072</v>
      </c>
      <c r="D1055" s="62"/>
      <c r="E1055" s="64">
        <v>65919261</v>
      </c>
    </row>
    <row r="1056" spans="1:5" ht="30">
      <c r="A1056" s="68" t="s">
        <v>1005</v>
      </c>
      <c r="B1056" s="69"/>
      <c r="C1056" s="70" t="s">
        <v>1073</v>
      </c>
      <c r="D1056" s="71"/>
      <c r="E1056" s="72">
        <v>67672389</v>
      </c>
    </row>
    <row r="1057" spans="1:5" ht="30">
      <c r="A1057" s="66" t="s">
        <v>1005</v>
      </c>
      <c r="B1057" s="42"/>
      <c r="C1057" s="63" t="s">
        <v>1074</v>
      </c>
      <c r="D1057" s="62"/>
      <c r="E1057" s="64">
        <v>64371216</v>
      </c>
    </row>
    <row r="1058" spans="1:5" ht="30">
      <c r="A1058" s="68" t="s">
        <v>1005</v>
      </c>
      <c r="B1058" s="69"/>
      <c r="C1058" s="70" t="s">
        <v>1075</v>
      </c>
      <c r="D1058" s="71"/>
      <c r="E1058" s="72">
        <v>65196520</v>
      </c>
    </row>
    <row r="1059" spans="1:5" ht="30">
      <c r="A1059" s="66" t="s">
        <v>1005</v>
      </c>
      <c r="B1059" s="42"/>
      <c r="C1059" s="63" t="s">
        <v>1076</v>
      </c>
      <c r="D1059" s="62"/>
      <c r="E1059" s="64">
        <v>64639972</v>
      </c>
    </row>
    <row r="1060" spans="1:5" ht="30">
      <c r="A1060" s="68" t="s">
        <v>1005</v>
      </c>
      <c r="B1060" s="69"/>
      <c r="C1060" s="70" t="s">
        <v>1077</v>
      </c>
      <c r="D1060" s="71"/>
      <c r="E1060" s="72">
        <v>66272560</v>
      </c>
    </row>
    <row r="1061" spans="1:5" ht="30">
      <c r="A1061" s="66" t="s">
        <v>1005</v>
      </c>
      <c r="B1061" s="42"/>
      <c r="C1061" s="63" t="s">
        <v>1078</v>
      </c>
      <c r="D1061" s="62"/>
      <c r="E1061" s="64">
        <v>66728114</v>
      </c>
    </row>
    <row r="1062" spans="1:5" ht="30">
      <c r="A1062" s="68" t="s">
        <v>1005</v>
      </c>
      <c r="B1062" s="69"/>
      <c r="C1062" s="70" t="s">
        <v>1079</v>
      </c>
      <c r="D1062" s="71"/>
      <c r="E1062" s="72">
        <v>65682924</v>
      </c>
    </row>
    <row r="1063" spans="1:5" ht="30">
      <c r="A1063" s="66" t="s">
        <v>1005</v>
      </c>
      <c r="B1063" s="42"/>
      <c r="C1063" s="63" t="s">
        <v>1080</v>
      </c>
      <c r="D1063" s="62"/>
      <c r="E1063" s="64">
        <v>68239276</v>
      </c>
    </row>
    <row r="1064" spans="1:5" ht="30">
      <c r="A1064" s="68" t="s">
        <v>1005</v>
      </c>
      <c r="B1064" s="69"/>
      <c r="C1064" s="70" t="s">
        <v>1081</v>
      </c>
      <c r="D1064" s="71"/>
      <c r="E1064" s="72">
        <v>63625634</v>
      </c>
    </row>
    <row r="1065" spans="1:5" ht="30">
      <c r="A1065" s="66" t="s">
        <v>1005</v>
      </c>
      <c r="B1065" s="42"/>
      <c r="C1065" s="63" t="s">
        <v>1082</v>
      </c>
      <c r="D1065" s="62"/>
      <c r="E1065" s="64">
        <v>64615868</v>
      </c>
    </row>
    <row r="1066" spans="1:5" ht="30">
      <c r="A1066" s="68" t="s">
        <v>1005</v>
      </c>
      <c r="B1066" s="69"/>
      <c r="C1066" s="70" t="s">
        <v>1083</v>
      </c>
      <c r="D1066" s="71"/>
      <c r="E1066" s="72">
        <v>67631945</v>
      </c>
    </row>
    <row r="1067" spans="1:5" ht="30">
      <c r="A1067" s="66" t="s">
        <v>1005</v>
      </c>
      <c r="B1067" s="42"/>
      <c r="C1067" s="63" t="s">
        <v>1084</v>
      </c>
      <c r="D1067" s="62"/>
      <c r="E1067" s="64">
        <v>66551822</v>
      </c>
    </row>
    <row r="1068" spans="1:5" ht="30">
      <c r="A1068" s="68" t="s">
        <v>1005</v>
      </c>
      <c r="B1068" s="69"/>
      <c r="C1068" s="70" t="s">
        <v>1085</v>
      </c>
      <c r="D1068" s="71"/>
      <c r="E1068" s="72">
        <v>65077189</v>
      </c>
    </row>
    <row r="1069" spans="1:5" ht="30">
      <c r="A1069" s="66" t="s">
        <v>1005</v>
      </c>
      <c r="B1069" s="42"/>
      <c r="C1069" s="63" t="s">
        <v>1086</v>
      </c>
      <c r="D1069" s="62"/>
      <c r="E1069" s="64">
        <v>66294182</v>
      </c>
    </row>
    <row r="1070" spans="1:5" ht="30">
      <c r="A1070" s="68" t="s">
        <v>1005</v>
      </c>
      <c r="B1070" s="69"/>
      <c r="C1070" s="70" t="s">
        <v>1087</v>
      </c>
      <c r="D1070" s="71"/>
      <c r="E1070" s="72">
        <v>66226124</v>
      </c>
    </row>
    <row r="1071" spans="1:5" ht="30">
      <c r="A1071" s="66" t="s">
        <v>1005</v>
      </c>
      <c r="B1071" s="42"/>
      <c r="C1071" s="63" t="s">
        <v>1088</v>
      </c>
      <c r="D1071" s="62"/>
      <c r="E1071" s="64">
        <v>69653458</v>
      </c>
    </row>
    <row r="1072" spans="1:5" ht="30">
      <c r="A1072" s="68" t="s">
        <v>1005</v>
      </c>
      <c r="B1072" s="69"/>
      <c r="C1072" s="70" t="s">
        <v>1089</v>
      </c>
      <c r="D1072" s="71"/>
      <c r="E1072" s="72">
        <v>69181716</v>
      </c>
    </row>
    <row r="1073" spans="1:5" ht="30">
      <c r="A1073" s="66" t="s">
        <v>1005</v>
      </c>
      <c r="B1073" s="42"/>
      <c r="C1073" s="63" t="s">
        <v>1090</v>
      </c>
      <c r="D1073" s="62"/>
      <c r="E1073" s="64">
        <v>7871503</v>
      </c>
    </row>
    <row r="1074" spans="1:5" ht="30">
      <c r="A1074" s="68" t="s">
        <v>1005</v>
      </c>
      <c r="B1074" s="69"/>
      <c r="C1074" s="70" t="s">
        <v>1091</v>
      </c>
      <c r="D1074" s="71"/>
      <c r="E1074" s="72">
        <v>67343991</v>
      </c>
    </row>
    <row r="1075" spans="1:5" ht="30">
      <c r="A1075" s="66" t="s">
        <v>1005</v>
      </c>
      <c r="B1075" s="42"/>
      <c r="C1075" s="63" t="s">
        <v>1092</v>
      </c>
      <c r="D1075" s="62"/>
      <c r="E1075" s="64">
        <v>68470645</v>
      </c>
    </row>
    <row r="1076" spans="1:5" ht="30">
      <c r="A1076" s="68" t="s">
        <v>1005</v>
      </c>
      <c r="B1076" s="69"/>
      <c r="C1076" s="70" t="s">
        <v>1093</v>
      </c>
      <c r="D1076" s="71"/>
      <c r="E1076" s="72">
        <v>69727942</v>
      </c>
    </row>
    <row r="1077" spans="1:5" ht="30">
      <c r="A1077" s="66" t="s">
        <v>1005</v>
      </c>
      <c r="B1077" s="42"/>
      <c r="C1077" s="63" t="s">
        <v>1094</v>
      </c>
      <c r="D1077" s="62"/>
      <c r="E1077" s="64">
        <v>66187994</v>
      </c>
    </row>
    <row r="1078" spans="1:5" ht="30">
      <c r="A1078" s="68" t="s">
        <v>1005</v>
      </c>
      <c r="B1078" s="69"/>
      <c r="C1078" s="70" t="s">
        <v>1095</v>
      </c>
      <c r="D1078" s="71"/>
      <c r="E1078" s="72">
        <v>65112571</v>
      </c>
    </row>
    <row r="1079" spans="1:5" ht="30">
      <c r="A1079" s="66" t="s">
        <v>1005</v>
      </c>
      <c r="B1079" s="42"/>
      <c r="C1079" s="63" t="s">
        <v>1096</v>
      </c>
      <c r="D1079" s="62"/>
      <c r="E1079" s="64">
        <v>64202030</v>
      </c>
    </row>
    <row r="1080" spans="1:5" ht="30">
      <c r="A1080" s="68" t="s">
        <v>1005</v>
      </c>
      <c r="B1080" s="69"/>
      <c r="C1080" s="70" t="s">
        <v>1097</v>
      </c>
      <c r="D1080" s="71"/>
      <c r="E1080" s="72">
        <v>65994792</v>
      </c>
    </row>
    <row r="1081" spans="1:5" ht="30">
      <c r="A1081" s="66" t="s">
        <v>1005</v>
      </c>
      <c r="B1081" s="42"/>
      <c r="C1081" s="63" t="s">
        <v>1098</v>
      </c>
      <c r="D1081" s="62"/>
      <c r="E1081" s="64">
        <v>67130928</v>
      </c>
    </row>
    <row r="1082" spans="1:5" ht="30">
      <c r="A1082" s="68" t="s">
        <v>1005</v>
      </c>
      <c r="B1082" s="69"/>
      <c r="C1082" s="70" t="s">
        <v>1099</v>
      </c>
      <c r="D1082" s="71"/>
      <c r="E1082" s="72">
        <v>66079016</v>
      </c>
    </row>
    <row r="1083" spans="1:5" ht="30">
      <c r="A1083" s="66" t="s">
        <v>1005</v>
      </c>
      <c r="B1083" s="42"/>
      <c r="C1083" s="63" t="s">
        <v>1100</v>
      </c>
      <c r="D1083" s="62"/>
      <c r="E1083" s="64">
        <v>62077001</v>
      </c>
    </row>
    <row r="1084" spans="1:5" ht="30">
      <c r="A1084" s="68" t="s">
        <v>1005</v>
      </c>
      <c r="B1084" s="69"/>
      <c r="C1084" s="70" t="s">
        <v>1101</v>
      </c>
      <c r="D1084" s="71"/>
      <c r="E1084" s="72">
        <v>65714228</v>
      </c>
    </row>
    <row r="1085" spans="1:5" ht="30">
      <c r="A1085" s="66" t="s">
        <v>1005</v>
      </c>
      <c r="B1085" s="42"/>
      <c r="C1085" s="63" t="s">
        <v>1102</v>
      </c>
      <c r="D1085" s="62"/>
      <c r="E1085" s="67">
        <v>65678648</v>
      </c>
    </row>
    <row r="1086" spans="1:5" ht="30">
      <c r="A1086" s="68" t="s">
        <v>1005</v>
      </c>
      <c r="B1086" s="69"/>
      <c r="C1086" s="70" t="s">
        <v>1103</v>
      </c>
      <c r="D1086" s="71"/>
      <c r="E1086" s="73">
        <v>7202080</v>
      </c>
    </row>
    <row r="1087" spans="1:5" ht="30">
      <c r="A1087" s="66" t="s">
        <v>1005</v>
      </c>
      <c r="B1087" s="42"/>
      <c r="C1087" s="63" t="s">
        <v>1104</v>
      </c>
      <c r="D1087" s="62"/>
      <c r="E1087" s="67">
        <v>7703070</v>
      </c>
    </row>
    <row r="1088" spans="1:5" ht="30">
      <c r="A1088" s="68" t="s">
        <v>1005</v>
      </c>
      <c r="B1088" s="69"/>
      <c r="C1088" s="70" t="s">
        <v>1105</v>
      </c>
      <c r="D1088" s="71"/>
      <c r="E1088" s="73">
        <v>7750542</v>
      </c>
    </row>
    <row r="1089" spans="1:5" ht="30">
      <c r="A1089" s="66" t="s">
        <v>1005</v>
      </c>
      <c r="B1089" s="42"/>
      <c r="C1089" s="63" t="s">
        <v>1106</v>
      </c>
      <c r="D1089" s="62"/>
      <c r="E1089" s="67">
        <v>61612100</v>
      </c>
    </row>
    <row r="1090" spans="1:5" ht="30">
      <c r="A1090" s="68" t="s">
        <v>1005</v>
      </c>
      <c r="B1090" s="69"/>
      <c r="C1090" s="70" t="s">
        <v>1107</v>
      </c>
      <c r="D1090" s="71"/>
      <c r="E1090" s="73">
        <v>7756634</v>
      </c>
    </row>
    <row r="1091" spans="1:5" ht="30">
      <c r="A1091" s="66" t="s">
        <v>1005</v>
      </c>
      <c r="B1091" s="42"/>
      <c r="C1091" s="63" t="s">
        <v>1108</v>
      </c>
      <c r="D1091" s="62"/>
      <c r="E1091" s="67">
        <v>7756570</v>
      </c>
    </row>
    <row r="1092" spans="1:5" ht="30">
      <c r="A1092" s="68" t="s">
        <v>1005</v>
      </c>
      <c r="B1092" s="69"/>
      <c r="C1092" s="70" t="s">
        <v>1109</v>
      </c>
      <c r="D1092" s="71"/>
      <c r="E1092" s="73">
        <v>7778037</v>
      </c>
    </row>
    <row r="1093" spans="1:5" ht="30">
      <c r="A1093" s="66" t="s">
        <v>1005</v>
      </c>
      <c r="B1093" s="42"/>
      <c r="C1093" s="63" t="s">
        <v>1110</v>
      </c>
      <c r="D1093" s="62"/>
      <c r="E1093" s="67">
        <v>66753943</v>
      </c>
    </row>
    <row r="1094" spans="1:5" ht="30">
      <c r="A1094" s="68" t="s">
        <v>1005</v>
      </c>
      <c r="B1094" s="69"/>
      <c r="C1094" s="70" t="s">
        <v>1111</v>
      </c>
      <c r="D1094" s="71"/>
      <c r="E1094" s="73">
        <v>68266372</v>
      </c>
    </row>
    <row r="1095" spans="1:5" ht="30">
      <c r="A1095" s="66" t="s">
        <v>1005</v>
      </c>
      <c r="B1095" s="42"/>
      <c r="C1095" s="63" t="s">
        <v>1112</v>
      </c>
      <c r="D1095" s="62"/>
      <c r="E1095" s="67">
        <v>7096633</v>
      </c>
    </row>
    <row r="1096" spans="1:5" ht="30">
      <c r="A1096" s="68" t="s">
        <v>1005</v>
      </c>
      <c r="B1096" s="69"/>
      <c r="C1096" s="70" t="s">
        <v>1113</v>
      </c>
      <c r="D1096" s="71"/>
      <c r="E1096" s="73">
        <v>60455073</v>
      </c>
    </row>
    <row r="1097" spans="1:5" ht="30">
      <c r="A1097" s="66" t="s">
        <v>1005</v>
      </c>
      <c r="B1097" s="42"/>
      <c r="C1097" s="63" t="s">
        <v>1114</v>
      </c>
      <c r="D1097" s="62"/>
      <c r="E1097" s="67">
        <v>65183650</v>
      </c>
    </row>
    <row r="1098" spans="1:5" ht="30">
      <c r="A1098" s="68" t="s">
        <v>1005</v>
      </c>
      <c r="B1098" s="69"/>
      <c r="C1098" s="70" t="s">
        <v>1115</v>
      </c>
      <c r="D1098" s="71"/>
      <c r="E1098" s="73">
        <v>7752965</v>
      </c>
    </row>
    <row r="1099" spans="1:5" ht="30">
      <c r="A1099" s="66" t="s">
        <v>1005</v>
      </c>
      <c r="B1099" s="42"/>
      <c r="C1099" s="63" t="s">
        <v>1116</v>
      </c>
      <c r="D1099" s="62"/>
      <c r="E1099" s="67">
        <v>7304749</v>
      </c>
    </row>
    <row r="1100" spans="1:5" ht="30">
      <c r="A1100" s="68" t="s">
        <v>1005</v>
      </c>
      <c r="B1100" s="69"/>
      <c r="C1100" s="70" t="s">
        <v>1117</v>
      </c>
      <c r="D1100" s="71"/>
      <c r="E1100" s="73">
        <v>7774179</v>
      </c>
    </row>
    <row r="1101" spans="1:5" ht="30">
      <c r="A1101" s="66" t="s">
        <v>1005</v>
      </c>
      <c r="B1101" s="42"/>
      <c r="C1101" s="63" t="s">
        <v>1118</v>
      </c>
      <c r="D1101" s="62"/>
      <c r="E1101" s="67">
        <v>62411557</v>
      </c>
    </row>
    <row r="1102" spans="1:5" ht="30">
      <c r="A1102" s="68" t="s">
        <v>1005</v>
      </c>
      <c r="B1102" s="69"/>
      <c r="C1102" s="70" t="s">
        <v>1119</v>
      </c>
      <c r="D1102" s="71"/>
      <c r="E1102" s="73">
        <v>65332053</v>
      </c>
    </row>
    <row r="1103" spans="1:5" ht="30">
      <c r="A1103" s="66" t="s">
        <v>1005</v>
      </c>
      <c r="B1103" s="42"/>
      <c r="C1103" s="63" t="s">
        <v>1120</v>
      </c>
      <c r="D1103" s="62"/>
      <c r="E1103" s="67">
        <v>7770481</v>
      </c>
    </row>
    <row r="1104" spans="1:5" ht="30">
      <c r="A1104" s="68" t="s">
        <v>1005</v>
      </c>
      <c r="B1104" s="69"/>
      <c r="C1104" s="70" t="s">
        <v>1121</v>
      </c>
      <c r="D1104" s="71"/>
      <c r="E1104" s="73">
        <v>64864921</v>
      </c>
    </row>
    <row r="1105" spans="1:5" ht="30">
      <c r="A1105" s="66" t="s">
        <v>1005</v>
      </c>
      <c r="B1105" s="42"/>
      <c r="C1105" s="63" t="s">
        <v>1122</v>
      </c>
      <c r="D1105" s="62"/>
      <c r="E1105" s="67">
        <v>63235388</v>
      </c>
    </row>
    <row r="1106" spans="1:5" ht="30">
      <c r="A1106" s="68" t="s">
        <v>1005</v>
      </c>
      <c r="B1106" s="69"/>
      <c r="C1106" s="70" t="s">
        <v>1123</v>
      </c>
      <c r="D1106" s="71"/>
      <c r="E1106" s="73">
        <v>67959784</v>
      </c>
    </row>
    <row r="1107" spans="1:5" ht="30">
      <c r="A1107" s="66" t="s">
        <v>1005</v>
      </c>
      <c r="B1107" s="42"/>
      <c r="C1107" s="63" t="s">
        <v>1124</v>
      </c>
      <c r="D1107" s="62"/>
      <c r="E1107" s="67">
        <v>69900499</v>
      </c>
    </row>
    <row r="1108" spans="1:5" ht="30">
      <c r="A1108" s="68" t="s">
        <v>1005</v>
      </c>
      <c r="B1108" s="69"/>
      <c r="C1108" s="70" t="s">
        <v>1125</v>
      </c>
      <c r="D1108" s="71"/>
      <c r="E1108" s="73">
        <v>66736473</v>
      </c>
    </row>
    <row r="1109" spans="1:5" ht="30">
      <c r="A1109" s="66" t="s">
        <v>1005</v>
      </c>
      <c r="B1109" s="42"/>
      <c r="C1109" s="63" t="s">
        <v>1126</v>
      </c>
      <c r="D1109" s="62"/>
      <c r="E1109" s="67">
        <v>68083506</v>
      </c>
    </row>
    <row r="1110" spans="1:5" ht="30">
      <c r="A1110" s="68" t="s">
        <v>1005</v>
      </c>
      <c r="B1110" s="69"/>
      <c r="C1110" s="70" t="s">
        <v>1127</v>
      </c>
      <c r="D1110" s="71"/>
      <c r="E1110" s="73">
        <v>66618864</v>
      </c>
    </row>
    <row r="1111" spans="1:5" ht="30">
      <c r="A1111" s="66" t="s">
        <v>1005</v>
      </c>
      <c r="B1111" s="42"/>
      <c r="C1111" s="63" t="s">
        <v>1128</v>
      </c>
      <c r="D1111" s="62"/>
      <c r="E1111" s="67">
        <v>65147306</v>
      </c>
    </row>
    <row r="1112" spans="1:5" ht="30">
      <c r="A1112" s="68" t="s">
        <v>1005</v>
      </c>
      <c r="B1112" s="69"/>
      <c r="C1112" s="70" t="s">
        <v>1129</v>
      </c>
      <c r="D1112" s="71"/>
      <c r="E1112" s="73">
        <v>64106967</v>
      </c>
    </row>
    <row r="1113" spans="1:5" ht="30">
      <c r="A1113" s="66" t="s">
        <v>1005</v>
      </c>
      <c r="B1113" s="42"/>
      <c r="C1113" s="63" t="s">
        <v>1130</v>
      </c>
      <c r="D1113" s="62"/>
      <c r="E1113" s="67">
        <v>69661722</v>
      </c>
    </row>
    <row r="1114" spans="1:5" ht="30">
      <c r="A1114" s="68" t="s">
        <v>1005</v>
      </c>
      <c r="B1114" s="69"/>
      <c r="C1114" s="70" t="s">
        <v>1131</v>
      </c>
      <c r="D1114" s="71"/>
      <c r="E1114" s="73">
        <v>69123287</v>
      </c>
    </row>
    <row r="1115" spans="1:5" ht="30">
      <c r="A1115" s="66" t="s">
        <v>1005</v>
      </c>
      <c r="B1115" s="42"/>
      <c r="C1115" s="63" t="s">
        <v>1132</v>
      </c>
      <c r="D1115" s="62"/>
      <c r="E1115" s="67">
        <v>7702715</v>
      </c>
    </row>
    <row r="1116" spans="1:5" ht="30">
      <c r="A1116" s="68" t="s">
        <v>1005</v>
      </c>
      <c r="B1116" s="69"/>
      <c r="C1116" s="70" t="s">
        <v>1133</v>
      </c>
      <c r="D1116" s="71"/>
      <c r="E1116" s="73">
        <v>66731064</v>
      </c>
    </row>
    <row r="1117" spans="1:5" ht="30">
      <c r="A1117" s="66" t="s">
        <v>1005</v>
      </c>
      <c r="B1117" s="42"/>
      <c r="C1117" s="63" t="s">
        <v>1134</v>
      </c>
      <c r="D1117" s="62"/>
      <c r="E1117" s="67">
        <v>7758960</v>
      </c>
    </row>
    <row r="1118" spans="1:5" ht="30">
      <c r="A1118" s="68" t="s">
        <v>1005</v>
      </c>
      <c r="B1118" s="69"/>
      <c r="C1118" s="70" t="s">
        <v>1135</v>
      </c>
      <c r="D1118" s="71"/>
      <c r="E1118" s="73">
        <v>69721520</v>
      </c>
    </row>
    <row r="1119" spans="1:5" ht="30">
      <c r="A1119" s="66" t="s">
        <v>1005</v>
      </c>
      <c r="B1119" s="42"/>
      <c r="C1119" s="63" t="s">
        <v>1136</v>
      </c>
      <c r="D1119" s="62"/>
      <c r="E1119" s="67">
        <v>68570869</v>
      </c>
    </row>
    <row r="1120" spans="1:5" ht="30">
      <c r="A1120" s="68" t="s">
        <v>1005</v>
      </c>
      <c r="B1120" s="69"/>
      <c r="C1120" s="70" t="s">
        <v>1137</v>
      </c>
      <c r="D1120" s="71"/>
      <c r="E1120" s="73">
        <v>66366586</v>
      </c>
    </row>
    <row r="1121" spans="1:5" ht="30">
      <c r="A1121" s="66" t="s">
        <v>1005</v>
      </c>
      <c r="B1121" s="42"/>
      <c r="C1121" s="63" t="s">
        <v>1138</v>
      </c>
      <c r="D1121" s="62"/>
      <c r="E1121" s="67">
        <v>7714333</v>
      </c>
    </row>
    <row r="1122" spans="1:5" ht="30">
      <c r="A1122" s="68" t="s">
        <v>1005</v>
      </c>
      <c r="B1122" s="69"/>
      <c r="C1122" s="70" t="s">
        <v>1139</v>
      </c>
      <c r="D1122" s="71"/>
      <c r="E1122" s="73">
        <v>64473431</v>
      </c>
    </row>
    <row r="1123" spans="1:5" ht="30">
      <c r="A1123" s="66" t="s">
        <v>1005</v>
      </c>
      <c r="B1123" s="42"/>
      <c r="C1123" s="63" t="s">
        <v>1140</v>
      </c>
      <c r="D1123" s="62"/>
      <c r="E1123" s="67">
        <v>64820917</v>
      </c>
    </row>
    <row r="1124" spans="1:5" ht="30">
      <c r="A1124" s="68" t="s">
        <v>1005</v>
      </c>
      <c r="B1124" s="69"/>
      <c r="C1124" s="70" t="s">
        <v>1141</v>
      </c>
      <c r="D1124" s="71"/>
      <c r="E1124" s="73">
        <v>68504239</v>
      </c>
    </row>
    <row r="1125" spans="1:5" ht="30">
      <c r="A1125" s="66" t="s">
        <v>1005</v>
      </c>
      <c r="B1125" s="42"/>
      <c r="C1125" s="63" t="s">
        <v>1142</v>
      </c>
      <c r="D1125" s="62"/>
      <c r="E1125" s="67">
        <v>69734085</v>
      </c>
    </row>
    <row r="1126" spans="1:5" ht="30">
      <c r="A1126" s="68" t="s">
        <v>1005</v>
      </c>
      <c r="B1126" s="69"/>
      <c r="C1126" s="70" t="s">
        <v>1143</v>
      </c>
      <c r="D1126" s="71"/>
      <c r="E1126" s="73">
        <v>66369868</v>
      </c>
    </row>
    <row r="1127" spans="1:5" ht="30">
      <c r="A1127" s="66" t="s">
        <v>1005</v>
      </c>
      <c r="B1127" s="42"/>
      <c r="C1127" s="63" t="s">
        <v>1144</v>
      </c>
      <c r="D1127" s="62"/>
      <c r="E1127" s="67">
        <v>68531968</v>
      </c>
    </row>
    <row r="1128" spans="1:5" ht="30">
      <c r="A1128" s="68" t="s">
        <v>1005</v>
      </c>
      <c r="B1128" s="69"/>
      <c r="C1128" s="70" t="s">
        <v>1145</v>
      </c>
      <c r="D1128" s="71"/>
      <c r="E1128" s="73">
        <v>64079147</v>
      </c>
    </row>
    <row r="1129" spans="1:5" ht="30">
      <c r="A1129" s="66" t="s">
        <v>1005</v>
      </c>
      <c r="B1129" s="42"/>
      <c r="C1129" s="63" t="s">
        <v>1146</v>
      </c>
      <c r="D1129" s="62"/>
      <c r="E1129" s="67">
        <v>64671223</v>
      </c>
    </row>
    <row r="1130" spans="1:5" ht="30">
      <c r="A1130" s="68" t="s">
        <v>1005</v>
      </c>
      <c r="B1130" s="69"/>
      <c r="C1130" s="70" t="s">
        <v>1147</v>
      </c>
      <c r="D1130" s="71"/>
      <c r="E1130" s="73">
        <v>66775423</v>
      </c>
    </row>
    <row r="1131" spans="1:5" ht="30">
      <c r="A1131" s="66" t="s">
        <v>1005</v>
      </c>
      <c r="B1131" s="42"/>
      <c r="C1131" s="63" t="s">
        <v>1148</v>
      </c>
      <c r="D1131" s="62"/>
      <c r="E1131" s="67">
        <v>60871930</v>
      </c>
    </row>
    <row r="1132" spans="1:5" ht="30">
      <c r="A1132" s="68" t="s">
        <v>1005</v>
      </c>
      <c r="B1132" s="69"/>
      <c r="C1132" s="70" t="s">
        <v>1149</v>
      </c>
      <c r="D1132" s="71"/>
      <c r="E1132" s="73">
        <v>7751646</v>
      </c>
    </row>
    <row r="1133" spans="1:5" ht="30">
      <c r="A1133" s="66" t="s">
        <v>1005</v>
      </c>
      <c r="B1133" s="42"/>
      <c r="C1133" s="63" t="s">
        <v>1150</v>
      </c>
      <c r="D1133" s="62"/>
      <c r="E1133" s="67">
        <v>60428135</v>
      </c>
    </row>
    <row r="1134" spans="1:5" ht="30">
      <c r="A1134" s="68" t="s">
        <v>1005</v>
      </c>
      <c r="B1134" s="69"/>
      <c r="C1134" s="70" t="s">
        <v>1151</v>
      </c>
      <c r="D1134" s="71"/>
      <c r="E1134" s="73">
        <v>65743058</v>
      </c>
    </row>
    <row r="1135" spans="1:5" ht="30">
      <c r="A1135" s="66" t="s">
        <v>1005</v>
      </c>
      <c r="B1135" s="42"/>
      <c r="C1135" s="63" t="s">
        <v>1152</v>
      </c>
      <c r="D1135" s="62"/>
      <c r="E1135" s="67">
        <v>69439294</v>
      </c>
    </row>
    <row r="1136" spans="1:5" ht="30">
      <c r="A1136" s="68" t="s">
        <v>1005</v>
      </c>
      <c r="B1136" s="69"/>
      <c r="C1136" s="70" t="s">
        <v>1153</v>
      </c>
      <c r="D1136" s="71"/>
      <c r="E1136" s="73">
        <v>66853718</v>
      </c>
    </row>
    <row r="1137" spans="1:5" ht="30">
      <c r="A1137" s="66" t="s">
        <v>1005</v>
      </c>
      <c r="B1137" s="42"/>
      <c r="C1137" s="63" t="s">
        <v>1154</v>
      </c>
      <c r="D1137" s="62"/>
      <c r="E1137" s="67">
        <v>64458685</v>
      </c>
    </row>
    <row r="1138" spans="1:5" ht="30">
      <c r="A1138" s="68" t="s">
        <v>1005</v>
      </c>
      <c r="B1138" s="69"/>
      <c r="C1138" s="70" t="s">
        <v>1155</v>
      </c>
      <c r="D1138" s="71"/>
      <c r="E1138" s="73">
        <v>68107229</v>
      </c>
    </row>
    <row r="1139" spans="1:5" ht="30">
      <c r="A1139" s="66" t="s">
        <v>1005</v>
      </c>
      <c r="B1139" s="42"/>
      <c r="C1139" s="63" t="s">
        <v>1156</v>
      </c>
      <c r="D1139" s="62"/>
      <c r="E1139" s="67">
        <v>7743730</v>
      </c>
    </row>
    <row r="1140" spans="1:5" ht="30">
      <c r="A1140" s="68" t="s">
        <v>1005</v>
      </c>
      <c r="B1140" s="69"/>
      <c r="C1140" s="70" t="s">
        <v>1157</v>
      </c>
      <c r="D1140" s="71"/>
      <c r="E1140" s="73">
        <v>64522592</v>
      </c>
    </row>
    <row r="1141" spans="1:5" ht="30">
      <c r="A1141" s="66" t="s">
        <v>1005</v>
      </c>
      <c r="B1141" s="42"/>
      <c r="C1141" s="63" t="s">
        <v>1158</v>
      </c>
      <c r="D1141" s="62"/>
      <c r="E1141" s="67">
        <v>7767450</v>
      </c>
    </row>
    <row r="1142" spans="1:5" ht="30">
      <c r="A1142" s="68" t="s">
        <v>1005</v>
      </c>
      <c r="B1142" s="69"/>
      <c r="C1142" s="70" t="s">
        <v>1159</v>
      </c>
      <c r="D1142" s="71"/>
      <c r="E1142" s="73"/>
    </row>
    <row r="1143" spans="1:5" ht="30">
      <c r="A1143" s="66" t="s">
        <v>1005</v>
      </c>
      <c r="B1143" s="42"/>
      <c r="C1143" s="63" t="s">
        <v>1160</v>
      </c>
      <c r="D1143" s="62"/>
      <c r="E1143" s="67">
        <v>61842378</v>
      </c>
    </row>
    <row r="1144" spans="1:5" ht="30">
      <c r="A1144" s="68" t="s">
        <v>1005</v>
      </c>
      <c r="B1144" s="69"/>
      <c r="C1144" s="70" t="s">
        <v>1161</v>
      </c>
      <c r="D1144" s="71"/>
      <c r="E1144" s="73"/>
    </row>
    <row r="1145" spans="1:5" ht="30">
      <c r="A1145" s="66" t="s">
        <v>1005</v>
      </c>
      <c r="B1145" s="42"/>
      <c r="C1145" s="63" t="s">
        <v>1162</v>
      </c>
      <c r="D1145" s="62"/>
      <c r="E1145" s="67">
        <v>65031849</v>
      </c>
    </row>
    <row r="1146" spans="1:5" ht="30">
      <c r="A1146" s="68" t="s">
        <v>1005</v>
      </c>
      <c r="B1146" s="69"/>
      <c r="C1146" s="70" t="s">
        <v>1163</v>
      </c>
      <c r="D1146" s="71"/>
      <c r="E1146" s="73">
        <v>64227635</v>
      </c>
    </row>
    <row r="1147" spans="1:5" ht="30">
      <c r="A1147" s="66" t="s">
        <v>1005</v>
      </c>
      <c r="B1147" s="42"/>
      <c r="C1147" s="63" t="s">
        <v>1164</v>
      </c>
      <c r="D1147" s="62"/>
      <c r="E1147" s="67">
        <v>62031382</v>
      </c>
    </row>
    <row r="1148" spans="1:5" ht="30">
      <c r="A1148" s="68" t="s">
        <v>1005</v>
      </c>
      <c r="B1148" s="69"/>
      <c r="C1148" s="70" t="s">
        <v>1165</v>
      </c>
      <c r="D1148" s="71"/>
      <c r="E1148" s="73">
        <v>7270324</v>
      </c>
    </row>
    <row r="1149" spans="1:5" ht="30">
      <c r="A1149" s="66" t="s">
        <v>1005</v>
      </c>
      <c r="B1149" s="42"/>
      <c r="C1149" s="63" t="s">
        <v>1166</v>
      </c>
      <c r="D1149" s="62"/>
      <c r="E1149" s="67">
        <v>66242201</v>
      </c>
    </row>
    <row r="1150" spans="1:5" ht="30">
      <c r="A1150" s="68" t="s">
        <v>1005</v>
      </c>
      <c r="B1150" s="69"/>
      <c r="C1150" s="70" t="s">
        <v>1167</v>
      </c>
      <c r="D1150" s="71"/>
      <c r="E1150" s="73">
        <v>64155521</v>
      </c>
    </row>
    <row r="1151" spans="1:5" ht="30">
      <c r="A1151" s="66" t="s">
        <v>1005</v>
      </c>
      <c r="B1151" s="42"/>
      <c r="C1151" s="63" t="s">
        <v>1168</v>
      </c>
      <c r="D1151" s="62"/>
      <c r="E1151" s="67">
        <v>64647095</v>
      </c>
    </row>
    <row r="1152" spans="1:5" ht="30">
      <c r="A1152" s="68" t="s">
        <v>1005</v>
      </c>
      <c r="B1152" s="69"/>
      <c r="C1152" s="70" t="s">
        <v>1169</v>
      </c>
      <c r="D1152" s="71"/>
      <c r="E1152" s="73">
        <v>63770073</v>
      </c>
    </row>
    <row r="1153" spans="1:5" ht="30">
      <c r="A1153" s="66" t="s">
        <v>1005</v>
      </c>
      <c r="B1153" s="42"/>
      <c r="C1153" s="63" t="s">
        <v>1170</v>
      </c>
      <c r="D1153" s="62"/>
      <c r="E1153" s="67">
        <v>65926475</v>
      </c>
    </row>
    <row r="1154" spans="1:5" ht="30">
      <c r="A1154" s="68" t="s">
        <v>1005</v>
      </c>
      <c r="B1154" s="69"/>
      <c r="C1154" s="70" t="s">
        <v>1171</v>
      </c>
      <c r="D1154" s="71"/>
      <c r="E1154" s="73">
        <v>7773186</v>
      </c>
    </row>
    <row r="1155" spans="1:5" ht="30">
      <c r="A1155" s="66" t="s">
        <v>1005</v>
      </c>
      <c r="B1155" s="42"/>
      <c r="C1155" s="63" t="s">
        <v>1172</v>
      </c>
      <c r="D1155" s="62"/>
      <c r="E1155" s="67">
        <v>68209092</v>
      </c>
    </row>
    <row r="1156" spans="1:5" ht="30">
      <c r="A1156" s="68" t="s">
        <v>1005</v>
      </c>
      <c r="B1156" s="69"/>
      <c r="C1156" s="70" t="s">
        <v>1173</v>
      </c>
      <c r="D1156" s="71"/>
      <c r="E1156" s="73">
        <v>62129230</v>
      </c>
    </row>
    <row r="1157" spans="1:5" ht="30">
      <c r="A1157" s="66" t="s">
        <v>1005</v>
      </c>
      <c r="B1157" s="42"/>
      <c r="C1157" s="63" t="s">
        <v>1174</v>
      </c>
      <c r="D1157" s="62"/>
      <c r="E1157" s="67">
        <v>7745521</v>
      </c>
    </row>
    <row r="1158" spans="1:5" ht="30">
      <c r="A1158" s="68" t="s">
        <v>1005</v>
      </c>
      <c r="B1158" s="69"/>
      <c r="C1158" s="70" t="s">
        <v>1175</v>
      </c>
      <c r="D1158" s="71"/>
      <c r="E1158" s="73">
        <v>7222078</v>
      </c>
    </row>
    <row r="1159" spans="1:5" ht="30">
      <c r="A1159" s="66" t="s">
        <v>1005</v>
      </c>
      <c r="B1159" s="42"/>
      <c r="C1159" s="63" t="s">
        <v>1176</v>
      </c>
      <c r="D1159" s="62"/>
      <c r="E1159" s="67">
        <v>65403804</v>
      </c>
    </row>
    <row r="1160" spans="1:5" ht="30">
      <c r="A1160" s="68" t="s">
        <v>1005</v>
      </c>
      <c r="B1160" s="69"/>
      <c r="C1160" s="70" t="s">
        <v>1177</v>
      </c>
      <c r="D1160" s="71"/>
      <c r="E1160" s="73">
        <v>7758960</v>
      </c>
    </row>
    <row r="1161" spans="1:5" ht="30">
      <c r="A1161" s="66" t="s">
        <v>1005</v>
      </c>
      <c r="B1161" s="42"/>
      <c r="C1161" s="63" t="s">
        <v>1178</v>
      </c>
      <c r="D1161" s="62"/>
      <c r="E1161" s="67">
        <v>66445541</v>
      </c>
    </row>
    <row r="1162" spans="1:5" ht="30">
      <c r="A1162" s="68" t="s">
        <v>1005</v>
      </c>
      <c r="B1162" s="69"/>
      <c r="C1162" s="70" t="s">
        <v>1179</v>
      </c>
      <c r="D1162" s="71"/>
      <c r="E1162" s="73">
        <v>66994835</v>
      </c>
    </row>
    <row r="1163" spans="1:5" ht="30">
      <c r="A1163" s="66" t="s">
        <v>1005</v>
      </c>
      <c r="B1163" s="42"/>
      <c r="C1163" s="63" t="s">
        <v>1180</v>
      </c>
      <c r="D1163" s="62"/>
      <c r="E1163" s="67">
        <v>7307455</v>
      </c>
    </row>
    <row r="1164" spans="1:5" ht="30">
      <c r="A1164" s="68" t="s">
        <v>1005</v>
      </c>
      <c r="B1164" s="69"/>
      <c r="C1164" s="70" t="s">
        <v>1181</v>
      </c>
      <c r="D1164" s="71"/>
      <c r="E1164" s="73">
        <v>68112973</v>
      </c>
    </row>
    <row r="1165" spans="1:5" ht="30">
      <c r="A1165" s="66" t="s">
        <v>1005</v>
      </c>
      <c r="B1165" s="42"/>
      <c r="C1165" s="63" t="s">
        <v>1182</v>
      </c>
      <c r="D1165" s="62"/>
      <c r="E1165" s="67">
        <v>62208728</v>
      </c>
    </row>
    <row r="1166" spans="1:5" ht="30">
      <c r="A1166" s="68" t="s">
        <v>1005</v>
      </c>
      <c r="B1166" s="69"/>
      <c r="C1166" s="70" t="s">
        <v>1183</v>
      </c>
      <c r="D1166" s="71"/>
      <c r="E1166" s="73">
        <v>68049602</v>
      </c>
    </row>
    <row r="1167" spans="1:5" ht="30">
      <c r="A1167" s="66" t="s">
        <v>1005</v>
      </c>
      <c r="B1167" s="42"/>
      <c r="C1167" s="63" t="s">
        <v>1184</v>
      </c>
      <c r="D1167" s="62"/>
      <c r="E1167" s="67">
        <v>65970220</v>
      </c>
    </row>
    <row r="1168" spans="1:5" ht="30">
      <c r="A1168" s="68" t="s">
        <v>1005</v>
      </c>
      <c r="B1168" s="69"/>
      <c r="C1168" s="70" t="s">
        <v>1185</v>
      </c>
      <c r="D1168" s="71"/>
      <c r="E1168" s="73">
        <v>68053609</v>
      </c>
    </row>
    <row r="1169" spans="1:5">
      <c r="A1169" s="66" t="s">
        <v>1186</v>
      </c>
      <c r="B1169" s="42"/>
      <c r="C1169" s="63" t="s">
        <v>1187</v>
      </c>
      <c r="D1169" s="62"/>
      <c r="E1169" s="64">
        <v>69180241</v>
      </c>
    </row>
    <row r="1170" spans="1:5">
      <c r="A1170" s="68" t="s">
        <v>1186</v>
      </c>
      <c r="B1170" s="69"/>
      <c r="C1170" s="70" t="s">
        <v>1188</v>
      </c>
      <c r="D1170" s="71"/>
      <c r="E1170" s="72">
        <v>65915146</v>
      </c>
    </row>
    <row r="1171" spans="1:5">
      <c r="A1171" s="66" t="s">
        <v>1186</v>
      </c>
      <c r="B1171" s="42"/>
      <c r="C1171" s="63" t="s">
        <v>1189</v>
      </c>
      <c r="D1171" s="62"/>
      <c r="E1171" s="64">
        <v>68373101</v>
      </c>
    </row>
    <row r="1172" spans="1:5">
      <c r="A1172" s="68" t="s">
        <v>1186</v>
      </c>
      <c r="B1172" s="69"/>
      <c r="C1172" s="70" t="s">
        <v>1190</v>
      </c>
      <c r="D1172" s="71"/>
      <c r="E1172" s="72">
        <v>66364300</v>
      </c>
    </row>
    <row r="1173" spans="1:5">
      <c r="A1173" s="66" t="s">
        <v>1186</v>
      </c>
      <c r="B1173" s="42"/>
      <c r="C1173" s="63" t="s">
        <v>1191</v>
      </c>
      <c r="D1173" s="62"/>
      <c r="E1173" s="64">
        <v>66006938</v>
      </c>
    </row>
    <row r="1174" spans="1:5">
      <c r="A1174" s="68" t="s">
        <v>1186</v>
      </c>
      <c r="B1174" s="69"/>
      <c r="C1174" s="70" t="s">
        <v>1192</v>
      </c>
      <c r="D1174" s="71"/>
      <c r="E1174" s="72">
        <v>62964555</v>
      </c>
    </row>
    <row r="1175" spans="1:5">
      <c r="A1175" s="66" t="s">
        <v>1186</v>
      </c>
      <c r="B1175" s="42"/>
      <c r="C1175" s="63" t="s">
        <v>1193</v>
      </c>
      <c r="D1175" s="62"/>
      <c r="E1175" s="64">
        <v>66406760</v>
      </c>
    </row>
    <row r="1176" spans="1:5">
      <c r="A1176" s="68" t="s">
        <v>1186</v>
      </c>
      <c r="B1176" s="69"/>
      <c r="C1176" s="70" t="s">
        <v>1194</v>
      </c>
      <c r="D1176" s="71"/>
      <c r="E1176" s="72">
        <v>64333633</v>
      </c>
    </row>
    <row r="1177" spans="1:5">
      <c r="A1177" s="66" t="s">
        <v>1186</v>
      </c>
      <c r="B1177" s="42"/>
      <c r="C1177" s="63" t="s">
        <v>1195</v>
      </c>
      <c r="D1177" s="62"/>
      <c r="E1177" s="64">
        <v>67612927</v>
      </c>
    </row>
    <row r="1178" spans="1:5">
      <c r="A1178" s="68" t="s">
        <v>1186</v>
      </c>
      <c r="B1178" s="69"/>
      <c r="C1178" s="70" t="s">
        <v>1196</v>
      </c>
      <c r="D1178" s="71"/>
      <c r="E1178" s="72">
        <v>62998841</v>
      </c>
    </row>
    <row r="1179" spans="1:5">
      <c r="A1179" s="66" t="s">
        <v>1186</v>
      </c>
      <c r="B1179" s="42"/>
      <c r="C1179" s="63" t="s">
        <v>1197</v>
      </c>
      <c r="D1179" s="62"/>
      <c r="E1179" s="64">
        <v>62296676</v>
      </c>
    </row>
    <row r="1180" spans="1:5">
      <c r="A1180" s="68" t="s">
        <v>1186</v>
      </c>
      <c r="B1180" s="69"/>
      <c r="C1180" s="70" t="s">
        <v>1198</v>
      </c>
      <c r="D1180" s="71"/>
      <c r="E1180" s="72">
        <v>66509401</v>
      </c>
    </row>
    <row r="1181" spans="1:5">
      <c r="A1181" s="66" t="s">
        <v>1186</v>
      </c>
      <c r="B1181" s="42"/>
      <c r="C1181" s="63" t="s">
        <v>1199</v>
      </c>
      <c r="D1181" s="62"/>
      <c r="E1181" s="64">
        <v>65632767</v>
      </c>
    </row>
    <row r="1182" spans="1:5">
      <c r="A1182" s="68" t="s">
        <v>1186</v>
      </c>
      <c r="B1182" s="69"/>
      <c r="C1182" s="70" t="s">
        <v>1200</v>
      </c>
      <c r="D1182" s="71"/>
      <c r="E1182" s="72">
        <v>69694539</v>
      </c>
    </row>
    <row r="1183" spans="1:5">
      <c r="A1183" s="66" t="s">
        <v>1186</v>
      </c>
      <c r="B1183" s="42"/>
      <c r="C1183" s="63" t="s">
        <v>1201</v>
      </c>
      <c r="D1183" s="62"/>
      <c r="E1183" s="64">
        <v>69746229</v>
      </c>
    </row>
    <row r="1184" spans="1:5">
      <c r="A1184" s="68" t="s">
        <v>1186</v>
      </c>
      <c r="B1184" s="69"/>
      <c r="C1184" s="70" t="s">
        <v>1202</v>
      </c>
      <c r="D1184" s="71"/>
      <c r="E1184" s="72">
        <v>64552203</v>
      </c>
    </row>
    <row r="1185" spans="1:5">
      <c r="A1185" s="66" t="s">
        <v>1186</v>
      </c>
      <c r="B1185" s="42"/>
      <c r="C1185" s="63" t="s">
        <v>1203</v>
      </c>
      <c r="D1185" s="62"/>
      <c r="E1185" s="64">
        <v>63684617</v>
      </c>
    </row>
    <row r="1186" spans="1:5">
      <c r="A1186" s="68" t="s">
        <v>1186</v>
      </c>
      <c r="B1186" s="69"/>
      <c r="C1186" s="70" t="s">
        <v>1204</v>
      </c>
      <c r="D1186" s="71"/>
      <c r="E1186" s="72">
        <v>69067182</v>
      </c>
    </row>
    <row r="1187" spans="1:5">
      <c r="A1187" s="66" t="s">
        <v>1186</v>
      </c>
      <c r="B1187" s="42"/>
      <c r="C1187" s="63" t="s">
        <v>1205</v>
      </c>
      <c r="D1187" s="62"/>
      <c r="E1187" s="64">
        <v>63668215</v>
      </c>
    </row>
    <row r="1188" spans="1:5">
      <c r="A1188" s="68" t="s">
        <v>1186</v>
      </c>
      <c r="B1188" s="69"/>
      <c r="C1188" s="70" t="s">
        <v>1206</v>
      </c>
      <c r="D1188" s="71"/>
      <c r="E1188" s="72">
        <v>67793093</v>
      </c>
    </row>
    <row r="1189" spans="1:5">
      <c r="A1189" s="66" t="s">
        <v>1186</v>
      </c>
      <c r="B1189" s="42"/>
      <c r="C1189" s="63" t="s">
        <v>1207</v>
      </c>
      <c r="D1189" s="62"/>
      <c r="E1189" s="64">
        <v>68496192</v>
      </c>
    </row>
    <row r="1190" spans="1:5">
      <c r="A1190" s="68" t="s">
        <v>1186</v>
      </c>
      <c r="B1190" s="69"/>
      <c r="C1190" s="70" t="s">
        <v>1208</v>
      </c>
      <c r="D1190" s="71"/>
      <c r="E1190" s="72">
        <v>64076231</v>
      </c>
    </row>
    <row r="1191" spans="1:5">
      <c r="A1191" s="66" t="s">
        <v>1186</v>
      </c>
      <c r="B1191" s="42"/>
      <c r="C1191" s="63" t="s">
        <v>1209</v>
      </c>
      <c r="D1191" s="62"/>
      <c r="E1191" s="64">
        <v>65232478</v>
      </c>
    </row>
    <row r="1192" spans="1:5">
      <c r="A1192" s="68" t="s">
        <v>1186</v>
      </c>
      <c r="B1192" s="69"/>
      <c r="C1192" s="70" t="s">
        <v>1210</v>
      </c>
      <c r="D1192" s="71"/>
      <c r="E1192" s="72">
        <v>64755502</v>
      </c>
    </row>
    <row r="1193" spans="1:5">
      <c r="A1193" s="66" t="s">
        <v>1186</v>
      </c>
      <c r="B1193" s="42"/>
      <c r="C1193" s="63" t="s">
        <v>1211</v>
      </c>
      <c r="D1193" s="62"/>
      <c r="E1193" s="64">
        <v>66496652</v>
      </c>
    </row>
    <row r="1194" spans="1:5">
      <c r="A1194" s="68" t="s">
        <v>1186</v>
      </c>
      <c r="B1194" s="69"/>
      <c r="C1194" s="70" t="s">
        <v>1212</v>
      </c>
      <c r="D1194" s="71"/>
      <c r="E1194" s="72">
        <v>68534023</v>
      </c>
    </row>
    <row r="1195" spans="1:5">
      <c r="A1195" s="66" t="s">
        <v>1186</v>
      </c>
      <c r="B1195" s="42"/>
      <c r="C1195" s="63" t="s">
        <v>1213</v>
      </c>
      <c r="D1195" s="62"/>
      <c r="E1195" s="64">
        <v>67995875</v>
      </c>
    </row>
    <row r="1196" spans="1:5">
      <c r="A1196" s="68" t="s">
        <v>1186</v>
      </c>
      <c r="B1196" s="69"/>
      <c r="C1196" s="70" t="s">
        <v>1214</v>
      </c>
      <c r="D1196" s="71"/>
      <c r="E1196" s="72">
        <v>69608336</v>
      </c>
    </row>
    <row r="1197" spans="1:5">
      <c r="A1197" s="66" t="s">
        <v>1186</v>
      </c>
      <c r="B1197" s="42"/>
      <c r="C1197" s="63" t="s">
        <v>1215</v>
      </c>
      <c r="D1197" s="62"/>
      <c r="E1197" s="64">
        <v>66862857</v>
      </c>
    </row>
    <row r="1198" spans="1:5">
      <c r="A1198" s="68" t="s">
        <v>1186</v>
      </c>
      <c r="B1198" s="69"/>
      <c r="C1198" s="70" t="s">
        <v>1216</v>
      </c>
      <c r="D1198" s="71"/>
      <c r="E1198" s="72">
        <v>64611554</v>
      </c>
    </row>
    <row r="1199" spans="1:5">
      <c r="A1199" s="66" t="s">
        <v>1186</v>
      </c>
      <c r="B1199" s="42"/>
      <c r="C1199" s="63" t="s">
        <v>1217</v>
      </c>
      <c r="D1199" s="62"/>
      <c r="E1199" s="64">
        <v>7307340</v>
      </c>
    </row>
    <row r="1200" spans="1:5">
      <c r="A1200" s="68" t="s">
        <v>1186</v>
      </c>
      <c r="B1200" s="69"/>
      <c r="C1200" s="70" t="s">
        <v>1218</v>
      </c>
      <c r="D1200" s="71"/>
      <c r="E1200" s="72">
        <v>68959323</v>
      </c>
    </row>
    <row r="1201" spans="1:5">
      <c r="A1201" s="66" t="s">
        <v>1186</v>
      </c>
      <c r="B1201" s="42"/>
      <c r="C1201" s="63" t="s">
        <v>1219</v>
      </c>
      <c r="D1201" s="62"/>
      <c r="E1201" s="64">
        <v>62369147</v>
      </c>
    </row>
    <row r="1202" spans="1:5">
      <c r="A1202" s="68" t="s">
        <v>1186</v>
      </c>
      <c r="B1202" s="69"/>
      <c r="C1202" s="70" t="s">
        <v>1220</v>
      </c>
      <c r="D1202" s="71"/>
      <c r="E1202" s="72">
        <v>64375045</v>
      </c>
    </row>
    <row r="1203" spans="1:5">
      <c r="A1203" s="66" t="s">
        <v>1186</v>
      </c>
      <c r="B1203" s="42"/>
      <c r="C1203" s="63" t="s">
        <v>1221</v>
      </c>
      <c r="D1203" s="62"/>
      <c r="E1203" s="64">
        <v>62995774</v>
      </c>
    </row>
    <row r="1204" spans="1:5">
      <c r="A1204" s="68" t="s">
        <v>1186</v>
      </c>
      <c r="B1204" s="69"/>
      <c r="C1204" s="70" t="s">
        <v>1222</v>
      </c>
      <c r="D1204" s="71"/>
      <c r="E1204" s="72">
        <v>7302361</v>
      </c>
    </row>
    <row r="1205" spans="1:5">
      <c r="A1205" s="66" t="s">
        <v>1186</v>
      </c>
      <c r="B1205" s="42"/>
      <c r="C1205" s="63" t="s">
        <v>1223</v>
      </c>
      <c r="D1205" s="62"/>
      <c r="E1205" s="64">
        <v>66361941</v>
      </c>
    </row>
    <row r="1206" spans="1:5">
      <c r="A1206" s="68" t="s">
        <v>1186</v>
      </c>
      <c r="B1206" s="69"/>
      <c r="C1206" s="70" t="s">
        <v>1224</v>
      </c>
      <c r="D1206" s="71"/>
      <c r="E1206" s="72">
        <v>68973486</v>
      </c>
    </row>
    <row r="1207" spans="1:5">
      <c r="A1207" s="66" t="s">
        <v>1186</v>
      </c>
      <c r="B1207" s="42"/>
      <c r="C1207" s="63" t="s">
        <v>1225</v>
      </c>
      <c r="D1207" s="62"/>
      <c r="E1207" s="64">
        <v>63894871</v>
      </c>
    </row>
    <row r="1208" spans="1:5">
      <c r="A1208" s="68" t="s">
        <v>1186</v>
      </c>
      <c r="B1208" s="69"/>
      <c r="C1208" s="70" t="s">
        <v>1226</v>
      </c>
      <c r="D1208" s="71"/>
      <c r="E1208" s="72">
        <v>62955938</v>
      </c>
    </row>
    <row r="1209" spans="1:5">
      <c r="A1209" s="66" t="s">
        <v>1186</v>
      </c>
      <c r="B1209" s="42"/>
      <c r="C1209" s="63" t="s">
        <v>1227</v>
      </c>
      <c r="D1209" s="62"/>
      <c r="E1209" s="64">
        <v>65425830</v>
      </c>
    </row>
    <row r="1210" spans="1:5">
      <c r="A1210" s="68" t="s">
        <v>1186</v>
      </c>
      <c r="B1210" s="69"/>
      <c r="C1210" s="70" t="s">
        <v>1228</v>
      </c>
      <c r="D1210" s="71"/>
      <c r="E1210" s="72">
        <v>67312197</v>
      </c>
    </row>
    <row r="1211" spans="1:5">
      <c r="A1211" s="66" t="s">
        <v>1186</v>
      </c>
      <c r="B1211" s="42"/>
      <c r="C1211" s="63" t="s">
        <v>1229</v>
      </c>
      <c r="D1211" s="62"/>
      <c r="E1211" s="64">
        <v>66643237</v>
      </c>
    </row>
    <row r="1212" spans="1:5">
      <c r="A1212" s="68" t="s">
        <v>1186</v>
      </c>
      <c r="B1212" s="69"/>
      <c r="C1212" s="70" t="s">
        <v>1230</v>
      </c>
      <c r="D1212" s="71"/>
      <c r="E1212" s="73">
        <v>67301700</v>
      </c>
    </row>
    <row r="1213" spans="1:5">
      <c r="A1213" s="66" t="s">
        <v>1186</v>
      </c>
      <c r="B1213" s="42"/>
      <c r="C1213" s="63" t="s">
        <v>1231</v>
      </c>
      <c r="D1213" s="62"/>
      <c r="E1213" s="67">
        <v>7306885</v>
      </c>
    </row>
    <row r="1214" spans="1:5">
      <c r="A1214" s="68" t="s">
        <v>1186</v>
      </c>
      <c r="B1214" s="69"/>
      <c r="C1214" s="70" t="s">
        <v>1232</v>
      </c>
      <c r="D1214" s="71"/>
      <c r="E1214" s="73">
        <v>7748508</v>
      </c>
    </row>
    <row r="1215" spans="1:5">
      <c r="A1215" s="66" t="s">
        <v>1186</v>
      </c>
      <c r="B1215" s="42"/>
      <c r="C1215" s="63" t="s">
        <v>1233</v>
      </c>
      <c r="D1215" s="62"/>
      <c r="E1215" s="67">
        <v>66570182</v>
      </c>
    </row>
    <row r="1216" spans="1:5">
      <c r="A1216" s="68" t="s">
        <v>1186</v>
      </c>
      <c r="B1216" s="69"/>
      <c r="C1216" s="70" t="s">
        <v>1234</v>
      </c>
      <c r="D1216" s="71"/>
      <c r="E1216" s="72">
        <v>65770051</v>
      </c>
    </row>
    <row r="1217" spans="1:5">
      <c r="A1217" s="66" t="s">
        <v>1186</v>
      </c>
      <c r="B1217" s="42"/>
      <c r="C1217" s="63" t="s">
        <v>1235</v>
      </c>
      <c r="D1217" s="62"/>
      <c r="E1217" s="64">
        <v>63129944</v>
      </c>
    </row>
    <row r="1218" spans="1:5">
      <c r="A1218" s="68" t="s">
        <v>1186</v>
      </c>
      <c r="B1218" s="69"/>
      <c r="C1218" s="70" t="s">
        <v>1236</v>
      </c>
      <c r="D1218" s="71"/>
      <c r="E1218" s="72">
        <v>62049889</v>
      </c>
    </row>
    <row r="1219" spans="1:5">
      <c r="A1219" s="66" t="s">
        <v>1186</v>
      </c>
      <c r="B1219" s="42"/>
      <c r="C1219" s="63" t="s">
        <v>1237</v>
      </c>
      <c r="D1219" s="62"/>
      <c r="E1219" s="64">
        <v>67111689</v>
      </c>
    </row>
    <row r="1220" spans="1:5">
      <c r="A1220" s="68" t="s">
        <v>1186</v>
      </c>
      <c r="B1220" s="69"/>
      <c r="C1220" s="70" t="s">
        <v>1238</v>
      </c>
      <c r="D1220" s="71"/>
      <c r="E1220" s="72">
        <v>64434703</v>
      </c>
    </row>
    <row r="1221" spans="1:5">
      <c r="A1221" s="66" t="s">
        <v>1186</v>
      </c>
      <c r="B1221" s="42"/>
      <c r="C1221" s="63" t="s">
        <v>1239</v>
      </c>
      <c r="D1221" s="62"/>
      <c r="E1221" s="64">
        <v>63542117</v>
      </c>
    </row>
    <row r="1222" spans="1:5">
      <c r="A1222" s="68" t="s">
        <v>1186</v>
      </c>
      <c r="B1222" s="69"/>
      <c r="C1222" s="70" t="s">
        <v>1240</v>
      </c>
      <c r="D1222" s="71"/>
      <c r="E1222" s="72">
        <v>68110598</v>
      </c>
    </row>
    <row r="1223" spans="1:5">
      <c r="A1223" s="66" t="s">
        <v>1186</v>
      </c>
      <c r="B1223" s="42"/>
      <c r="C1223" s="63" t="s">
        <v>1241</v>
      </c>
      <c r="D1223" s="62"/>
      <c r="E1223" s="64">
        <v>7760203</v>
      </c>
    </row>
    <row r="1224" spans="1:5">
      <c r="A1224" s="68" t="s">
        <v>1186</v>
      </c>
      <c r="B1224" s="69"/>
      <c r="C1224" s="70" t="s">
        <v>1242</v>
      </c>
      <c r="D1224" s="71"/>
      <c r="E1224" s="72">
        <v>7305735</v>
      </c>
    </row>
    <row r="1225" spans="1:5">
      <c r="A1225" s="66" t="s">
        <v>1186</v>
      </c>
      <c r="B1225" s="42"/>
      <c r="C1225" s="63" t="s">
        <v>1243</v>
      </c>
      <c r="D1225" s="62"/>
      <c r="E1225" s="64">
        <v>7753373</v>
      </c>
    </row>
    <row r="1226" spans="1:5">
      <c r="A1226" s="68" t="s">
        <v>1186</v>
      </c>
      <c r="B1226" s="69"/>
      <c r="C1226" s="70" t="s">
        <v>1244</v>
      </c>
      <c r="D1226" s="71"/>
      <c r="E1226" s="72">
        <v>65726994</v>
      </c>
    </row>
    <row r="1227" spans="1:5">
      <c r="A1227" s="66" t="s">
        <v>1186</v>
      </c>
      <c r="B1227" s="42"/>
      <c r="C1227" s="63" t="s">
        <v>1245</v>
      </c>
      <c r="D1227" s="62"/>
      <c r="E1227" s="64">
        <v>66468825</v>
      </c>
    </row>
    <row r="1228" spans="1:5">
      <c r="A1228" s="68" t="s">
        <v>1186</v>
      </c>
      <c r="B1228" s="69"/>
      <c r="C1228" s="70" t="s">
        <v>1246</v>
      </c>
      <c r="D1228" s="71"/>
      <c r="E1228" s="72">
        <v>68755758</v>
      </c>
    </row>
    <row r="1229" spans="1:5">
      <c r="A1229" s="66" t="s">
        <v>1186</v>
      </c>
      <c r="B1229" s="42"/>
      <c r="C1229" s="63" t="s">
        <v>1247</v>
      </c>
      <c r="D1229" s="62"/>
      <c r="E1229" s="64">
        <v>62870941</v>
      </c>
    </row>
    <row r="1230" spans="1:5">
      <c r="A1230" s="68" t="s">
        <v>1186</v>
      </c>
      <c r="B1230" s="69"/>
      <c r="C1230" s="70" t="s">
        <v>1248</v>
      </c>
      <c r="D1230" s="71"/>
      <c r="E1230" s="72">
        <v>68134589</v>
      </c>
    </row>
    <row r="1231" spans="1:5">
      <c r="A1231" s="66" t="s">
        <v>1186</v>
      </c>
      <c r="B1231" s="42"/>
      <c r="C1231" s="63" t="s">
        <v>1249</v>
      </c>
      <c r="D1231" s="62"/>
      <c r="E1231" s="64">
        <v>68681604</v>
      </c>
    </row>
    <row r="1232" spans="1:5">
      <c r="A1232" s="68" t="s">
        <v>1186</v>
      </c>
      <c r="B1232" s="69"/>
      <c r="C1232" s="70" t="s">
        <v>1250</v>
      </c>
      <c r="D1232" s="71"/>
      <c r="E1232" s="72">
        <v>64653327</v>
      </c>
    </row>
    <row r="1233" spans="1:5">
      <c r="A1233" s="66" t="s">
        <v>1186</v>
      </c>
      <c r="B1233" s="42"/>
      <c r="C1233" s="63" t="s">
        <v>1251</v>
      </c>
      <c r="D1233" s="62"/>
      <c r="E1233" s="64">
        <v>68240457</v>
      </c>
    </row>
    <row r="1234" spans="1:5">
      <c r="A1234" s="68" t="s">
        <v>1186</v>
      </c>
      <c r="B1234" s="69"/>
      <c r="C1234" s="70" t="s">
        <v>1252</v>
      </c>
      <c r="D1234" s="71"/>
      <c r="E1234" s="72">
        <v>67603692</v>
      </c>
    </row>
    <row r="1235" spans="1:5">
      <c r="A1235" s="66" t="s">
        <v>1186</v>
      </c>
      <c r="B1235" s="42"/>
      <c r="C1235" s="63" t="s">
        <v>1253</v>
      </c>
      <c r="D1235" s="62"/>
      <c r="E1235" s="64">
        <v>62088334</v>
      </c>
    </row>
    <row r="1236" spans="1:5">
      <c r="A1236" s="68" t="s">
        <v>1186</v>
      </c>
      <c r="B1236" s="69"/>
      <c r="C1236" s="70" t="s">
        <v>1254</v>
      </c>
      <c r="D1236" s="71"/>
      <c r="E1236" s="72">
        <v>66494382</v>
      </c>
    </row>
    <row r="1237" spans="1:5">
      <c r="A1237" s="66" t="s">
        <v>1186</v>
      </c>
      <c r="B1237" s="42"/>
      <c r="C1237" s="63" t="s">
        <v>1255</v>
      </c>
      <c r="D1237" s="62"/>
      <c r="E1237" s="64">
        <v>67979671</v>
      </c>
    </row>
    <row r="1238" spans="1:5">
      <c r="A1238" s="68" t="s">
        <v>1186</v>
      </c>
      <c r="B1238" s="69"/>
      <c r="C1238" s="70" t="s">
        <v>1256</v>
      </c>
      <c r="D1238" s="71"/>
      <c r="E1238" s="72">
        <v>66409692</v>
      </c>
    </row>
    <row r="1239" spans="1:5">
      <c r="A1239" s="66" t="s">
        <v>1186</v>
      </c>
      <c r="B1239" s="42"/>
      <c r="C1239" s="63" t="s">
        <v>1257</v>
      </c>
      <c r="D1239" s="62"/>
      <c r="E1239" s="64">
        <v>7308986</v>
      </c>
    </row>
    <row r="1240" spans="1:5">
      <c r="A1240" s="68" t="s">
        <v>1186</v>
      </c>
      <c r="B1240" s="69"/>
      <c r="C1240" s="70" t="s">
        <v>1258</v>
      </c>
      <c r="D1240" s="71"/>
      <c r="E1240" s="72">
        <v>63849822</v>
      </c>
    </row>
    <row r="1241" spans="1:5">
      <c r="A1241" s="66" t="s">
        <v>1186</v>
      </c>
      <c r="B1241" s="42"/>
      <c r="C1241" s="63" t="s">
        <v>1259</v>
      </c>
      <c r="D1241" s="62"/>
      <c r="E1241" s="64">
        <v>67091825</v>
      </c>
    </row>
    <row r="1242" spans="1:5">
      <c r="A1242" s="68" t="s">
        <v>1186</v>
      </c>
      <c r="B1242" s="69"/>
      <c r="C1242" s="70" t="s">
        <v>1260</v>
      </c>
      <c r="D1242" s="71"/>
      <c r="E1242" s="72">
        <v>64283168</v>
      </c>
    </row>
    <row r="1243" spans="1:5">
      <c r="A1243" s="66" t="s">
        <v>1186</v>
      </c>
      <c r="B1243" s="42"/>
      <c r="C1243" s="63" t="s">
        <v>1261</v>
      </c>
      <c r="D1243" s="62"/>
      <c r="E1243" s="64">
        <v>65412182</v>
      </c>
    </row>
    <row r="1244" spans="1:5">
      <c r="A1244" s="68" t="s">
        <v>1186</v>
      </c>
      <c r="B1244" s="69"/>
      <c r="C1244" s="70" t="s">
        <v>1262</v>
      </c>
      <c r="D1244" s="71"/>
      <c r="E1244" s="72">
        <v>68228605</v>
      </c>
    </row>
    <row r="1245" spans="1:5">
      <c r="A1245" s="66" t="s">
        <v>1186</v>
      </c>
      <c r="B1245" s="42"/>
      <c r="C1245" s="63" t="s">
        <v>1263</v>
      </c>
      <c r="D1245" s="62"/>
      <c r="E1245" s="64">
        <v>68564719</v>
      </c>
    </row>
    <row r="1246" spans="1:5">
      <c r="A1246" s="68" t="s">
        <v>1186</v>
      </c>
      <c r="B1246" s="69"/>
      <c r="C1246" s="70" t="s">
        <v>1264</v>
      </c>
      <c r="D1246" s="71"/>
      <c r="E1246" s="72">
        <v>65207716</v>
      </c>
    </row>
    <row r="1247" spans="1:5">
      <c r="A1247" s="66" t="s">
        <v>1186</v>
      </c>
      <c r="B1247" s="42"/>
      <c r="C1247" s="63" t="s">
        <v>1265</v>
      </c>
      <c r="D1247" s="62"/>
      <c r="E1247" s="64">
        <v>64909993</v>
      </c>
    </row>
    <row r="1248" spans="1:5">
      <c r="A1248" s="68" t="s">
        <v>1186</v>
      </c>
      <c r="B1248" s="69"/>
      <c r="C1248" s="70" t="s">
        <v>1266</v>
      </c>
      <c r="D1248" s="71"/>
      <c r="E1248" s="72">
        <v>64881595</v>
      </c>
    </row>
    <row r="1249" spans="1:5">
      <c r="A1249" s="66" t="s">
        <v>1186</v>
      </c>
      <c r="B1249" s="42"/>
      <c r="C1249" s="63" t="s">
        <v>1267</v>
      </c>
      <c r="D1249" s="62"/>
      <c r="E1249" s="64">
        <v>69243453</v>
      </c>
    </row>
    <row r="1250" spans="1:5">
      <c r="A1250" s="68" t="s">
        <v>1186</v>
      </c>
      <c r="B1250" s="69"/>
      <c r="C1250" s="70" t="s">
        <v>1268</v>
      </c>
      <c r="D1250" s="71"/>
      <c r="E1250" s="72">
        <v>7222064</v>
      </c>
    </row>
    <row r="1251" spans="1:5">
      <c r="A1251" s="66" t="s">
        <v>1186</v>
      </c>
      <c r="B1251" s="42"/>
      <c r="C1251" s="63" t="s">
        <v>1269</v>
      </c>
      <c r="D1251" s="62"/>
      <c r="E1251" s="64">
        <v>67819293</v>
      </c>
    </row>
    <row r="1252" spans="1:5">
      <c r="A1252" s="68" t="s">
        <v>1186</v>
      </c>
      <c r="B1252" s="69"/>
      <c r="C1252" s="70" t="s">
        <v>1270</v>
      </c>
      <c r="D1252" s="71"/>
      <c r="E1252" s="72">
        <v>69298666</v>
      </c>
    </row>
    <row r="1253" spans="1:5">
      <c r="A1253" s="66" t="s">
        <v>1186</v>
      </c>
      <c r="B1253" s="42"/>
      <c r="C1253" s="63" t="s">
        <v>1271</v>
      </c>
      <c r="D1253" s="62"/>
      <c r="E1253" s="64">
        <v>62429583</v>
      </c>
    </row>
    <row r="1254" spans="1:5">
      <c r="A1254" s="68" t="s">
        <v>1186</v>
      </c>
      <c r="B1254" s="69"/>
      <c r="C1254" s="70" t="s">
        <v>1272</v>
      </c>
      <c r="D1254" s="71"/>
      <c r="E1254" s="72">
        <v>67983126</v>
      </c>
    </row>
    <row r="1255" spans="1:5">
      <c r="A1255" s="66" t="s">
        <v>1186</v>
      </c>
      <c r="B1255" s="42"/>
      <c r="C1255" s="63" t="s">
        <v>1273</v>
      </c>
      <c r="D1255" s="62"/>
      <c r="E1255" s="64">
        <v>69417160</v>
      </c>
    </row>
    <row r="1256" spans="1:5">
      <c r="A1256" s="68" t="s">
        <v>1186</v>
      </c>
      <c r="B1256" s="69"/>
      <c r="C1256" s="70" t="s">
        <v>1274</v>
      </c>
      <c r="D1256" s="71"/>
      <c r="E1256" s="72">
        <v>66266516</v>
      </c>
    </row>
    <row r="1257" spans="1:5">
      <c r="A1257" s="66" t="s">
        <v>1186</v>
      </c>
      <c r="B1257" s="42"/>
      <c r="C1257" s="63" t="s">
        <v>1275</v>
      </c>
      <c r="D1257" s="62"/>
      <c r="E1257" s="64">
        <v>69874830</v>
      </c>
    </row>
    <row r="1258" spans="1:5">
      <c r="A1258" s="68" t="s">
        <v>1186</v>
      </c>
      <c r="B1258" s="69"/>
      <c r="C1258" s="70" t="s">
        <v>1276</v>
      </c>
      <c r="D1258" s="71"/>
      <c r="E1258" s="72">
        <v>68128891</v>
      </c>
    </row>
    <row r="1259" spans="1:5">
      <c r="A1259" s="66" t="s">
        <v>1186</v>
      </c>
      <c r="B1259" s="42"/>
      <c r="C1259" s="63" t="s">
        <v>1277</v>
      </c>
      <c r="D1259" s="62"/>
      <c r="E1259" s="64">
        <v>63950234</v>
      </c>
    </row>
    <row r="1260" spans="1:5">
      <c r="A1260" s="68" t="s">
        <v>1186</v>
      </c>
      <c r="B1260" s="69"/>
      <c r="C1260" s="70" t="s">
        <v>1278</v>
      </c>
      <c r="D1260" s="71"/>
      <c r="E1260" s="72">
        <v>65249395</v>
      </c>
    </row>
    <row r="1261" spans="1:5">
      <c r="A1261" s="66" t="s">
        <v>1186</v>
      </c>
      <c r="B1261" s="42"/>
      <c r="C1261" s="63" t="s">
        <v>1279</v>
      </c>
      <c r="D1261" s="62"/>
      <c r="E1261" s="64">
        <v>67344173</v>
      </c>
    </row>
    <row r="1262" spans="1:5">
      <c r="A1262" s="68" t="s">
        <v>1186</v>
      </c>
      <c r="B1262" s="69"/>
      <c r="C1262" s="70" t="s">
        <v>1280</v>
      </c>
      <c r="D1262" s="71"/>
      <c r="E1262" s="72">
        <v>7204860</v>
      </c>
    </row>
    <row r="1263" spans="1:5">
      <c r="A1263" s="66" t="s">
        <v>1186</v>
      </c>
      <c r="B1263" s="42"/>
      <c r="C1263" s="63" t="s">
        <v>1281</v>
      </c>
      <c r="D1263" s="62"/>
      <c r="E1263" s="64">
        <v>7769144</v>
      </c>
    </row>
    <row r="1264" spans="1:5">
      <c r="A1264" s="68" t="s">
        <v>1186</v>
      </c>
      <c r="B1264" s="69"/>
      <c r="C1264" s="70" t="s">
        <v>1282</v>
      </c>
      <c r="D1264" s="71"/>
      <c r="E1264" s="72">
        <v>67976494</v>
      </c>
    </row>
    <row r="1265" spans="1:5">
      <c r="A1265" s="66" t="s">
        <v>1186</v>
      </c>
      <c r="B1265" s="42"/>
      <c r="C1265" s="63" t="s">
        <v>1283</v>
      </c>
      <c r="D1265" s="62"/>
      <c r="E1265" s="64">
        <v>67562176</v>
      </c>
    </row>
    <row r="1266" spans="1:5">
      <c r="A1266" s="68" t="s">
        <v>1186</v>
      </c>
      <c r="B1266" s="69"/>
      <c r="C1266" s="70" t="s">
        <v>1284</v>
      </c>
      <c r="D1266" s="71"/>
      <c r="E1266" s="72">
        <v>67056397</v>
      </c>
    </row>
    <row r="1267" spans="1:5">
      <c r="A1267" s="66" t="s">
        <v>1186</v>
      </c>
      <c r="B1267" s="42"/>
      <c r="C1267" s="63" t="s">
        <v>1285</v>
      </c>
      <c r="D1267" s="62"/>
      <c r="E1267" s="64">
        <v>66086201</v>
      </c>
    </row>
    <row r="1268" spans="1:5">
      <c r="A1268" s="68" t="s">
        <v>1186</v>
      </c>
      <c r="B1268" s="69"/>
      <c r="C1268" s="70" t="s">
        <v>1286</v>
      </c>
      <c r="D1268" s="71"/>
      <c r="E1268" s="72">
        <v>62809724</v>
      </c>
    </row>
    <row r="1269" spans="1:5">
      <c r="A1269" s="66" t="s">
        <v>1186</v>
      </c>
      <c r="B1269" s="42"/>
      <c r="C1269" s="63" t="s">
        <v>1287</v>
      </c>
      <c r="D1269" s="62"/>
      <c r="E1269" s="64">
        <v>65742409</v>
      </c>
    </row>
    <row r="1270" spans="1:5">
      <c r="A1270" s="68" t="s">
        <v>1186</v>
      </c>
      <c r="B1270" s="69"/>
      <c r="C1270" s="70" t="s">
        <v>1288</v>
      </c>
      <c r="D1270" s="71"/>
      <c r="E1270" s="72">
        <v>68958965</v>
      </c>
    </row>
    <row r="1271" spans="1:5">
      <c r="A1271" s="66" t="s">
        <v>1186</v>
      </c>
      <c r="B1271" s="42"/>
      <c r="C1271" s="63" t="s">
        <v>1289</v>
      </c>
      <c r="D1271" s="62"/>
      <c r="E1271" s="64">
        <v>65383565</v>
      </c>
    </row>
    <row r="1272" spans="1:5">
      <c r="A1272" s="68" t="s">
        <v>1186</v>
      </c>
      <c r="B1272" s="69"/>
      <c r="C1272" s="70" t="s">
        <v>1290</v>
      </c>
      <c r="D1272" s="71"/>
      <c r="E1272" s="72">
        <v>62760742</v>
      </c>
    </row>
    <row r="1273" spans="1:5">
      <c r="A1273" s="66" t="s">
        <v>1186</v>
      </c>
      <c r="B1273" s="42"/>
      <c r="C1273" s="63" t="s">
        <v>1291</v>
      </c>
      <c r="D1273" s="62"/>
      <c r="E1273" s="64">
        <v>64815678</v>
      </c>
    </row>
    <row r="1274" spans="1:5">
      <c r="A1274" s="68" t="s">
        <v>1186</v>
      </c>
      <c r="B1274" s="69"/>
      <c r="C1274" s="70" t="s">
        <v>1292</v>
      </c>
      <c r="D1274" s="71"/>
      <c r="E1274" s="72">
        <v>62449989</v>
      </c>
    </row>
    <row r="1275" spans="1:5">
      <c r="A1275" s="66" t="s">
        <v>1186</v>
      </c>
      <c r="B1275" s="42"/>
      <c r="C1275" s="63" t="s">
        <v>1293</v>
      </c>
      <c r="D1275" s="62"/>
      <c r="E1275" s="64">
        <v>7772217</v>
      </c>
    </row>
    <row r="1276" spans="1:5">
      <c r="A1276" s="68" t="s">
        <v>1186</v>
      </c>
      <c r="B1276" s="69"/>
      <c r="C1276" s="70" t="s">
        <v>1294</v>
      </c>
      <c r="D1276" s="71"/>
      <c r="E1276" s="72">
        <v>64392206</v>
      </c>
    </row>
    <row r="1277" spans="1:5">
      <c r="A1277" s="66" t="s">
        <v>1186</v>
      </c>
      <c r="B1277" s="42"/>
      <c r="C1277" s="63" t="s">
        <v>1295</v>
      </c>
      <c r="D1277" s="62"/>
      <c r="E1277" s="64">
        <v>66956690</v>
      </c>
    </row>
    <row r="1278" spans="1:5">
      <c r="A1278" s="68" t="s">
        <v>1186</v>
      </c>
      <c r="B1278" s="69"/>
      <c r="C1278" s="70" t="s">
        <v>1296</v>
      </c>
      <c r="D1278" s="71"/>
      <c r="E1278" s="72">
        <v>68126280</v>
      </c>
    </row>
    <row r="1279" spans="1:5">
      <c r="A1279" s="66" t="s">
        <v>1186</v>
      </c>
      <c r="B1279" s="42"/>
      <c r="C1279" s="63" t="s">
        <v>1297</v>
      </c>
      <c r="D1279" s="62"/>
      <c r="E1279" s="64">
        <v>63140536</v>
      </c>
    </row>
    <row r="1280" spans="1:5">
      <c r="A1280" s="68" t="s">
        <v>1186</v>
      </c>
      <c r="B1280" s="69"/>
      <c r="C1280" s="70" t="s">
        <v>1298</v>
      </c>
      <c r="D1280" s="71"/>
      <c r="E1280" s="72">
        <v>68936276</v>
      </c>
    </row>
    <row r="1281" spans="1:5">
      <c r="A1281" s="66" t="s">
        <v>1186</v>
      </c>
      <c r="B1281" s="42"/>
      <c r="C1281" s="63" t="s">
        <v>1299</v>
      </c>
      <c r="D1281" s="62"/>
      <c r="E1281" s="64">
        <v>61944940</v>
      </c>
    </row>
    <row r="1282" spans="1:5">
      <c r="A1282" s="68" t="s">
        <v>1186</v>
      </c>
      <c r="B1282" s="69"/>
      <c r="C1282" s="70" t="s">
        <v>1300</v>
      </c>
      <c r="D1282" s="71"/>
      <c r="E1282" s="72">
        <v>65838791</v>
      </c>
    </row>
    <row r="1283" spans="1:5">
      <c r="A1283" s="66" t="s">
        <v>1186</v>
      </c>
      <c r="B1283" s="42"/>
      <c r="C1283" s="63" t="s">
        <v>1301</v>
      </c>
      <c r="D1283" s="62"/>
      <c r="E1283" s="64">
        <v>63484885</v>
      </c>
    </row>
    <row r="1284" spans="1:5">
      <c r="A1284" s="68" t="s">
        <v>1186</v>
      </c>
      <c r="B1284" s="69"/>
      <c r="C1284" s="70" t="s">
        <v>1302</v>
      </c>
      <c r="D1284" s="71"/>
      <c r="E1284" s="72">
        <v>68518266</v>
      </c>
    </row>
    <row r="1285" spans="1:5">
      <c r="A1285" s="66" t="s">
        <v>1186</v>
      </c>
      <c r="B1285" s="42"/>
      <c r="C1285" s="63" t="s">
        <v>1303</v>
      </c>
      <c r="D1285" s="62"/>
      <c r="E1285" s="64">
        <v>69727298</v>
      </c>
    </row>
    <row r="1286" spans="1:5">
      <c r="A1286" s="68" t="s">
        <v>1186</v>
      </c>
      <c r="B1286" s="69"/>
      <c r="C1286" s="70" t="s">
        <v>1304</v>
      </c>
      <c r="D1286" s="71"/>
      <c r="E1286" s="72">
        <v>64541860</v>
      </c>
    </row>
    <row r="1287" spans="1:5">
      <c r="A1287" s="66" t="s">
        <v>1186</v>
      </c>
      <c r="B1287" s="42"/>
      <c r="C1287" s="63" t="s">
        <v>1305</v>
      </c>
      <c r="D1287" s="62"/>
      <c r="E1287" s="64">
        <v>68310274</v>
      </c>
    </row>
    <row r="1288" spans="1:5">
      <c r="A1288" s="68" t="s">
        <v>1186</v>
      </c>
      <c r="B1288" s="69"/>
      <c r="C1288" s="70" t="s">
        <v>1306</v>
      </c>
      <c r="D1288" s="71"/>
      <c r="E1288" s="72">
        <v>67985177</v>
      </c>
    </row>
    <row r="1289" spans="1:5">
      <c r="A1289" s="66" t="s">
        <v>1186</v>
      </c>
      <c r="B1289" s="42"/>
      <c r="C1289" s="63" t="s">
        <v>1307</v>
      </c>
      <c r="D1289" s="62"/>
      <c r="E1289" s="64">
        <v>64313799</v>
      </c>
    </row>
    <row r="1290" spans="1:5">
      <c r="A1290" s="68" t="s">
        <v>1186</v>
      </c>
      <c r="B1290" s="69"/>
      <c r="C1290" s="70" t="s">
        <v>1308</v>
      </c>
      <c r="D1290" s="71"/>
      <c r="E1290" s="72">
        <v>63611560</v>
      </c>
    </row>
    <row r="1291" spans="1:5">
      <c r="A1291" s="66" t="s">
        <v>1186</v>
      </c>
      <c r="B1291" s="42"/>
      <c r="C1291" s="63" t="s">
        <v>1309</v>
      </c>
      <c r="D1291" s="62"/>
      <c r="E1291" s="64">
        <v>7305927</v>
      </c>
    </row>
    <row r="1292" spans="1:5">
      <c r="A1292" s="68" t="s">
        <v>1186</v>
      </c>
      <c r="B1292" s="69"/>
      <c r="C1292" s="70" t="s">
        <v>1310</v>
      </c>
      <c r="D1292" s="71"/>
      <c r="E1292" s="72">
        <v>7790084</v>
      </c>
    </row>
    <row r="1293" spans="1:5">
      <c r="A1293" s="66" t="s">
        <v>1186</v>
      </c>
      <c r="B1293" s="42"/>
      <c r="C1293" s="63" t="s">
        <v>1311</v>
      </c>
      <c r="D1293" s="62"/>
      <c r="E1293" s="64">
        <v>63962181</v>
      </c>
    </row>
    <row r="1294" spans="1:5">
      <c r="A1294" s="68" t="s">
        <v>1186</v>
      </c>
      <c r="B1294" s="69"/>
      <c r="C1294" s="70" t="s">
        <v>1312</v>
      </c>
      <c r="D1294" s="71"/>
      <c r="E1294" s="72">
        <v>66433141</v>
      </c>
    </row>
    <row r="1295" spans="1:5">
      <c r="A1295" s="66" t="s">
        <v>1186</v>
      </c>
      <c r="B1295" s="42"/>
      <c r="C1295" s="63" t="s">
        <v>1313</v>
      </c>
      <c r="D1295" s="62"/>
      <c r="E1295" s="64">
        <v>63610046</v>
      </c>
    </row>
    <row r="1296" spans="1:5">
      <c r="A1296" s="68" t="s">
        <v>1186</v>
      </c>
      <c r="B1296" s="69"/>
      <c r="C1296" s="70" t="s">
        <v>1314</v>
      </c>
      <c r="D1296" s="71"/>
      <c r="E1296" s="72">
        <v>69010234</v>
      </c>
    </row>
    <row r="1297" spans="1:5">
      <c r="A1297" s="66" t="s">
        <v>1186</v>
      </c>
      <c r="B1297" s="42"/>
      <c r="C1297" s="63" t="s">
        <v>1315</v>
      </c>
      <c r="D1297" s="62"/>
      <c r="E1297" s="64">
        <v>68971667</v>
      </c>
    </row>
    <row r="1298" spans="1:5">
      <c r="A1298" s="68" t="s">
        <v>1186</v>
      </c>
      <c r="B1298" s="69"/>
      <c r="C1298" s="70" t="s">
        <v>1316</v>
      </c>
      <c r="D1298" s="71"/>
      <c r="E1298" s="72">
        <v>66235402</v>
      </c>
    </row>
    <row r="1299" spans="1:5">
      <c r="A1299" s="66" t="s">
        <v>1186</v>
      </c>
      <c r="B1299" s="42"/>
      <c r="C1299" s="63" t="s">
        <v>1317</v>
      </c>
      <c r="D1299" s="62"/>
      <c r="E1299" s="64">
        <v>64722030</v>
      </c>
    </row>
    <row r="1300" spans="1:5">
      <c r="A1300" s="68" t="s">
        <v>1186</v>
      </c>
      <c r="B1300" s="69"/>
      <c r="C1300" s="70" t="s">
        <v>1318</v>
      </c>
      <c r="D1300" s="71"/>
      <c r="E1300" s="72">
        <v>62391984</v>
      </c>
    </row>
    <row r="1301" spans="1:5">
      <c r="A1301" s="66" t="s">
        <v>1186</v>
      </c>
      <c r="B1301" s="42"/>
      <c r="C1301" s="63" t="s">
        <v>1319</v>
      </c>
      <c r="D1301" s="62"/>
      <c r="E1301" s="64">
        <v>62259030</v>
      </c>
    </row>
    <row r="1302" spans="1:5">
      <c r="A1302" s="68" t="s">
        <v>1186</v>
      </c>
      <c r="B1302" s="69"/>
      <c r="C1302" s="70" t="s">
        <v>1320</v>
      </c>
      <c r="D1302" s="71"/>
      <c r="E1302" s="72">
        <v>68997027</v>
      </c>
    </row>
    <row r="1303" spans="1:5">
      <c r="A1303" s="66" t="s">
        <v>1186</v>
      </c>
      <c r="B1303" s="42"/>
      <c r="C1303" s="63" t="s">
        <v>1321</v>
      </c>
      <c r="D1303" s="62"/>
      <c r="E1303" s="64">
        <v>68168604</v>
      </c>
    </row>
    <row r="1304" spans="1:5">
      <c r="A1304" s="68" t="s">
        <v>1186</v>
      </c>
      <c r="B1304" s="69"/>
      <c r="C1304" s="70" t="s">
        <v>1322</v>
      </c>
      <c r="D1304" s="71"/>
      <c r="E1304" s="72">
        <v>7790229</v>
      </c>
    </row>
    <row r="1305" spans="1:5">
      <c r="A1305" s="66" t="s">
        <v>1186</v>
      </c>
      <c r="B1305" s="42"/>
      <c r="C1305" s="63" t="s">
        <v>1323</v>
      </c>
      <c r="D1305" s="62"/>
      <c r="E1305" s="64">
        <v>69686010</v>
      </c>
    </row>
    <row r="1306" spans="1:5">
      <c r="A1306" s="68" t="s">
        <v>1186</v>
      </c>
      <c r="B1306" s="69"/>
      <c r="C1306" s="70" t="s">
        <v>1324</v>
      </c>
      <c r="D1306" s="71"/>
      <c r="E1306" s="72">
        <v>7760372</v>
      </c>
    </row>
    <row r="1307" spans="1:5">
      <c r="A1307" s="66" t="s">
        <v>1186</v>
      </c>
      <c r="B1307" s="42"/>
      <c r="C1307" s="63" t="s">
        <v>1325</v>
      </c>
      <c r="D1307" s="62"/>
      <c r="E1307" s="64">
        <v>64806407</v>
      </c>
    </row>
    <row r="1308" spans="1:5">
      <c r="A1308" s="68" t="s">
        <v>1186</v>
      </c>
      <c r="B1308" s="69"/>
      <c r="C1308" s="70" t="s">
        <v>1326</v>
      </c>
      <c r="D1308" s="71"/>
      <c r="E1308" s="72">
        <v>66485434</v>
      </c>
    </row>
    <row r="1309" spans="1:5">
      <c r="A1309" s="66" t="s">
        <v>1186</v>
      </c>
      <c r="B1309" s="42"/>
      <c r="C1309" s="63" t="s">
        <v>1327</v>
      </c>
      <c r="D1309" s="62"/>
      <c r="E1309" s="64">
        <v>63422701</v>
      </c>
    </row>
    <row r="1310" spans="1:5">
      <c r="A1310" s="68" t="s">
        <v>1186</v>
      </c>
      <c r="B1310" s="69"/>
      <c r="C1310" s="70" t="s">
        <v>1328</v>
      </c>
      <c r="D1310" s="71"/>
      <c r="E1310" s="72">
        <v>68269112</v>
      </c>
    </row>
    <row r="1311" spans="1:5">
      <c r="A1311" s="66" t="s">
        <v>1186</v>
      </c>
      <c r="B1311" s="42"/>
      <c r="C1311" s="63" t="s">
        <v>1329</v>
      </c>
      <c r="D1311" s="62"/>
      <c r="E1311" s="64">
        <v>64263827</v>
      </c>
    </row>
    <row r="1312" spans="1:5">
      <c r="A1312" s="68" t="s">
        <v>1186</v>
      </c>
      <c r="B1312" s="69"/>
      <c r="C1312" s="70" t="s">
        <v>1330</v>
      </c>
      <c r="D1312" s="71"/>
      <c r="E1312" s="72">
        <v>69792876</v>
      </c>
    </row>
    <row r="1313" spans="1:5">
      <c r="A1313" s="66" t="s">
        <v>1186</v>
      </c>
      <c r="B1313" s="42"/>
      <c r="C1313" s="63" t="s">
        <v>1331</v>
      </c>
      <c r="D1313" s="62"/>
      <c r="E1313" s="64">
        <v>62831989</v>
      </c>
    </row>
    <row r="1314" spans="1:5">
      <c r="A1314" s="68" t="s">
        <v>1186</v>
      </c>
      <c r="B1314" s="69"/>
      <c r="C1314" s="70" t="s">
        <v>1332</v>
      </c>
      <c r="D1314" s="71"/>
      <c r="E1314" s="72">
        <v>63230951</v>
      </c>
    </row>
    <row r="1315" spans="1:5">
      <c r="A1315" s="66" t="s">
        <v>1186</v>
      </c>
      <c r="B1315" s="42"/>
      <c r="C1315" s="63" t="s">
        <v>1333</v>
      </c>
      <c r="D1315" s="62"/>
      <c r="E1315" s="64">
        <v>63309703</v>
      </c>
    </row>
    <row r="1316" spans="1:5">
      <c r="A1316" s="68" t="s">
        <v>1186</v>
      </c>
      <c r="B1316" s="69"/>
      <c r="C1316" s="70" t="s">
        <v>1334</v>
      </c>
      <c r="D1316" s="71"/>
      <c r="E1316" s="72">
        <v>63970518</v>
      </c>
    </row>
    <row r="1317" spans="1:5">
      <c r="A1317" s="66" t="s">
        <v>1186</v>
      </c>
      <c r="B1317" s="42"/>
      <c r="C1317" s="63" t="s">
        <v>1335</v>
      </c>
      <c r="D1317" s="62"/>
      <c r="E1317" s="64">
        <v>69059192</v>
      </c>
    </row>
    <row r="1318" spans="1:5">
      <c r="A1318" s="68" t="s">
        <v>1186</v>
      </c>
      <c r="B1318" s="69"/>
      <c r="C1318" s="70" t="s">
        <v>1336</v>
      </c>
      <c r="D1318" s="71"/>
      <c r="E1318" s="72">
        <v>66921695</v>
      </c>
    </row>
    <row r="1319" spans="1:5">
      <c r="A1319" s="66" t="s">
        <v>1186</v>
      </c>
      <c r="B1319" s="42"/>
      <c r="C1319" s="63" t="s">
        <v>1337</v>
      </c>
      <c r="D1319" s="62"/>
      <c r="E1319" s="64">
        <v>64592002</v>
      </c>
    </row>
    <row r="1320" spans="1:5">
      <c r="A1320" s="68" t="s">
        <v>1186</v>
      </c>
      <c r="B1320" s="69"/>
      <c r="C1320" s="70" t="s">
        <v>1338</v>
      </c>
      <c r="D1320" s="71"/>
      <c r="E1320" s="72">
        <v>66575566</v>
      </c>
    </row>
    <row r="1321" spans="1:5">
      <c r="A1321" s="66" t="s">
        <v>1186</v>
      </c>
      <c r="B1321" s="42"/>
      <c r="C1321" s="63" t="s">
        <v>1339</v>
      </c>
      <c r="D1321" s="62"/>
      <c r="E1321" s="64">
        <v>65921417</v>
      </c>
    </row>
    <row r="1322" spans="1:5">
      <c r="A1322" s="68" t="s">
        <v>1186</v>
      </c>
      <c r="B1322" s="69"/>
      <c r="C1322" s="70" t="s">
        <v>1340</v>
      </c>
      <c r="D1322" s="71"/>
      <c r="E1322" s="72">
        <v>65756981</v>
      </c>
    </row>
    <row r="1323" spans="1:5">
      <c r="A1323" s="66" t="s">
        <v>1186</v>
      </c>
      <c r="B1323" s="42"/>
      <c r="C1323" s="63" t="s">
        <v>1341</v>
      </c>
      <c r="D1323" s="62"/>
      <c r="E1323" s="64">
        <v>63438310</v>
      </c>
    </row>
    <row r="1324" spans="1:5">
      <c r="A1324" s="68" t="s">
        <v>1186</v>
      </c>
      <c r="B1324" s="69"/>
      <c r="C1324" s="70" t="s">
        <v>1342</v>
      </c>
      <c r="D1324" s="71"/>
      <c r="E1324" s="72">
        <v>62672717</v>
      </c>
    </row>
    <row r="1325" spans="1:5">
      <c r="A1325" s="66" t="s">
        <v>1186</v>
      </c>
      <c r="B1325" s="42"/>
      <c r="C1325" s="63" t="s">
        <v>1343</v>
      </c>
      <c r="D1325" s="62"/>
      <c r="E1325" s="64">
        <v>65631594</v>
      </c>
    </row>
    <row r="1326" spans="1:5">
      <c r="A1326" s="68" t="s">
        <v>1186</v>
      </c>
      <c r="B1326" s="69"/>
      <c r="C1326" s="70" t="s">
        <v>1344</v>
      </c>
      <c r="D1326" s="71"/>
      <c r="E1326" s="72">
        <v>64420201</v>
      </c>
    </row>
    <row r="1327" spans="1:5">
      <c r="A1327" s="66" t="s">
        <v>1186</v>
      </c>
      <c r="B1327" s="42"/>
      <c r="C1327" s="63" t="s">
        <v>1345</v>
      </c>
      <c r="D1327" s="62"/>
      <c r="E1327" s="64">
        <v>65640187</v>
      </c>
    </row>
    <row r="1328" spans="1:5">
      <c r="A1328" s="68" t="s">
        <v>1186</v>
      </c>
      <c r="B1328" s="69"/>
      <c r="C1328" s="70" t="s">
        <v>1346</v>
      </c>
      <c r="D1328" s="71"/>
      <c r="E1328" s="72">
        <v>67029942</v>
      </c>
    </row>
    <row r="1329" spans="1:5">
      <c r="A1329" s="66" t="s">
        <v>1186</v>
      </c>
      <c r="B1329" s="42"/>
      <c r="C1329" s="63" t="s">
        <v>1347</v>
      </c>
      <c r="D1329" s="62"/>
      <c r="E1329" s="64">
        <v>69794522</v>
      </c>
    </row>
    <row r="1330" spans="1:5">
      <c r="A1330" s="68" t="s">
        <v>1186</v>
      </c>
      <c r="B1330" s="69"/>
      <c r="C1330" s="70" t="s">
        <v>1348</v>
      </c>
      <c r="D1330" s="71"/>
      <c r="E1330" s="72">
        <v>64100210</v>
      </c>
    </row>
    <row r="1331" spans="1:5">
      <c r="A1331" s="66" t="s">
        <v>1186</v>
      </c>
      <c r="B1331" s="42"/>
      <c r="C1331" s="63" t="s">
        <v>1349</v>
      </c>
      <c r="D1331" s="62"/>
      <c r="E1331" s="64">
        <v>7705979</v>
      </c>
    </row>
    <row r="1332" spans="1:5">
      <c r="A1332" s="68" t="s">
        <v>1186</v>
      </c>
      <c r="B1332" s="69"/>
      <c r="C1332" s="70" t="s">
        <v>1350</v>
      </c>
      <c r="D1332" s="71"/>
      <c r="E1332" s="72">
        <v>64136433</v>
      </c>
    </row>
    <row r="1333" spans="1:5">
      <c r="A1333" s="66" t="s">
        <v>1186</v>
      </c>
      <c r="B1333" s="42"/>
      <c r="C1333" s="63" t="s">
        <v>1351</v>
      </c>
      <c r="D1333" s="62"/>
      <c r="E1333" s="64">
        <v>69187146</v>
      </c>
    </row>
    <row r="1334" spans="1:5">
      <c r="A1334" s="68" t="s">
        <v>1186</v>
      </c>
      <c r="B1334" s="69"/>
      <c r="C1334" s="70" t="s">
        <v>1352</v>
      </c>
      <c r="D1334" s="71"/>
      <c r="E1334" s="72">
        <v>63630473</v>
      </c>
    </row>
    <row r="1335" spans="1:5">
      <c r="A1335" s="66" t="s">
        <v>1186</v>
      </c>
      <c r="B1335" s="42"/>
      <c r="C1335" s="63" t="s">
        <v>1353</v>
      </c>
      <c r="D1335" s="62"/>
      <c r="E1335" s="64">
        <v>61799773</v>
      </c>
    </row>
    <row r="1336" spans="1:5">
      <c r="A1336" s="68" t="s">
        <v>1186</v>
      </c>
      <c r="B1336" s="69"/>
      <c r="C1336" s="70" t="s">
        <v>1354</v>
      </c>
      <c r="D1336" s="71"/>
      <c r="E1336" s="72">
        <v>62856562</v>
      </c>
    </row>
    <row r="1337" spans="1:5">
      <c r="A1337" s="66" t="s">
        <v>1186</v>
      </c>
      <c r="B1337" s="42"/>
      <c r="C1337" s="63" t="s">
        <v>1355</v>
      </c>
      <c r="D1337" s="62"/>
      <c r="E1337" s="64">
        <v>69936266</v>
      </c>
    </row>
    <row r="1338" spans="1:5">
      <c r="A1338" s="68" t="s">
        <v>1186</v>
      </c>
      <c r="B1338" s="69"/>
      <c r="C1338" s="70" t="s">
        <v>1356</v>
      </c>
      <c r="D1338" s="71"/>
      <c r="E1338" s="72">
        <v>67998439</v>
      </c>
    </row>
    <row r="1339" spans="1:5">
      <c r="A1339" s="66" t="s">
        <v>1186</v>
      </c>
      <c r="B1339" s="42"/>
      <c r="C1339" s="63" t="s">
        <v>1357</v>
      </c>
      <c r="D1339" s="62"/>
      <c r="E1339" s="64">
        <v>67501091</v>
      </c>
    </row>
    <row r="1340" spans="1:5">
      <c r="A1340" s="68" t="s">
        <v>1186</v>
      </c>
      <c r="B1340" s="69"/>
      <c r="C1340" s="70" t="s">
        <v>1358</v>
      </c>
      <c r="D1340" s="71"/>
      <c r="E1340" s="72">
        <v>64286442</v>
      </c>
    </row>
    <row r="1341" spans="1:5">
      <c r="A1341" s="66" t="s">
        <v>1186</v>
      </c>
      <c r="B1341" s="42"/>
      <c r="C1341" s="63" t="s">
        <v>1359</v>
      </c>
      <c r="D1341" s="62"/>
      <c r="E1341" s="64">
        <v>65250771</v>
      </c>
    </row>
    <row r="1342" spans="1:5">
      <c r="A1342" s="68" t="s">
        <v>1186</v>
      </c>
      <c r="B1342" s="69"/>
      <c r="C1342" s="70" t="s">
        <v>1360</v>
      </c>
      <c r="D1342" s="71"/>
      <c r="E1342" s="72">
        <v>68807631</v>
      </c>
    </row>
    <row r="1343" spans="1:5">
      <c r="A1343" s="66" t="s">
        <v>1186</v>
      </c>
      <c r="B1343" s="42"/>
      <c r="C1343" s="63" t="s">
        <v>1361</v>
      </c>
      <c r="D1343" s="62"/>
      <c r="E1343" s="64">
        <v>66553549</v>
      </c>
    </row>
    <row r="1344" spans="1:5">
      <c r="A1344" s="68" t="s">
        <v>1186</v>
      </c>
      <c r="B1344" s="69"/>
      <c r="C1344" s="70" t="s">
        <v>1362</v>
      </c>
      <c r="D1344" s="71"/>
      <c r="E1344" s="72">
        <v>68996419</v>
      </c>
    </row>
    <row r="1345" spans="1:5">
      <c r="A1345" s="66" t="s">
        <v>1186</v>
      </c>
      <c r="B1345" s="42"/>
      <c r="C1345" s="63" t="s">
        <v>1363</v>
      </c>
      <c r="D1345" s="62"/>
      <c r="E1345" s="64">
        <v>62070001</v>
      </c>
    </row>
    <row r="1346" spans="1:5">
      <c r="A1346" s="68" t="s">
        <v>1186</v>
      </c>
      <c r="B1346" s="69"/>
      <c r="C1346" s="70" t="s">
        <v>1364</v>
      </c>
      <c r="D1346" s="71"/>
      <c r="E1346" s="72">
        <v>62638487</v>
      </c>
    </row>
    <row r="1347" spans="1:5">
      <c r="A1347" s="66" t="s">
        <v>1186</v>
      </c>
      <c r="B1347" s="42"/>
      <c r="C1347" s="63" t="s">
        <v>1365</v>
      </c>
      <c r="D1347" s="62"/>
      <c r="E1347" s="64">
        <v>67400104</v>
      </c>
    </row>
    <row r="1348" spans="1:5">
      <c r="A1348" s="68" t="s">
        <v>1186</v>
      </c>
      <c r="B1348" s="69"/>
      <c r="C1348" s="70" t="s">
        <v>1366</v>
      </c>
      <c r="D1348" s="71"/>
      <c r="E1348" s="72">
        <v>61232063</v>
      </c>
    </row>
    <row r="1349" spans="1:5">
      <c r="A1349" s="66" t="s">
        <v>1186</v>
      </c>
      <c r="B1349" s="42"/>
      <c r="C1349" s="63" t="s">
        <v>1367</v>
      </c>
      <c r="D1349" s="62"/>
      <c r="E1349" s="64">
        <v>69351750</v>
      </c>
    </row>
    <row r="1350" spans="1:5">
      <c r="A1350" s="68" t="s">
        <v>1186</v>
      </c>
      <c r="B1350" s="69"/>
      <c r="C1350" s="70" t="s">
        <v>1368</v>
      </c>
      <c r="D1350" s="71"/>
      <c r="E1350" s="72">
        <v>64233606</v>
      </c>
    </row>
    <row r="1351" spans="1:5">
      <c r="A1351" s="66" t="s">
        <v>1186</v>
      </c>
      <c r="B1351" s="42"/>
      <c r="C1351" s="63" t="s">
        <v>1369</v>
      </c>
      <c r="D1351" s="62"/>
      <c r="E1351" s="64">
        <v>64073683</v>
      </c>
    </row>
    <row r="1352" spans="1:5">
      <c r="A1352" s="68" t="s">
        <v>1186</v>
      </c>
      <c r="B1352" s="69"/>
      <c r="C1352" s="70" t="s">
        <v>1370</v>
      </c>
      <c r="D1352" s="71"/>
      <c r="E1352" s="72">
        <v>65603129</v>
      </c>
    </row>
    <row r="1353" spans="1:5">
      <c r="A1353" s="66" t="s">
        <v>1186</v>
      </c>
      <c r="B1353" s="42"/>
      <c r="C1353" s="63" t="s">
        <v>1371</v>
      </c>
      <c r="D1353" s="62"/>
      <c r="E1353" s="64">
        <v>64739320</v>
      </c>
    </row>
    <row r="1354" spans="1:5">
      <c r="A1354" s="68" t="s">
        <v>1186</v>
      </c>
      <c r="B1354" s="69"/>
      <c r="C1354" s="70" t="s">
        <v>1372</v>
      </c>
      <c r="D1354" s="71"/>
      <c r="E1354" s="72">
        <v>7229221</v>
      </c>
    </row>
    <row r="1355" spans="1:5">
      <c r="A1355" s="66" t="s">
        <v>1186</v>
      </c>
      <c r="B1355" s="42"/>
      <c r="C1355" s="63" t="s">
        <v>1373</v>
      </c>
      <c r="D1355" s="62"/>
      <c r="E1355" s="64">
        <v>65327209</v>
      </c>
    </row>
    <row r="1356" spans="1:5">
      <c r="A1356" s="68" t="s">
        <v>1186</v>
      </c>
      <c r="B1356" s="69"/>
      <c r="C1356" s="70" t="s">
        <v>1374</v>
      </c>
      <c r="D1356" s="71"/>
      <c r="E1356" s="72">
        <v>65415456</v>
      </c>
    </row>
    <row r="1357" spans="1:5">
      <c r="A1357" s="66" t="s">
        <v>1186</v>
      </c>
      <c r="B1357" s="42"/>
      <c r="C1357" s="63" t="s">
        <v>1375</v>
      </c>
      <c r="D1357" s="62"/>
      <c r="E1357" s="64">
        <v>65800019</v>
      </c>
    </row>
    <row r="1358" spans="1:5">
      <c r="A1358" s="68" t="s">
        <v>1186</v>
      </c>
      <c r="B1358" s="69"/>
      <c r="C1358" s="70" t="s">
        <v>1376</v>
      </c>
      <c r="D1358" s="71"/>
      <c r="E1358" s="72">
        <v>64593088</v>
      </c>
    </row>
    <row r="1359" spans="1:5">
      <c r="A1359" s="66" t="s">
        <v>1186</v>
      </c>
      <c r="B1359" s="42"/>
      <c r="C1359" s="63" t="s">
        <v>1377</v>
      </c>
      <c r="D1359" s="62"/>
      <c r="E1359" s="64">
        <v>68147371</v>
      </c>
    </row>
    <row r="1360" spans="1:5">
      <c r="A1360" s="68" t="s">
        <v>1186</v>
      </c>
      <c r="B1360" s="69"/>
      <c r="C1360" s="70" t="s">
        <v>1378</v>
      </c>
      <c r="D1360" s="71"/>
      <c r="E1360" s="72">
        <v>64036781</v>
      </c>
    </row>
    <row r="1361" spans="1:5">
      <c r="A1361" s="66" t="s">
        <v>1186</v>
      </c>
      <c r="B1361" s="42"/>
      <c r="C1361" s="63" t="s">
        <v>1379</v>
      </c>
      <c r="D1361" s="62"/>
      <c r="E1361" s="64">
        <v>66365588</v>
      </c>
    </row>
    <row r="1362" spans="1:5">
      <c r="A1362" s="68" t="s">
        <v>1186</v>
      </c>
      <c r="B1362" s="69"/>
      <c r="C1362" s="70" t="s">
        <v>1380</v>
      </c>
      <c r="D1362" s="71"/>
      <c r="E1362" s="72">
        <v>65938056</v>
      </c>
    </row>
    <row r="1363" spans="1:5">
      <c r="A1363" s="66" t="s">
        <v>1186</v>
      </c>
      <c r="B1363" s="42"/>
      <c r="C1363" s="63" t="s">
        <v>1381</v>
      </c>
      <c r="D1363" s="62"/>
      <c r="E1363" s="64">
        <v>7201976</v>
      </c>
    </row>
    <row r="1364" spans="1:5">
      <c r="A1364" s="68" t="s">
        <v>1186</v>
      </c>
      <c r="B1364" s="69"/>
      <c r="C1364" s="70" t="s">
        <v>1382</v>
      </c>
      <c r="D1364" s="71"/>
      <c r="E1364" s="72">
        <v>64452132</v>
      </c>
    </row>
    <row r="1365" spans="1:5">
      <c r="A1365" s="66" t="s">
        <v>1186</v>
      </c>
      <c r="B1365" s="42"/>
      <c r="C1365" s="63" t="s">
        <v>1383</v>
      </c>
      <c r="D1365" s="62"/>
      <c r="E1365" s="64">
        <v>64730268</v>
      </c>
    </row>
    <row r="1366" spans="1:5">
      <c r="A1366" s="68" t="s">
        <v>1186</v>
      </c>
      <c r="B1366" s="69"/>
      <c r="C1366" s="70" t="s">
        <v>1384</v>
      </c>
      <c r="D1366" s="71"/>
      <c r="E1366" s="72">
        <v>61118477</v>
      </c>
    </row>
    <row r="1367" spans="1:5">
      <c r="A1367" s="66" t="s">
        <v>1186</v>
      </c>
      <c r="B1367" s="42"/>
      <c r="C1367" s="63" t="s">
        <v>1385</v>
      </c>
      <c r="D1367" s="62"/>
      <c r="E1367" s="64">
        <v>69391307</v>
      </c>
    </row>
    <row r="1368" spans="1:5">
      <c r="A1368" s="68" t="s">
        <v>1186</v>
      </c>
      <c r="B1368" s="69"/>
      <c r="C1368" s="70" t="s">
        <v>1386</v>
      </c>
      <c r="D1368" s="71"/>
      <c r="E1368" s="72">
        <v>63813387</v>
      </c>
    </row>
    <row r="1369" spans="1:5">
      <c r="A1369" s="66" t="s">
        <v>1186</v>
      </c>
      <c r="B1369" s="42"/>
      <c r="C1369" s="63" t="s">
        <v>1387</v>
      </c>
      <c r="D1369" s="62"/>
      <c r="E1369" s="64">
        <v>67738116</v>
      </c>
    </row>
    <row r="1370" spans="1:5">
      <c r="A1370" s="68" t="s">
        <v>1186</v>
      </c>
      <c r="B1370" s="69"/>
      <c r="C1370" s="70" t="s">
        <v>1388</v>
      </c>
      <c r="D1370" s="71"/>
      <c r="E1370" s="72">
        <v>7756958</v>
      </c>
    </row>
    <row r="1371" spans="1:5">
      <c r="A1371" s="66" t="s">
        <v>1186</v>
      </c>
      <c r="B1371" s="42"/>
      <c r="C1371" s="63" t="s">
        <v>1389</v>
      </c>
      <c r="D1371" s="62"/>
      <c r="E1371" s="64">
        <v>68069059</v>
      </c>
    </row>
    <row r="1372" spans="1:5">
      <c r="A1372" s="68" t="s">
        <v>1186</v>
      </c>
      <c r="B1372" s="69"/>
      <c r="C1372" s="70" t="s">
        <v>1390</v>
      </c>
      <c r="D1372" s="71"/>
      <c r="E1372" s="72">
        <v>65891769</v>
      </c>
    </row>
    <row r="1373" spans="1:5">
      <c r="A1373" s="66" t="s">
        <v>1186</v>
      </c>
      <c r="B1373" s="42"/>
      <c r="C1373" s="63" t="s">
        <v>1391</v>
      </c>
      <c r="D1373" s="62"/>
      <c r="E1373" s="64">
        <v>67436007</v>
      </c>
    </row>
    <row r="1374" spans="1:5">
      <c r="A1374" s="68" t="s">
        <v>1186</v>
      </c>
      <c r="B1374" s="69"/>
      <c r="C1374" s="70" t="s">
        <v>1392</v>
      </c>
      <c r="D1374" s="71"/>
      <c r="E1374" s="72">
        <v>7746037</v>
      </c>
    </row>
    <row r="1375" spans="1:5">
      <c r="A1375" s="66" t="s">
        <v>1186</v>
      </c>
      <c r="B1375" s="42"/>
      <c r="C1375" s="63" t="s">
        <v>1393</v>
      </c>
      <c r="D1375" s="62"/>
      <c r="E1375" s="64">
        <v>66559028</v>
      </c>
    </row>
    <row r="1376" spans="1:5">
      <c r="A1376" s="68" t="s">
        <v>1186</v>
      </c>
      <c r="B1376" s="69"/>
      <c r="C1376" s="70" t="s">
        <v>1394</v>
      </c>
      <c r="D1376" s="71"/>
      <c r="E1376" s="72">
        <v>65253055</v>
      </c>
    </row>
    <row r="1377" spans="1:5">
      <c r="A1377" s="66" t="s">
        <v>1186</v>
      </c>
      <c r="B1377" s="42"/>
      <c r="C1377" s="63" t="s">
        <v>1395</v>
      </c>
      <c r="D1377" s="62"/>
      <c r="E1377" s="64">
        <v>67242338</v>
      </c>
    </row>
    <row r="1378" spans="1:5">
      <c r="A1378" s="68" t="s">
        <v>1186</v>
      </c>
      <c r="B1378" s="69"/>
      <c r="C1378" s="70" t="s">
        <v>1396</v>
      </c>
      <c r="D1378" s="71"/>
      <c r="E1378" s="72">
        <v>65921190</v>
      </c>
    </row>
    <row r="1379" spans="1:5">
      <c r="A1379" s="66" t="s">
        <v>1186</v>
      </c>
      <c r="B1379" s="42"/>
      <c r="C1379" s="63" t="s">
        <v>1397</v>
      </c>
      <c r="D1379" s="62"/>
      <c r="E1379" s="64">
        <v>69134871</v>
      </c>
    </row>
    <row r="1380" spans="1:5">
      <c r="A1380" s="68" t="s">
        <v>1186</v>
      </c>
      <c r="B1380" s="69"/>
      <c r="C1380" s="70" t="s">
        <v>1398</v>
      </c>
      <c r="D1380" s="71"/>
      <c r="E1380" s="72">
        <v>68117229</v>
      </c>
    </row>
    <row r="1381" spans="1:5">
      <c r="A1381" s="66" t="s">
        <v>1186</v>
      </c>
      <c r="B1381" s="42"/>
      <c r="C1381" s="63" t="s">
        <v>1399</v>
      </c>
      <c r="D1381" s="62"/>
      <c r="E1381" s="64">
        <v>68591580</v>
      </c>
    </row>
    <row r="1382" spans="1:5">
      <c r="A1382" s="68" t="s">
        <v>1186</v>
      </c>
      <c r="B1382" s="69"/>
      <c r="C1382" s="70" t="s">
        <v>1400</v>
      </c>
      <c r="D1382" s="71"/>
      <c r="E1382" s="72">
        <v>67283843</v>
      </c>
    </row>
    <row r="1383" spans="1:5">
      <c r="A1383" s="66" t="s">
        <v>1186</v>
      </c>
      <c r="B1383" s="42"/>
      <c r="C1383" s="63" t="s">
        <v>1401</v>
      </c>
      <c r="D1383" s="62"/>
      <c r="E1383" s="64">
        <v>69929176</v>
      </c>
    </row>
    <row r="1384" spans="1:5">
      <c r="A1384" s="68" t="s">
        <v>1186</v>
      </c>
      <c r="B1384" s="69"/>
      <c r="C1384" s="70" t="s">
        <v>1402</v>
      </c>
      <c r="D1384" s="71"/>
      <c r="E1384" s="72">
        <v>69669411</v>
      </c>
    </row>
    <row r="1385" spans="1:5">
      <c r="A1385" s="66" t="s">
        <v>1186</v>
      </c>
      <c r="B1385" s="42"/>
      <c r="C1385" s="63" t="s">
        <v>1403</v>
      </c>
      <c r="D1385" s="62"/>
      <c r="E1385" s="64">
        <v>7750126</v>
      </c>
    </row>
    <row r="1386" spans="1:5">
      <c r="A1386" s="68" t="s">
        <v>1186</v>
      </c>
      <c r="B1386" s="69"/>
      <c r="C1386" s="70" t="s">
        <v>1404</v>
      </c>
      <c r="D1386" s="71"/>
      <c r="E1386" s="72">
        <v>67814193</v>
      </c>
    </row>
    <row r="1387" spans="1:5">
      <c r="A1387" s="66" t="s">
        <v>1186</v>
      </c>
      <c r="B1387" s="42"/>
      <c r="C1387" s="63" t="s">
        <v>1405</v>
      </c>
      <c r="D1387" s="62"/>
      <c r="E1387" s="64">
        <v>65108331</v>
      </c>
    </row>
    <row r="1388" spans="1:5">
      <c r="A1388" s="68" t="s">
        <v>1186</v>
      </c>
      <c r="B1388" s="69"/>
      <c r="C1388" s="70" t="s">
        <v>1406</v>
      </c>
      <c r="D1388" s="71"/>
      <c r="E1388" s="72">
        <v>65109883</v>
      </c>
    </row>
    <row r="1389" spans="1:5">
      <c r="A1389" s="66" t="s">
        <v>1186</v>
      </c>
      <c r="B1389" s="42"/>
      <c r="C1389" s="63" t="s">
        <v>1407</v>
      </c>
      <c r="D1389" s="62"/>
      <c r="E1389" s="64">
        <v>69364266</v>
      </c>
    </row>
    <row r="1390" spans="1:5">
      <c r="A1390" s="68" t="s">
        <v>1186</v>
      </c>
      <c r="B1390" s="69"/>
      <c r="C1390" s="70" t="s">
        <v>1408</v>
      </c>
      <c r="D1390" s="71"/>
      <c r="E1390" s="72">
        <v>64521769</v>
      </c>
    </row>
    <row r="1391" spans="1:5">
      <c r="A1391" s="66" t="s">
        <v>1186</v>
      </c>
      <c r="B1391" s="42"/>
      <c r="C1391" s="63" t="s">
        <v>1409</v>
      </c>
      <c r="D1391" s="62"/>
      <c r="E1391" s="64">
        <v>65175274</v>
      </c>
    </row>
    <row r="1392" spans="1:5">
      <c r="A1392" s="68" t="s">
        <v>1186</v>
      </c>
      <c r="B1392" s="69"/>
      <c r="C1392" s="70" t="s">
        <v>1410</v>
      </c>
      <c r="D1392" s="71"/>
      <c r="E1392" s="72">
        <v>64740182</v>
      </c>
    </row>
    <row r="1393" spans="1:5">
      <c r="A1393" s="66" t="s">
        <v>1186</v>
      </c>
      <c r="B1393" s="42"/>
      <c r="C1393" s="63" t="s">
        <v>1411</v>
      </c>
      <c r="D1393" s="62"/>
      <c r="E1393" s="64">
        <v>62813179</v>
      </c>
    </row>
    <row r="1394" spans="1:5">
      <c r="A1394" s="68" t="s">
        <v>1186</v>
      </c>
      <c r="B1394" s="69"/>
      <c r="C1394" s="70" t="s">
        <v>1412</v>
      </c>
      <c r="D1394" s="71"/>
      <c r="E1394" s="72">
        <v>65320700</v>
      </c>
    </row>
    <row r="1395" spans="1:5">
      <c r="A1395" s="66" t="s">
        <v>1186</v>
      </c>
      <c r="B1395" s="42"/>
      <c r="C1395" s="63" t="s">
        <v>1413</v>
      </c>
      <c r="D1395" s="62"/>
      <c r="E1395" s="64">
        <v>66839251</v>
      </c>
    </row>
    <row r="1396" spans="1:5">
      <c r="A1396" s="68" t="s">
        <v>1186</v>
      </c>
      <c r="B1396" s="69"/>
      <c r="C1396" s="70" t="s">
        <v>1414</v>
      </c>
      <c r="D1396" s="71"/>
      <c r="E1396" s="72">
        <v>60137454</v>
      </c>
    </row>
    <row r="1397" spans="1:5">
      <c r="A1397" s="66" t="s">
        <v>1186</v>
      </c>
      <c r="B1397" s="42"/>
      <c r="C1397" s="63" t="s">
        <v>1415</v>
      </c>
      <c r="D1397" s="62"/>
      <c r="E1397" s="64">
        <v>68423108</v>
      </c>
    </row>
    <row r="1398" spans="1:5">
      <c r="A1398" s="68" t="s">
        <v>1186</v>
      </c>
      <c r="B1398" s="69"/>
      <c r="C1398" s="70" t="s">
        <v>1416</v>
      </c>
      <c r="D1398" s="71"/>
      <c r="E1398" s="72">
        <v>63114735</v>
      </c>
    </row>
    <row r="1399" spans="1:5">
      <c r="A1399" s="66" t="s">
        <v>1186</v>
      </c>
      <c r="B1399" s="42"/>
      <c r="C1399" s="63" t="s">
        <v>1417</v>
      </c>
      <c r="D1399" s="62"/>
      <c r="E1399" s="64">
        <v>66363613</v>
      </c>
    </row>
    <row r="1400" spans="1:5">
      <c r="A1400" s="68" t="s">
        <v>1186</v>
      </c>
      <c r="B1400" s="69"/>
      <c r="C1400" s="70" t="s">
        <v>1418</v>
      </c>
      <c r="D1400" s="71"/>
      <c r="E1400" s="72">
        <v>7718660</v>
      </c>
    </row>
    <row r="1401" spans="1:5">
      <c r="A1401" s="66" t="s">
        <v>1186</v>
      </c>
      <c r="B1401" s="42"/>
      <c r="C1401" s="63" t="s">
        <v>1419</v>
      </c>
      <c r="D1401" s="62"/>
      <c r="E1401" s="64">
        <v>63188562</v>
      </c>
    </row>
    <row r="1402" spans="1:5">
      <c r="A1402" s="68" t="s">
        <v>1186</v>
      </c>
      <c r="B1402" s="69"/>
      <c r="C1402" s="70" t="s">
        <v>1420</v>
      </c>
      <c r="D1402" s="71"/>
      <c r="E1402" s="72">
        <v>64449271</v>
      </c>
    </row>
    <row r="1403" spans="1:5">
      <c r="A1403" s="66" t="s">
        <v>1186</v>
      </c>
      <c r="B1403" s="42"/>
      <c r="C1403" s="63" t="s">
        <v>1421</v>
      </c>
      <c r="D1403" s="62"/>
      <c r="E1403" s="64">
        <v>65302344</v>
      </c>
    </row>
    <row r="1404" spans="1:5">
      <c r="A1404" s="68" t="s">
        <v>1186</v>
      </c>
      <c r="B1404" s="69"/>
      <c r="C1404" s="70" t="s">
        <v>1422</v>
      </c>
      <c r="D1404" s="71"/>
      <c r="E1404" s="72">
        <v>65846126</v>
      </c>
    </row>
    <row r="1405" spans="1:5">
      <c r="A1405" s="66" t="s">
        <v>1186</v>
      </c>
      <c r="B1405" s="42"/>
      <c r="C1405" s="63" t="s">
        <v>1423</v>
      </c>
      <c r="D1405" s="62"/>
      <c r="E1405" s="64">
        <v>68709356</v>
      </c>
    </row>
    <row r="1406" spans="1:5">
      <c r="A1406" s="68" t="s">
        <v>1186</v>
      </c>
      <c r="B1406" s="69"/>
      <c r="C1406" s="70" t="s">
        <v>1424</v>
      </c>
      <c r="D1406" s="71"/>
      <c r="E1406" s="72">
        <v>69775807</v>
      </c>
    </row>
    <row r="1407" spans="1:5">
      <c r="A1407" s="66" t="s">
        <v>1186</v>
      </c>
      <c r="B1407" s="42"/>
      <c r="C1407" s="63" t="s">
        <v>1425</v>
      </c>
      <c r="D1407" s="62"/>
      <c r="E1407" s="64">
        <v>64734615</v>
      </c>
    </row>
    <row r="1408" spans="1:5">
      <c r="A1408" s="68" t="s">
        <v>1186</v>
      </c>
      <c r="B1408" s="69"/>
      <c r="C1408" s="70" t="s">
        <v>1426</v>
      </c>
      <c r="D1408" s="71"/>
      <c r="E1408" s="72">
        <v>68966084</v>
      </c>
    </row>
    <row r="1409" spans="1:5">
      <c r="A1409" s="66" t="s">
        <v>1186</v>
      </c>
      <c r="B1409" s="42"/>
      <c r="C1409" s="63" t="s">
        <v>1427</v>
      </c>
      <c r="D1409" s="62"/>
      <c r="E1409" s="64">
        <v>66895809</v>
      </c>
    </row>
    <row r="1410" spans="1:5">
      <c r="A1410" s="68" t="s">
        <v>1186</v>
      </c>
      <c r="B1410" s="69"/>
      <c r="C1410" s="70" t="s">
        <v>1428</v>
      </c>
      <c r="D1410" s="71"/>
      <c r="E1410" s="72">
        <v>68827733</v>
      </c>
    </row>
    <row r="1411" spans="1:5">
      <c r="A1411" s="66" t="s">
        <v>1186</v>
      </c>
      <c r="B1411" s="42"/>
      <c r="C1411" s="63" t="s">
        <v>1429</v>
      </c>
      <c r="D1411" s="62"/>
      <c r="E1411" s="64">
        <v>64651631</v>
      </c>
    </row>
    <row r="1412" spans="1:5">
      <c r="A1412" s="68" t="s">
        <v>1186</v>
      </c>
      <c r="B1412" s="69"/>
      <c r="C1412" s="70" t="s">
        <v>1430</v>
      </c>
      <c r="D1412" s="71"/>
      <c r="E1412" s="72">
        <v>66906055</v>
      </c>
    </row>
    <row r="1413" spans="1:5">
      <c r="A1413" s="66" t="s">
        <v>1186</v>
      </c>
      <c r="B1413" s="42"/>
      <c r="C1413" s="63" t="s">
        <v>1431</v>
      </c>
      <c r="D1413" s="62"/>
      <c r="E1413" s="64">
        <v>66889000</v>
      </c>
    </row>
    <row r="1414" spans="1:5">
      <c r="A1414" s="68" t="s">
        <v>1186</v>
      </c>
      <c r="B1414" s="69"/>
      <c r="C1414" s="70" t="s">
        <v>1432</v>
      </c>
      <c r="D1414" s="71"/>
      <c r="E1414" s="72">
        <v>3981129</v>
      </c>
    </row>
    <row r="1415" spans="1:5">
      <c r="A1415" s="66" t="s">
        <v>1186</v>
      </c>
      <c r="B1415" s="42"/>
      <c r="C1415" s="63" t="s">
        <v>1433</v>
      </c>
      <c r="D1415" s="62"/>
      <c r="E1415" s="64">
        <v>66144601</v>
      </c>
    </row>
    <row r="1416" spans="1:5">
      <c r="A1416" s="68" t="s">
        <v>1186</v>
      </c>
      <c r="B1416" s="69"/>
      <c r="C1416" s="70" t="s">
        <v>1434</v>
      </c>
      <c r="D1416" s="71"/>
      <c r="E1416" s="72">
        <v>63868375</v>
      </c>
    </row>
    <row r="1417" spans="1:5">
      <c r="A1417" s="66" t="s">
        <v>1186</v>
      </c>
      <c r="B1417" s="42"/>
      <c r="C1417" s="63" t="s">
        <v>1435</v>
      </c>
      <c r="D1417" s="62"/>
      <c r="E1417" s="64">
        <v>69118423</v>
      </c>
    </row>
    <row r="1418" spans="1:5">
      <c r="A1418" s="68" t="s">
        <v>1186</v>
      </c>
      <c r="B1418" s="69"/>
      <c r="C1418" s="70" t="s">
        <v>1436</v>
      </c>
      <c r="D1418" s="71"/>
      <c r="E1418" s="72">
        <v>7750239</v>
      </c>
    </row>
    <row r="1419" spans="1:5">
      <c r="A1419" s="66" t="s">
        <v>1186</v>
      </c>
      <c r="B1419" s="42"/>
      <c r="C1419" s="63" t="s">
        <v>1437</v>
      </c>
      <c r="D1419" s="62"/>
      <c r="E1419" s="64">
        <v>7748830</v>
      </c>
    </row>
    <row r="1420" spans="1:5">
      <c r="A1420" s="68" t="s">
        <v>1186</v>
      </c>
      <c r="B1420" s="69"/>
      <c r="C1420" s="70" t="s">
        <v>1438</v>
      </c>
      <c r="D1420" s="71"/>
      <c r="E1420" s="72">
        <v>63636356</v>
      </c>
    </row>
    <row r="1421" spans="1:5">
      <c r="A1421" s="66" t="s">
        <v>1186</v>
      </c>
      <c r="B1421" s="42"/>
      <c r="C1421" s="63" t="s">
        <v>1439</v>
      </c>
      <c r="D1421" s="62"/>
      <c r="E1421" s="64">
        <v>63621397</v>
      </c>
    </row>
    <row r="1422" spans="1:5">
      <c r="A1422" s="68" t="s">
        <v>1186</v>
      </c>
      <c r="B1422" s="69"/>
      <c r="C1422" s="70" t="s">
        <v>1440</v>
      </c>
      <c r="D1422" s="71"/>
      <c r="E1422" s="72">
        <v>7305182</v>
      </c>
    </row>
    <row r="1423" spans="1:5">
      <c r="A1423" s="66" t="s">
        <v>1186</v>
      </c>
      <c r="B1423" s="42"/>
      <c r="C1423" s="63" t="s">
        <v>1441</v>
      </c>
      <c r="D1423" s="62"/>
      <c r="E1423" s="64">
        <v>65107547</v>
      </c>
    </row>
    <row r="1424" spans="1:5">
      <c r="A1424" s="68" t="s">
        <v>1186</v>
      </c>
      <c r="B1424" s="69"/>
      <c r="C1424" s="70" t="s">
        <v>1442</v>
      </c>
      <c r="D1424" s="71"/>
      <c r="E1424" s="72">
        <v>64516293</v>
      </c>
    </row>
    <row r="1425" spans="1:5">
      <c r="A1425" s="66" t="s">
        <v>1186</v>
      </c>
      <c r="B1425" s="42"/>
      <c r="C1425" s="63" t="s">
        <v>1443</v>
      </c>
      <c r="D1425" s="62"/>
      <c r="E1425" s="64">
        <v>7755223</v>
      </c>
    </row>
    <row r="1426" spans="1:5">
      <c r="A1426" s="68" t="s">
        <v>1186</v>
      </c>
      <c r="B1426" s="69"/>
      <c r="C1426" s="70" t="s">
        <v>1444</v>
      </c>
      <c r="D1426" s="71"/>
      <c r="E1426" s="72">
        <v>65666728</v>
      </c>
    </row>
    <row r="1427" spans="1:5">
      <c r="A1427" s="66" t="s">
        <v>1186</v>
      </c>
      <c r="B1427" s="42"/>
      <c r="C1427" s="63" t="s">
        <v>1445</v>
      </c>
      <c r="D1427" s="62"/>
      <c r="E1427" s="64">
        <v>63079476</v>
      </c>
    </row>
    <row r="1428" spans="1:5">
      <c r="A1428" s="68" t="s">
        <v>1186</v>
      </c>
      <c r="B1428" s="69"/>
      <c r="C1428" s="70" t="s">
        <v>1446</v>
      </c>
      <c r="D1428" s="71"/>
      <c r="E1428" s="72">
        <v>64741936</v>
      </c>
    </row>
    <row r="1429" spans="1:5">
      <c r="A1429" s="66" t="s">
        <v>1186</v>
      </c>
      <c r="B1429" s="42"/>
      <c r="C1429" s="63" t="s">
        <v>1447</v>
      </c>
      <c r="D1429" s="62"/>
      <c r="E1429" s="64">
        <v>69409363</v>
      </c>
    </row>
    <row r="1430" spans="1:5">
      <c r="A1430" s="68" t="s">
        <v>1186</v>
      </c>
      <c r="B1430" s="69"/>
      <c r="C1430" s="70" t="s">
        <v>1448</v>
      </c>
      <c r="D1430" s="71"/>
      <c r="E1430" s="72">
        <v>66589766</v>
      </c>
    </row>
    <row r="1431" spans="1:5">
      <c r="A1431" s="66" t="s">
        <v>1186</v>
      </c>
      <c r="B1431" s="42"/>
      <c r="C1431" s="63" t="s">
        <v>1449</v>
      </c>
      <c r="D1431" s="62"/>
      <c r="E1431" s="64">
        <v>64187301</v>
      </c>
    </row>
    <row r="1432" spans="1:5">
      <c r="A1432" s="68" t="s">
        <v>1186</v>
      </c>
      <c r="B1432" s="69"/>
      <c r="C1432" s="70" t="s">
        <v>1450</v>
      </c>
      <c r="D1432" s="71"/>
      <c r="E1432" s="72">
        <v>7744074</v>
      </c>
    </row>
    <row r="1433" spans="1:5">
      <c r="A1433" s="66" t="s">
        <v>1186</v>
      </c>
      <c r="B1433" s="42"/>
      <c r="C1433" s="63" t="s">
        <v>1451</v>
      </c>
      <c r="D1433" s="62"/>
      <c r="E1433" s="64">
        <v>64304360</v>
      </c>
    </row>
    <row r="1434" spans="1:5">
      <c r="A1434" s="68" t="s">
        <v>1186</v>
      </c>
      <c r="B1434" s="69"/>
      <c r="C1434" s="70" t="s">
        <v>1452</v>
      </c>
      <c r="D1434" s="71"/>
      <c r="E1434" s="72">
        <v>63877647</v>
      </c>
    </row>
    <row r="1435" spans="1:5">
      <c r="A1435" s="66" t="s">
        <v>1186</v>
      </c>
      <c r="B1435" s="42"/>
      <c r="C1435" s="63" t="s">
        <v>1453</v>
      </c>
      <c r="D1435" s="62"/>
      <c r="E1435" s="64">
        <v>66204106</v>
      </c>
    </row>
    <row r="1436" spans="1:5">
      <c r="A1436" s="68" t="s">
        <v>1186</v>
      </c>
      <c r="B1436" s="69"/>
      <c r="C1436" s="70" t="s">
        <v>1454</v>
      </c>
      <c r="D1436" s="71"/>
      <c r="E1436" s="72">
        <v>67485259</v>
      </c>
    </row>
    <row r="1437" spans="1:5">
      <c r="A1437" s="66" t="s">
        <v>1186</v>
      </c>
      <c r="B1437" s="42"/>
      <c r="C1437" s="63" t="s">
        <v>1455</v>
      </c>
      <c r="D1437" s="62"/>
      <c r="E1437" s="64">
        <v>68979565</v>
      </c>
    </row>
    <row r="1438" spans="1:5">
      <c r="A1438" s="68" t="s">
        <v>1186</v>
      </c>
      <c r="B1438" s="69"/>
      <c r="C1438" s="70" t="s">
        <v>1456</v>
      </c>
      <c r="D1438" s="71"/>
      <c r="E1438" s="72">
        <v>65610768</v>
      </c>
    </row>
    <row r="1439" spans="1:5">
      <c r="A1439" s="66" t="s">
        <v>1186</v>
      </c>
      <c r="B1439" s="42"/>
      <c r="C1439" s="63" t="s">
        <v>1457</v>
      </c>
      <c r="D1439" s="62"/>
      <c r="E1439" s="64">
        <v>67365167</v>
      </c>
    </row>
    <row r="1440" spans="1:5">
      <c r="A1440" s="68" t="s">
        <v>1186</v>
      </c>
      <c r="B1440" s="69"/>
      <c r="C1440" s="70" t="s">
        <v>1458</v>
      </c>
      <c r="D1440" s="71"/>
      <c r="E1440" s="73">
        <v>64441845</v>
      </c>
    </row>
    <row r="1441" spans="1:5">
      <c r="A1441" s="66" t="s">
        <v>1186</v>
      </c>
      <c r="B1441" s="42"/>
      <c r="C1441" s="63" t="s">
        <v>1459</v>
      </c>
      <c r="D1441" s="62"/>
      <c r="E1441" s="67">
        <v>66739908</v>
      </c>
    </row>
    <row r="1442" spans="1:5">
      <c r="A1442" s="68" t="s">
        <v>1186</v>
      </c>
      <c r="B1442" s="69"/>
      <c r="C1442" s="70" t="s">
        <v>1460</v>
      </c>
      <c r="D1442" s="71"/>
      <c r="E1442" s="73">
        <v>7876134</v>
      </c>
    </row>
    <row r="1443" spans="1:5">
      <c r="A1443" s="66" t="s">
        <v>1186</v>
      </c>
      <c r="B1443" s="42"/>
      <c r="C1443" s="63" t="s">
        <v>1461</v>
      </c>
      <c r="D1443" s="62"/>
      <c r="E1443" s="67">
        <v>7304276</v>
      </c>
    </row>
    <row r="1444" spans="1:5">
      <c r="A1444" s="68" t="s">
        <v>1186</v>
      </c>
      <c r="B1444" s="69"/>
      <c r="C1444" s="70" t="s">
        <v>1462</v>
      </c>
      <c r="D1444" s="71"/>
      <c r="E1444" s="73">
        <v>62451420</v>
      </c>
    </row>
    <row r="1445" spans="1:5">
      <c r="A1445" s="66" t="s">
        <v>1186</v>
      </c>
      <c r="B1445" s="42"/>
      <c r="C1445" s="63" t="s">
        <v>1463</v>
      </c>
      <c r="D1445" s="62"/>
      <c r="E1445" s="67">
        <v>7751862</v>
      </c>
    </row>
    <row r="1446" spans="1:5">
      <c r="A1446" s="68" t="s">
        <v>1186</v>
      </c>
      <c r="B1446" s="69"/>
      <c r="C1446" s="70" t="s">
        <v>1464</v>
      </c>
      <c r="D1446" s="71"/>
      <c r="E1446" s="73">
        <v>7305765</v>
      </c>
    </row>
    <row r="1447" spans="1:5">
      <c r="A1447" s="66" t="s">
        <v>1186</v>
      </c>
      <c r="B1447" s="42"/>
      <c r="C1447" s="63" t="s">
        <v>1465</v>
      </c>
      <c r="D1447" s="62"/>
      <c r="E1447" s="67">
        <v>62010889</v>
      </c>
    </row>
    <row r="1448" spans="1:5">
      <c r="A1448" s="68" t="s">
        <v>1186</v>
      </c>
      <c r="B1448" s="69"/>
      <c r="C1448" s="70" t="s">
        <v>1466</v>
      </c>
      <c r="D1448" s="71"/>
      <c r="E1448" s="73">
        <v>69490703</v>
      </c>
    </row>
    <row r="1449" spans="1:5">
      <c r="A1449" s="66" t="s">
        <v>1186</v>
      </c>
      <c r="B1449" s="42"/>
      <c r="C1449" s="63" t="s">
        <v>1467</v>
      </c>
      <c r="D1449" s="62"/>
      <c r="E1449" s="67">
        <v>65176256</v>
      </c>
    </row>
    <row r="1450" spans="1:5">
      <c r="A1450" s="68" t="s">
        <v>1186</v>
      </c>
      <c r="B1450" s="69"/>
      <c r="C1450" s="70" t="s">
        <v>1468</v>
      </c>
      <c r="D1450" s="71"/>
      <c r="E1450" s="73">
        <v>7260609</v>
      </c>
    </row>
    <row r="1451" spans="1:5">
      <c r="A1451" s="66" t="s">
        <v>1186</v>
      </c>
      <c r="B1451" s="42"/>
      <c r="C1451" s="63" t="s">
        <v>1469</v>
      </c>
      <c r="D1451" s="62"/>
      <c r="E1451" s="67">
        <v>64278226</v>
      </c>
    </row>
    <row r="1452" spans="1:5">
      <c r="A1452" s="68" t="s">
        <v>1186</v>
      </c>
      <c r="B1452" s="69"/>
      <c r="C1452" s="70" t="s">
        <v>1470</v>
      </c>
      <c r="D1452" s="71"/>
      <c r="E1452" s="73">
        <v>62119825</v>
      </c>
    </row>
    <row r="1453" spans="1:5">
      <c r="A1453" s="66" t="s">
        <v>1186</v>
      </c>
      <c r="B1453" s="42"/>
      <c r="C1453" s="63" t="s">
        <v>1471</v>
      </c>
      <c r="D1453" s="62"/>
      <c r="E1453" s="67">
        <v>7744501</v>
      </c>
    </row>
    <row r="1454" spans="1:5">
      <c r="A1454" s="68" t="s">
        <v>1186</v>
      </c>
      <c r="B1454" s="69"/>
      <c r="C1454" s="70" t="s">
        <v>1472</v>
      </c>
      <c r="D1454" s="71"/>
      <c r="E1454" s="73">
        <v>7885763</v>
      </c>
    </row>
    <row r="1455" spans="1:5">
      <c r="A1455" s="66" t="s">
        <v>1186</v>
      </c>
      <c r="B1455" s="42"/>
      <c r="C1455" s="63" t="s">
        <v>1473</v>
      </c>
      <c r="D1455" s="62"/>
      <c r="E1455" s="67">
        <v>7746319</v>
      </c>
    </row>
    <row r="1456" spans="1:5">
      <c r="A1456" s="68" t="s">
        <v>1186</v>
      </c>
      <c r="B1456" s="69"/>
      <c r="C1456" s="70" t="s">
        <v>1474</v>
      </c>
      <c r="D1456" s="71"/>
      <c r="E1456" s="73">
        <v>66792122</v>
      </c>
    </row>
    <row r="1457" spans="1:5">
      <c r="A1457" s="66" t="s">
        <v>1186</v>
      </c>
      <c r="B1457" s="42"/>
      <c r="C1457" s="63" t="s">
        <v>1475</v>
      </c>
      <c r="D1457" s="62"/>
      <c r="E1457" s="67">
        <v>66703139</v>
      </c>
    </row>
    <row r="1458" spans="1:5">
      <c r="A1458" s="68" t="s">
        <v>1186</v>
      </c>
      <c r="B1458" s="69"/>
      <c r="C1458" s="70" t="s">
        <v>1476</v>
      </c>
      <c r="D1458" s="71"/>
      <c r="E1458" s="73">
        <v>66209679</v>
      </c>
    </row>
    <row r="1459" spans="1:5">
      <c r="A1459" s="66" t="s">
        <v>1186</v>
      </c>
      <c r="B1459" s="42"/>
      <c r="C1459" s="63" t="s">
        <v>1477</v>
      </c>
      <c r="D1459" s="62"/>
      <c r="E1459" s="67">
        <v>64582169</v>
      </c>
    </row>
    <row r="1460" spans="1:5">
      <c r="A1460" s="68" t="s">
        <v>1186</v>
      </c>
      <c r="B1460" s="69"/>
      <c r="C1460" s="70" t="s">
        <v>1478</v>
      </c>
      <c r="D1460" s="71"/>
      <c r="E1460" s="73">
        <v>60497778</v>
      </c>
    </row>
    <row r="1461" spans="1:5">
      <c r="A1461" s="66" t="s">
        <v>1186</v>
      </c>
      <c r="B1461" s="42"/>
      <c r="C1461" s="63" t="s">
        <v>1479</v>
      </c>
      <c r="D1461" s="62"/>
      <c r="E1461" s="67">
        <v>68501085</v>
      </c>
    </row>
    <row r="1462" spans="1:5">
      <c r="A1462" s="68" t="s">
        <v>1186</v>
      </c>
      <c r="B1462" s="69"/>
      <c r="C1462" s="70" t="s">
        <v>1480</v>
      </c>
      <c r="D1462" s="71"/>
      <c r="E1462" s="73">
        <v>66385304</v>
      </c>
    </row>
    <row r="1463" spans="1:5">
      <c r="A1463" s="66" t="s">
        <v>1186</v>
      </c>
      <c r="B1463" s="42"/>
      <c r="C1463" s="63" t="s">
        <v>1481</v>
      </c>
      <c r="D1463" s="62"/>
      <c r="E1463" s="67">
        <v>69583842</v>
      </c>
    </row>
    <row r="1464" spans="1:5">
      <c r="A1464" s="68" t="s">
        <v>1186</v>
      </c>
      <c r="B1464" s="69"/>
      <c r="C1464" s="70" t="s">
        <v>1482</v>
      </c>
      <c r="D1464" s="71"/>
      <c r="E1464" s="73">
        <v>68119963</v>
      </c>
    </row>
    <row r="1465" spans="1:5">
      <c r="A1465" s="66" t="s">
        <v>1186</v>
      </c>
      <c r="B1465" s="42"/>
      <c r="C1465" s="63" t="s">
        <v>1483</v>
      </c>
      <c r="D1465" s="62"/>
      <c r="E1465" s="67">
        <v>7749156</v>
      </c>
    </row>
    <row r="1466" spans="1:5">
      <c r="A1466" s="68" t="s">
        <v>1186</v>
      </c>
      <c r="B1466" s="69"/>
      <c r="C1466" s="70" t="s">
        <v>1484</v>
      </c>
      <c r="D1466" s="71"/>
      <c r="E1466" s="73">
        <v>69078750</v>
      </c>
    </row>
    <row r="1467" spans="1:5">
      <c r="A1467" s="66" t="s">
        <v>1186</v>
      </c>
      <c r="B1467" s="42"/>
      <c r="C1467" s="63" t="s">
        <v>1485</v>
      </c>
      <c r="D1467" s="62"/>
      <c r="E1467" s="67">
        <v>69629423</v>
      </c>
    </row>
    <row r="1468" spans="1:5">
      <c r="A1468" s="68" t="s">
        <v>1186</v>
      </c>
      <c r="B1468" s="69"/>
      <c r="C1468" s="70" t="s">
        <v>1486</v>
      </c>
      <c r="D1468" s="71"/>
      <c r="E1468" s="73">
        <v>66255117</v>
      </c>
    </row>
    <row r="1469" spans="1:5">
      <c r="A1469" s="66" t="s">
        <v>1186</v>
      </c>
      <c r="B1469" s="42"/>
      <c r="C1469" s="63" t="s">
        <v>1487</v>
      </c>
      <c r="D1469" s="62"/>
      <c r="E1469" s="67">
        <v>65297197</v>
      </c>
    </row>
    <row r="1470" spans="1:5">
      <c r="A1470" s="68" t="s">
        <v>1186</v>
      </c>
      <c r="B1470" s="69"/>
      <c r="C1470" s="70" t="s">
        <v>1488</v>
      </c>
      <c r="D1470" s="71"/>
      <c r="E1470" s="73">
        <v>69440467</v>
      </c>
    </row>
    <row r="1471" spans="1:5">
      <c r="A1471" s="66" t="s">
        <v>1186</v>
      </c>
      <c r="B1471" s="42"/>
      <c r="C1471" s="63" t="s">
        <v>1489</v>
      </c>
      <c r="D1471" s="62"/>
      <c r="E1471" s="67">
        <v>7201815</v>
      </c>
    </row>
    <row r="1472" spans="1:5">
      <c r="A1472" s="68" t="s">
        <v>1186</v>
      </c>
      <c r="B1472" s="69"/>
      <c r="C1472" s="70" t="s">
        <v>1490</v>
      </c>
      <c r="D1472" s="71"/>
      <c r="E1472" s="73">
        <v>64002828</v>
      </c>
    </row>
    <row r="1473" spans="1:5">
      <c r="A1473" s="66" t="s">
        <v>1186</v>
      </c>
      <c r="B1473" s="42"/>
      <c r="C1473" s="63" t="s">
        <v>1491</v>
      </c>
      <c r="D1473" s="62"/>
      <c r="E1473" s="67">
        <v>62803017</v>
      </c>
    </row>
    <row r="1474" spans="1:5">
      <c r="A1474" s="68" t="s">
        <v>1186</v>
      </c>
      <c r="B1474" s="69"/>
      <c r="C1474" s="70" t="s">
        <v>1492</v>
      </c>
      <c r="D1474" s="71"/>
      <c r="E1474" s="73">
        <v>66550952</v>
      </c>
    </row>
    <row r="1475" spans="1:5">
      <c r="A1475" s="66" t="s">
        <v>1186</v>
      </c>
      <c r="B1475" s="42"/>
      <c r="C1475" s="63" t="s">
        <v>1493</v>
      </c>
      <c r="D1475" s="62"/>
      <c r="E1475" s="67">
        <v>64110241</v>
      </c>
    </row>
    <row r="1476" spans="1:5">
      <c r="A1476" s="68" t="s">
        <v>1186</v>
      </c>
      <c r="B1476" s="69"/>
      <c r="C1476" s="70" t="s">
        <v>1494</v>
      </c>
      <c r="D1476" s="71"/>
      <c r="E1476" s="73">
        <v>66757833</v>
      </c>
    </row>
    <row r="1477" spans="1:5">
      <c r="A1477" s="66" t="s">
        <v>1186</v>
      </c>
      <c r="B1477" s="42"/>
      <c r="C1477" s="63" t="s">
        <v>1495</v>
      </c>
      <c r="D1477" s="62"/>
      <c r="E1477" s="67">
        <v>65237893</v>
      </c>
    </row>
    <row r="1478" spans="1:5">
      <c r="A1478" s="68" t="s">
        <v>1186</v>
      </c>
      <c r="B1478" s="69"/>
      <c r="C1478" s="70" t="s">
        <v>1496</v>
      </c>
      <c r="D1478" s="71"/>
      <c r="E1478" s="73">
        <v>7201893</v>
      </c>
    </row>
    <row r="1479" spans="1:5">
      <c r="A1479" s="66" t="s">
        <v>1186</v>
      </c>
      <c r="B1479" s="42"/>
      <c r="C1479" s="63" t="s">
        <v>1497</v>
      </c>
      <c r="D1479" s="62"/>
      <c r="E1479" s="67">
        <v>68910943</v>
      </c>
    </row>
    <row r="1480" spans="1:5">
      <c r="A1480" s="68" t="s">
        <v>1186</v>
      </c>
      <c r="B1480" s="69"/>
      <c r="C1480" s="70" t="s">
        <v>1498</v>
      </c>
      <c r="D1480" s="71"/>
      <c r="E1480" s="73">
        <v>61106785</v>
      </c>
    </row>
    <row r="1481" spans="1:5">
      <c r="A1481" s="66" t="s">
        <v>1186</v>
      </c>
      <c r="B1481" s="42"/>
      <c r="C1481" s="63" t="s">
        <v>1499</v>
      </c>
      <c r="D1481" s="62"/>
      <c r="E1481" s="67">
        <v>66430849</v>
      </c>
    </row>
    <row r="1482" spans="1:5">
      <c r="A1482" s="68" t="s">
        <v>1186</v>
      </c>
      <c r="B1482" s="69"/>
      <c r="C1482" s="70" t="s">
        <v>1500</v>
      </c>
      <c r="D1482" s="71"/>
      <c r="E1482" s="73">
        <v>63101047</v>
      </c>
    </row>
    <row r="1483" spans="1:5">
      <c r="A1483" s="66" t="s">
        <v>1186</v>
      </c>
      <c r="B1483" s="42"/>
      <c r="C1483" s="63" t="s">
        <v>1501</v>
      </c>
      <c r="D1483" s="62"/>
      <c r="E1483" s="67">
        <v>64030828</v>
      </c>
    </row>
    <row r="1484" spans="1:5">
      <c r="A1484" s="68" t="s">
        <v>1186</v>
      </c>
      <c r="B1484" s="69"/>
      <c r="C1484" s="70" t="s">
        <v>1502</v>
      </c>
      <c r="D1484" s="71"/>
      <c r="E1484" s="73">
        <v>7714075</v>
      </c>
    </row>
    <row r="1485" spans="1:5">
      <c r="A1485" s="66" t="s">
        <v>1186</v>
      </c>
      <c r="B1485" s="42"/>
      <c r="C1485" s="63" t="s">
        <v>1503</v>
      </c>
      <c r="D1485" s="62"/>
      <c r="E1485" s="67">
        <v>6648823</v>
      </c>
    </row>
    <row r="1486" spans="1:5">
      <c r="A1486" s="68" t="s">
        <v>1186</v>
      </c>
      <c r="B1486" s="69"/>
      <c r="C1486" s="70" t="s">
        <v>1504</v>
      </c>
      <c r="D1486" s="71"/>
      <c r="E1486" s="73">
        <v>7754626</v>
      </c>
    </row>
    <row r="1487" spans="1:5">
      <c r="A1487" s="66" t="s">
        <v>1186</v>
      </c>
      <c r="B1487" s="42"/>
      <c r="C1487" s="63" t="s">
        <v>1505</v>
      </c>
      <c r="D1487" s="62"/>
      <c r="E1487" s="67">
        <v>65834658</v>
      </c>
    </row>
    <row r="1488" spans="1:5">
      <c r="A1488" s="68" t="s">
        <v>1186</v>
      </c>
      <c r="B1488" s="69"/>
      <c r="C1488" s="70" t="s">
        <v>1506</v>
      </c>
      <c r="D1488" s="71"/>
      <c r="E1488" s="73">
        <v>62140840</v>
      </c>
    </row>
    <row r="1489" spans="1:5">
      <c r="A1489" s="66" t="s">
        <v>1186</v>
      </c>
      <c r="B1489" s="42"/>
      <c r="C1489" s="63" t="s">
        <v>1507</v>
      </c>
      <c r="D1489" s="62"/>
      <c r="E1489" s="67">
        <v>65892575</v>
      </c>
    </row>
    <row r="1490" spans="1:5">
      <c r="A1490" s="68" t="s">
        <v>1186</v>
      </c>
      <c r="B1490" s="69"/>
      <c r="C1490" s="70" t="s">
        <v>1508</v>
      </c>
      <c r="D1490" s="71"/>
      <c r="E1490" s="73">
        <v>69563489</v>
      </c>
    </row>
    <row r="1491" spans="1:5">
      <c r="A1491" s="66" t="s">
        <v>1186</v>
      </c>
      <c r="B1491" s="42"/>
      <c r="C1491" s="63" t="s">
        <v>1509</v>
      </c>
      <c r="D1491" s="62"/>
      <c r="E1491" s="67">
        <v>62474030</v>
      </c>
    </row>
    <row r="1492" spans="1:5">
      <c r="A1492" s="68" t="s">
        <v>1186</v>
      </c>
      <c r="B1492" s="69"/>
      <c r="C1492" s="70" t="s">
        <v>1510</v>
      </c>
      <c r="D1492" s="71"/>
      <c r="E1492" s="73">
        <v>64696558</v>
      </c>
    </row>
    <row r="1493" spans="1:5">
      <c r="A1493" s="66" t="s">
        <v>1186</v>
      </c>
      <c r="B1493" s="42"/>
      <c r="C1493" s="63" t="s">
        <v>1511</v>
      </c>
      <c r="D1493" s="62"/>
      <c r="E1493" s="67">
        <v>68924208</v>
      </c>
    </row>
    <row r="1494" spans="1:5">
      <c r="A1494" s="68" t="s">
        <v>1186</v>
      </c>
      <c r="B1494" s="69"/>
      <c r="C1494" s="70" t="s">
        <v>1512</v>
      </c>
      <c r="D1494" s="71"/>
      <c r="E1494" s="73">
        <v>67810234</v>
      </c>
    </row>
    <row r="1495" spans="1:5">
      <c r="A1495" s="66" t="s">
        <v>1186</v>
      </c>
      <c r="B1495" s="42"/>
      <c r="C1495" s="63" t="s">
        <v>1513</v>
      </c>
      <c r="D1495" s="62"/>
      <c r="E1495" s="67">
        <v>64601217</v>
      </c>
    </row>
    <row r="1496" spans="1:5">
      <c r="A1496" s="68" t="s">
        <v>1186</v>
      </c>
      <c r="B1496" s="69"/>
      <c r="C1496" s="70" t="s">
        <v>1514</v>
      </c>
      <c r="D1496" s="71"/>
      <c r="E1496" s="73">
        <v>64074598</v>
      </c>
    </row>
    <row r="1497" spans="1:5">
      <c r="A1497" s="66" t="s">
        <v>1186</v>
      </c>
      <c r="B1497" s="42"/>
      <c r="C1497" s="63" t="s">
        <v>1515</v>
      </c>
      <c r="D1497" s="62"/>
      <c r="E1497" s="67">
        <v>62767309</v>
      </c>
    </row>
    <row r="1498" spans="1:5">
      <c r="A1498" s="68" t="s">
        <v>1186</v>
      </c>
      <c r="B1498" s="69"/>
      <c r="C1498" s="70" t="s">
        <v>1516</v>
      </c>
      <c r="D1498" s="71"/>
      <c r="E1498" s="73">
        <v>62310315</v>
      </c>
    </row>
    <row r="1499" spans="1:5">
      <c r="A1499" s="66" t="s">
        <v>1186</v>
      </c>
      <c r="B1499" s="42"/>
      <c r="C1499" s="63" t="s">
        <v>1517</v>
      </c>
      <c r="D1499" s="62"/>
      <c r="E1499" s="67">
        <v>65050043</v>
      </c>
    </row>
    <row r="1500" spans="1:5">
      <c r="A1500" s="68" t="s">
        <v>1186</v>
      </c>
      <c r="B1500" s="69"/>
      <c r="C1500" s="70" t="s">
        <v>1518</v>
      </c>
      <c r="D1500" s="71"/>
      <c r="E1500" s="73">
        <v>66917916</v>
      </c>
    </row>
    <row r="1501" spans="1:5">
      <c r="A1501" s="66" t="s">
        <v>1186</v>
      </c>
      <c r="B1501" s="42"/>
      <c r="C1501" s="63" t="s">
        <v>1519</v>
      </c>
      <c r="D1501" s="62"/>
      <c r="E1501" s="67">
        <v>64381638</v>
      </c>
    </row>
    <row r="1502" spans="1:5">
      <c r="A1502" s="68" t="s">
        <v>1186</v>
      </c>
      <c r="B1502" s="69"/>
      <c r="C1502" s="70" t="s">
        <v>1520</v>
      </c>
      <c r="D1502" s="71"/>
      <c r="E1502" s="73">
        <v>65378076</v>
      </c>
    </row>
    <row r="1503" spans="1:5">
      <c r="A1503" s="66" t="s">
        <v>1186</v>
      </c>
      <c r="B1503" s="42"/>
      <c r="C1503" s="63" t="s">
        <v>1521</v>
      </c>
      <c r="D1503" s="62"/>
      <c r="E1503" s="67">
        <v>64463659</v>
      </c>
    </row>
    <row r="1504" spans="1:5">
      <c r="A1504" s="68" t="s">
        <v>1186</v>
      </c>
      <c r="B1504" s="69"/>
      <c r="C1504" s="70" t="s">
        <v>1522</v>
      </c>
      <c r="D1504" s="71"/>
      <c r="E1504" s="73">
        <v>68890533</v>
      </c>
    </row>
    <row r="1505" spans="1:5">
      <c r="A1505" s="66" t="s">
        <v>1186</v>
      </c>
      <c r="B1505" s="42"/>
      <c r="C1505" s="63" t="s">
        <v>1523</v>
      </c>
      <c r="D1505" s="62"/>
      <c r="E1505" s="67">
        <v>64497486</v>
      </c>
    </row>
    <row r="1506" spans="1:5">
      <c r="A1506" s="68" t="s">
        <v>1186</v>
      </c>
      <c r="B1506" s="69"/>
      <c r="C1506" s="70" t="s">
        <v>1524</v>
      </c>
      <c r="D1506" s="71"/>
      <c r="E1506" s="73">
        <v>65652777</v>
      </c>
    </row>
    <row r="1507" spans="1:5">
      <c r="A1507" s="66" t="s">
        <v>1186</v>
      </c>
      <c r="B1507" s="42"/>
      <c r="C1507" s="63" t="s">
        <v>1525</v>
      </c>
      <c r="D1507" s="62"/>
      <c r="E1507" s="67">
        <v>66721172</v>
      </c>
    </row>
    <row r="1508" spans="1:5">
      <c r="A1508" s="68" t="s">
        <v>1186</v>
      </c>
      <c r="B1508" s="69"/>
      <c r="C1508" s="70" t="s">
        <v>1526</v>
      </c>
      <c r="D1508" s="71"/>
      <c r="E1508" s="73">
        <v>60895692</v>
      </c>
    </row>
    <row r="1509" spans="1:5">
      <c r="A1509" s="66" t="s">
        <v>1186</v>
      </c>
      <c r="B1509" s="42"/>
      <c r="C1509" s="63" t="s">
        <v>1527</v>
      </c>
      <c r="D1509" s="62"/>
      <c r="E1509" s="67">
        <v>7771788</v>
      </c>
    </row>
    <row r="1510" spans="1:5">
      <c r="A1510" s="68" t="s">
        <v>1186</v>
      </c>
      <c r="B1510" s="69"/>
      <c r="C1510" s="70" t="s">
        <v>1528</v>
      </c>
      <c r="D1510" s="71"/>
      <c r="E1510" s="73">
        <v>66333582</v>
      </c>
    </row>
    <row r="1511" spans="1:5">
      <c r="A1511" s="66" t="s">
        <v>1186</v>
      </c>
      <c r="B1511" s="42"/>
      <c r="C1511" s="63" t="s">
        <v>1529</v>
      </c>
      <c r="D1511" s="62"/>
      <c r="E1511" s="67">
        <v>7307505</v>
      </c>
    </row>
    <row r="1512" spans="1:5">
      <c r="A1512" s="68" t="s">
        <v>1186</v>
      </c>
      <c r="B1512" s="69"/>
      <c r="C1512" s="70" t="s">
        <v>1530</v>
      </c>
      <c r="D1512" s="71"/>
      <c r="E1512" s="73">
        <v>7757103</v>
      </c>
    </row>
    <row r="1513" spans="1:5">
      <c r="A1513" s="66" t="s">
        <v>1186</v>
      </c>
      <c r="B1513" s="42"/>
      <c r="C1513" s="63" t="s">
        <v>1531</v>
      </c>
      <c r="D1513" s="62"/>
      <c r="E1513" s="67">
        <v>7748508</v>
      </c>
    </row>
    <row r="1514" spans="1:5">
      <c r="A1514" s="68" t="s">
        <v>1186</v>
      </c>
      <c r="B1514" s="69"/>
      <c r="C1514" s="70" t="s">
        <v>1532</v>
      </c>
      <c r="D1514" s="71"/>
      <c r="E1514" s="73">
        <v>66013206</v>
      </c>
    </row>
    <row r="1515" spans="1:5">
      <c r="A1515" s="66" t="s">
        <v>1186</v>
      </c>
      <c r="B1515" s="42"/>
      <c r="C1515" s="63" t="s">
        <v>1533</v>
      </c>
      <c r="D1515" s="62"/>
      <c r="E1515" s="67">
        <v>7708677</v>
      </c>
    </row>
    <row r="1516" spans="1:5">
      <c r="A1516" s="68" t="s">
        <v>1186</v>
      </c>
      <c r="B1516" s="69"/>
      <c r="C1516" s="70" t="s">
        <v>1534</v>
      </c>
      <c r="D1516" s="71"/>
      <c r="E1516" s="73">
        <v>7703153</v>
      </c>
    </row>
    <row r="1517" spans="1:5">
      <c r="A1517" s="66" t="s">
        <v>1186</v>
      </c>
      <c r="B1517" s="42"/>
      <c r="C1517" s="63" t="s">
        <v>1535</v>
      </c>
      <c r="D1517" s="62"/>
      <c r="E1517" s="67">
        <v>64720909</v>
      </c>
    </row>
    <row r="1518" spans="1:5">
      <c r="A1518" s="68" t="s">
        <v>1186</v>
      </c>
      <c r="B1518" s="69"/>
      <c r="C1518" s="70" t="s">
        <v>1536</v>
      </c>
      <c r="D1518" s="71"/>
      <c r="E1518" s="73">
        <v>7754402</v>
      </c>
    </row>
    <row r="1519" spans="1:5">
      <c r="A1519" s="66" t="s">
        <v>1186</v>
      </c>
      <c r="B1519" s="42"/>
      <c r="C1519" s="63" t="s">
        <v>1537</v>
      </c>
      <c r="D1519" s="62"/>
      <c r="E1519" s="67">
        <v>7771778</v>
      </c>
    </row>
    <row r="1520" spans="1:5">
      <c r="A1520" s="68" t="s">
        <v>1186</v>
      </c>
      <c r="B1520" s="69"/>
      <c r="C1520" s="70" t="s">
        <v>1538</v>
      </c>
      <c r="D1520" s="71"/>
      <c r="E1520" s="73">
        <v>7871323</v>
      </c>
    </row>
    <row r="1521" spans="1:5">
      <c r="A1521" s="66" t="s">
        <v>1186</v>
      </c>
      <c r="B1521" s="42"/>
      <c r="C1521" s="63" t="s">
        <v>1539</v>
      </c>
      <c r="D1521" s="62"/>
      <c r="E1521" s="67">
        <v>65948202</v>
      </c>
    </row>
    <row r="1522" spans="1:5">
      <c r="A1522" s="68" t="s">
        <v>1186</v>
      </c>
      <c r="B1522" s="69"/>
      <c r="C1522" s="70" t="s">
        <v>1540</v>
      </c>
      <c r="D1522" s="71"/>
      <c r="E1522" s="73">
        <v>69786535</v>
      </c>
    </row>
    <row r="1523" spans="1:5">
      <c r="A1523" s="66" t="s">
        <v>1186</v>
      </c>
      <c r="B1523" s="42"/>
      <c r="C1523" s="63" t="s">
        <v>1541</v>
      </c>
      <c r="D1523" s="62"/>
      <c r="E1523" s="67">
        <v>69446895</v>
      </c>
    </row>
    <row r="1524" spans="1:5">
      <c r="A1524" s="68" t="s">
        <v>1186</v>
      </c>
      <c r="B1524" s="69"/>
      <c r="C1524" s="70" t="s">
        <v>1542</v>
      </c>
      <c r="D1524" s="71"/>
      <c r="E1524" s="72">
        <v>66564341</v>
      </c>
    </row>
    <row r="1525" spans="1:5">
      <c r="A1525" s="66" t="s">
        <v>1186</v>
      </c>
      <c r="B1525" s="42"/>
      <c r="C1525" s="63" t="s">
        <v>1543</v>
      </c>
      <c r="D1525" s="62"/>
      <c r="E1525" s="64">
        <v>68039317</v>
      </c>
    </row>
    <row r="1526" spans="1:5">
      <c r="A1526" s="68" t="s">
        <v>1186</v>
      </c>
      <c r="B1526" s="69"/>
      <c r="C1526" s="70" t="s">
        <v>1544</v>
      </c>
      <c r="D1526" s="71"/>
      <c r="E1526" s="72">
        <v>68407265</v>
      </c>
    </row>
    <row r="1527" spans="1:5">
      <c r="A1527" s="66" t="s">
        <v>1186</v>
      </c>
      <c r="B1527" s="42"/>
      <c r="C1527" s="63" t="s">
        <v>1545</v>
      </c>
      <c r="D1527" s="62"/>
      <c r="E1527" s="64">
        <v>64131900</v>
      </c>
    </row>
    <row r="1528" spans="1:5">
      <c r="A1528" s="68" t="s">
        <v>1186</v>
      </c>
      <c r="B1528" s="69"/>
      <c r="C1528" s="70" t="s">
        <v>1546</v>
      </c>
      <c r="D1528" s="71"/>
      <c r="E1528" s="72">
        <v>65419449</v>
      </c>
    </row>
    <row r="1529" spans="1:5">
      <c r="A1529" s="66" t="s">
        <v>1186</v>
      </c>
      <c r="B1529" s="42"/>
      <c r="C1529" s="63" t="s">
        <v>1547</v>
      </c>
      <c r="D1529" s="62"/>
      <c r="E1529" s="64">
        <v>61652254</v>
      </c>
    </row>
    <row r="1530" spans="1:5">
      <c r="A1530" s="68" t="s">
        <v>1186</v>
      </c>
      <c r="B1530" s="69"/>
      <c r="C1530" s="70" t="s">
        <v>1548</v>
      </c>
      <c r="D1530" s="71"/>
      <c r="E1530" s="72">
        <v>68738511</v>
      </c>
    </row>
    <row r="1531" spans="1:5">
      <c r="A1531" s="66" t="s">
        <v>1186</v>
      </c>
      <c r="B1531" s="42"/>
      <c r="C1531" s="63" t="s">
        <v>1549</v>
      </c>
      <c r="D1531" s="62"/>
      <c r="E1531" s="64">
        <v>63012363</v>
      </c>
    </row>
    <row r="1532" spans="1:5">
      <c r="A1532" s="68" t="s">
        <v>1186</v>
      </c>
      <c r="B1532" s="69"/>
      <c r="C1532" s="70" t="s">
        <v>1550</v>
      </c>
      <c r="D1532" s="71"/>
      <c r="E1532" s="72">
        <v>62460336</v>
      </c>
    </row>
    <row r="1533" spans="1:5">
      <c r="A1533" s="66" t="s">
        <v>1186</v>
      </c>
      <c r="B1533" s="42"/>
      <c r="C1533" s="63" t="s">
        <v>1551</v>
      </c>
      <c r="D1533" s="62"/>
      <c r="E1533" s="64">
        <v>62997452</v>
      </c>
    </row>
    <row r="1534" spans="1:5">
      <c r="A1534" s="68" t="s">
        <v>1186</v>
      </c>
      <c r="B1534" s="69"/>
      <c r="C1534" s="70" t="s">
        <v>1552</v>
      </c>
      <c r="D1534" s="71"/>
      <c r="E1534" s="72">
        <v>64863850</v>
      </c>
    </row>
    <row r="1535" spans="1:5">
      <c r="A1535" s="66" t="s">
        <v>1186</v>
      </c>
      <c r="B1535" s="42"/>
      <c r="C1535" s="63" t="s">
        <v>1553</v>
      </c>
      <c r="D1535" s="62"/>
      <c r="E1535" s="64">
        <v>68375989</v>
      </c>
    </row>
    <row r="1536" spans="1:5">
      <c r="A1536" s="68" t="s">
        <v>1186</v>
      </c>
      <c r="B1536" s="69"/>
      <c r="C1536" s="70" t="s">
        <v>1554</v>
      </c>
      <c r="D1536" s="71"/>
      <c r="E1536" s="72">
        <v>63873756</v>
      </c>
    </row>
    <row r="1537" spans="1:5">
      <c r="A1537" s="66" t="s">
        <v>1186</v>
      </c>
      <c r="B1537" s="42"/>
      <c r="C1537" s="63" t="s">
        <v>1555</v>
      </c>
      <c r="D1537" s="62"/>
      <c r="E1537" s="64">
        <v>65421177</v>
      </c>
    </row>
    <row r="1538" spans="1:5">
      <c r="A1538" s="68" t="s">
        <v>1186</v>
      </c>
      <c r="B1538" s="69"/>
      <c r="C1538" s="70" t="s">
        <v>1556</v>
      </c>
      <c r="D1538" s="71"/>
      <c r="E1538" s="72">
        <v>69638448</v>
      </c>
    </row>
    <row r="1539" spans="1:5">
      <c r="A1539" s="66" t="s">
        <v>1186</v>
      </c>
      <c r="B1539" s="42"/>
      <c r="C1539" s="63" t="s">
        <v>1557</v>
      </c>
      <c r="D1539" s="62"/>
      <c r="E1539" s="64">
        <v>66548088</v>
      </c>
    </row>
    <row r="1540" spans="1:5">
      <c r="A1540" s="68" t="s">
        <v>1186</v>
      </c>
      <c r="B1540" s="69"/>
      <c r="C1540" s="70" t="s">
        <v>1558</v>
      </c>
      <c r="D1540" s="71"/>
      <c r="E1540" s="72">
        <v>66772396</v>
      </c>
    </row>
    <row r="1541" spans="1:5">
      <c r="A1541" s="66" t="s">
        <v>1186</v>
      </c>
      <c r="B1541" s="42"/>
      <c r="C1541" s="63" t="s">
        <v>1559</v>
      </c>
      <c r="D1541" s="62"/>
      <c r="E1541" s="64">
        <v>7760835</v>
      </c>
    </row>
    <row r="1542" spans="1:5">
      <c r="A1542" s="68" t="s">
        <v>1186</v>
      </c>
      <c r="B1542" s="69"/>
      <c r="C1542" s="70" t="s">
        <v>1560</v>
      </c>
      <c r="D1542" s="71"/>
      <c r="E1542" s="72">
        <v>69138561</v>
      </c>
    </row>
    <row r="1543" spans="1:5">
      <c r="A1543" s="66" t="s">
        <v>1186</v>
      </c>
      <c r="B1543" s="42"/>
      <c r="C1543" s="63" t="s">
        <v>1561</v>
      </c>
      <c r="D1543" s="62"/>
      <c r="E1543" s="64">
        <v>68229194</v>
      </c>
    </row>
    <row r="1544" spans="1:5">
      <c r="A1544" s="68" t="s">
        <v>1186</v>
      </c>
      <c r="B1544" s="69"/>
      <c r="C1544" s="70" t="s">
        <v>1562</v>
      </c>
      <c r="D1544" s="71"/>
      <c r="E1544" s="72">
        <v>62812049</v>
      </c>
    </row>
    <row r="1545" spans="1:5">
      <c r="A1545" s="66" t="s">
        <v>1186</v>
      </c>
      <c r="B1545" s="42"/>
      <c r="C1545" s="63" t="s">
        <v>1563</v>
      </c>
      <c r="D1545" s="62"/>
      <c r="E1545" s="64">
        <v>65433242</v>
      </c>
    </row>
    <row r="1546" spans="1:5">
      <c r="A1546" s="68" t="s">
        <v>1186</v>
      </c>
      <c r="B1546" s="69"/>
      <c r="C1546" s="70" t="s">
        <v>1564</v>
      </c>
      <c r="D1546" s="71"/>
      <c r="E1546" s="72">
        <v>64504680</v>
      </c>
    </row>
    <row r="1547" spans="1:5">
      <c r="A1547" s="66" t="s">
        <v>1186</v>
      </c>
      <c r="B1547" s="42"/>
      <c r="C1547" s="63" t="s">
        <v>1565</v>
      </c>
      <c r="D1547" s="62"/>
      <c r="E1547" s="64">
        <v>65879172</v>
      </c>
    </row>
    <row r="1548" spans="1:5">
      <c r="A1548" s="68" t="s">
        <v>1186</v>
      </c>
      <c r="B1548" s="69"/>
      <c r="C1548" s="70" t="s">
        <v>1566</v>
      </c>
      <c r="D1548" s="71"/>
      <c r="E1548" s="72">
        <v>64158320</v>
      </c>
    </row>
    <row r="1549" spans="1:5">
      <c r="A1549" s="66" t="s">
        <v>1186</v>
      </c>
      <c r="B1549" s="42"/>
      <c r="C1549" s="63" t="s">
        <v>1567</v>
      </c>
      <c r="D1549" s="62"/>
      <c r="E1549" s="64">
        <v>69648229</v>
      </c>
    </row>
    <row r="1550" spans="1:5">
      <c r="A1550" s="68" t="s">
        <v>1186</v>
      </c>
      <c r="B1550" s="69"/>
      <c r="C1550" s="70" t="s">
        <v>1568</v>
      </c>
      <c r="D1550" s="71"/>
      <c r="E1550" s="72">
        <v>64561860</v>
      </c>
    </row>
    <row r="1551" spans="1:5">
      <c r="A1551" s="66" t="s">
        <v>1186</v>
      </c>
      <c r="B1551" s="42"/>
      <c r="C1551" s="63" t="s">
        <v>1569</v>
      </c>
      <c r="D1551" s="62"/>
      <c r="E1551" s="64">
        <v>68257703</v>
      </c>
    </row>
    <row r="1552" spans="1:5">
      <c r="A1552" s="68" t="s">
        <v>1186</v>
      </c>
      <c r="B1552" s="69"/>
      <c r="C1552" s="70" t="s">
        <v>1570</v>
      </c>
      <c r="D1552" s="71"/>
      <c r="E1552" s="72">
        <v>66653462</v>
      </c>
    </row>
    <row r="1553" spans="1:5">
      <c r="A1553" s="66" t="s">
        <v>1186</v>
      </c>
      <c r="B1553" s="42"/>
      <c r="C1553" s="63" t="s">
        <v>1571</v>
      </c>
      <c r="D1553" s="62"/>
      <c r="E1553" s="64">
        <v>69219044</v>
      </c>
    </row>
    <row r="1554" spans="1:5">
      <c r="A1554" s="68" t="s">
        <v>1186</v>
      </c>
      <c r="B1554" s="69"/>
      <c r="C1554" s="70" t="s">
        <v>1572</v>
      </c>
      <c r="D1554" s="71"/>
      <c r="E1554" s="72">
        <v>62282717</v>
      </c>
    </row>
    <row r="1555" spans="1:5">
      <c r="A1555" s="66" t="s">
        <v>1186</v>
      </c>
      <c r="B1555" s="42"/>
      <c r="C1555" s="63" t="s">
        <v>1573</v>
      </c>
      <c r="D1555" s="62"/>
      <c r="E1555" s="64">
        <v>67716824</v>
      </c>
    </row>
    <row r="1556" spans="1:5">
      <c r="A1556" s="68" t="s">
        <v>1186</v>
      </c>
      <c r="B1556" s="69"/>
      <c r="C1556" s="70" t="s">
        <v>1574</v>
      </c>
      <c r="D1556" s="71"/>
      <c r="E1556" s="72">
        <v>60593936</v>
      </c>
    </row>
    <row r="1557" spans="1:5">
      <c r="A1557" s="66" t="s">
        <v>1186</v>
      </c>
      <c r="B1557" s="42"/>
      <c r="C1557" s="63" t="s">
        <v>1575</v>
      </c>
      <c r="D1557" s="62"/>
      <c r="E1557" s="64">
        <v>69506002</v>
      </c>
    </row>
    <row r="1558" spans="1:5">
      <c r="A1558" s="68" t="s">
        <v>1186</v>
      </c>
      <c r="B1558" s="69"/>
      <c r="C1558" s="70" t="s">
        <v>1576</v>
      </c>
      <c r="D1558" s="71"/>
      <c r="E1558" s="72">
        <v>67722604</v>
      </c>
    </row>
    <row r="1559" spans="1:5">
      <c r="A1559" s="66" t="s">
        <v>1186</v>
      </c>
      <c r="B1559" s="42"/>
      <c r="C1559" s="63" t="s">
        <v>1577</v>
      </c>
      <c r="D1559" s="62"/>
      <c r="E1559" s="64">
        <v>69707141</v>
      </c>
    </row>
    <row r="1560" spans="1:5">
      <c r="A1560" s="68" t="s">
        <v>1186</v>
      </c>
      <c r="B1560" s="69"/>
      <c r="C1560" s="70" t="s">
        <v>1578</v>
      </c>
      <c r="D1560" s="71"/>
      <c r="E1560" s="72">
        <v>64711688</v>
      </c>
    </row>
    <row r="1561" spans="1:5">
      <c r="A1561" s="66" t="s">
        <v>1186</v>
      </c>
      <c r="B1561" s="42"/>
      <c r="C1561" s="63" t="s">
        <v>1579</v>
      </c>
      <c r="D1561" s="62"/>
      <c r="E1561" s="64">
        <v>66242499</v>
      </c>
    </row>
    <row r="1562" spans="1:5">
      <c r="A1562" s="68" t="s">
        <v>1186</v>
      </c>
      <c r="B1562" s="69"/>
      <c r="C1562" s="70" t="s">
        <v>1580</v>
      </c>
      <c r="D1562" s="71"/>
      <c r="E1562" s="72">
        <v>65666490</v>
      </c>
    </row>
    <row r="1563" spans="1:5">
      <c r="A1563" s="66" t="s">
        <v>1186</v>
      </c>
      <c r="B1563" s="42"/>
      <c r="C1563" s="63" t="s">
        <v>1581</v>
      </c>
      <c r="D1563" s="62"/>
      <c r="E1563" s="64">
        <v>69334790</v>
      </c>
    </row>
    <row r="1564" spans="1:5">
      <c r="A1564" s="68" t="s">
        <v>1186</v>
      </c>
      <c r="B1564" s="69"/>
      <c r="C1564" s="70" t="s">
        <v>1582</v>
      </c>
      <c r="D1564" s="71"/>
      <c r="E1564" s="72">
        <v>7761684</v>
      </c>
    </row>
    <row r="1565" spans="1:5">
      <c r="A1565" s="66" t="s">
        <v>1186</v>
      </c>
      <c r="B1565" s="42"/>
      <c r="C1565" s="63" t="s">
        <v>1583</v>
      </c>
      <c r="D1565" s="62"/>
      <c r="E1565" s="64">
        <v>64890078</v>
      </c>
    </row>
    <row r="1566" spans="1:5">
      <c r="A1566" s="68" t="s">
        <v>1186</v>
      </c>
      <c r="B1566" s="69"/>
      <c r="C1566" s="70" t="s">
        <v>1584</v>
      </c>
      <c r="D1566" s="71"/>
      <c r="E1566" s="72">
        <v>68144520</v>
      </c>
    </row>
    <row r="1567" spans="1:5">
      <c r="A1567" s="66" t="s">
        <v>1186</v>
      </c>
      <c r="B1567" s="42"/>
      <c r="C1567" s="63" t="s">
        <v>1585</v>
      </c>
      <c r="D1567" s="62"/>
      <c r="E1567" s="64">
        <v>64701852</v>
      </c>
    </row>
    <row r="1568" spans="1:5">
      <c r="A1568" s="68" t="s">
        <v>1186</v>
      </c>
      <c r="B1568" s="69"/>
      <c r="C1568" s="70" t="s">
        <v>1586</v>
      </c>
      <c r="D1568" s="71"/>
      <c r="E1568" s="72">
        <v>63630150</v>
      </c>
    </row>
    <row r="1569" spans="1:5">
      <c r="A1569" s="66" t="s">
        <v>1186</v>
      </c>
      <c r="B1569" s="42"/>
      <c r="C1569" s="63" t="s">
        <v>1587</v>
      </c>
      <c r="D1569" s="62"/>
      <c r="E1569" s="64">
        <v>68552623</v>
      </c>
    </row>
    <row r="1570" spans="1:5">
      <c r="A1570" s="68" t="s">
        <v>1186</v>
      </c>
      <c r="B1570" s="69"/>
      <c r="C1570" s="70" t="s">
        <v>1588</v>
      </c>
      <c r="D1570" s="71"/>
      <c r="E1570" s="72">
        <v>67957023</v>
      </c>
    </row>
    <row r="1571" spans="1:5">
      <c r="A1571" s="66" t="s">
        <v>1186</v>
      </c>
      <c r="B1571" s="42"/>
      <c r="C1571" s="63" t="s">
        <v>1589</v>
      </c>
      <c r="D1571" s="62"/>
      <c r="E1571" s="64">
        <v>63524817</v>
      </c>
    </row>
    <row r="1572" spans="1:5">
      <c r="A1572" s="68" t="s">
        <v>1186</v>
      </c>
      <c r="B1572" s="69"/>
      <c r="C1572" s="70" t="s">
        <v>1590</v>
      </c>
      <c r="D1572" s="71"/>
      <c r="E1572" s="72">
        <v>65099023</v>
      </c>
    </row>
    <row r="1573" spans="1:5">
      <c r="A1573" s="66" t="s">
        <v>1186</v>
      </c>
      <c r="B1573" s="42"/>
      <c r="C1573" s="63" t="s">
        <v>1591</v>
      </c>
      <c r="D1573" s="62"/>
      <c r="E1573" s="64">
        <v>67394848</v>
      </c>
    </row>
    <row r="1574" spans="1:5">
      <c r="A1574" s="68" t="s">
        <v>1186</v>
      </c>
      <c r="B1574" s="69"/>
      <c r="C1574" s="70" t="s">
        <v>1592</v>
      </c>
      <c r="D1574" s="71"/>
      <c r="E1574" s="72">
        <v>63723071</v>
      </c>
    </row>
    <row r="1575" spans="1:5">
      <c r="A1575" s="66" t="s">
        <v>1186</v>
      </c>
      <c r="B1575" s="42"/>
      <c r="C1575" s="63" t="s">
        <v>1593</v>
      </c>
      <c r="D1575" s="62"/>
      <c r="E1575" s="64">
        <v>68836706</v>
      </c>
    </row>
    <row r="1576" spans="1:5">
      <c r="A1576" s="68" t="s">
        <v>1186</v>
      </c>
      <c r="B1576" s="69"/>
      <c r="C1576" s="70" t="s">
        <v>1594</v>
      </c>
      <c r="D1576" s="71"/>
      <c r="E1576" s="72">
        <v>64738668</v>
      </c>
    </row>
    <row r="1577" spans="1:5">
      <c r="A1577" s="66" t="s">
        <v>1186</v>
      </c>
      <c r="B1577" s="42"/>
      <c r="C1577" s="63" t="s">
        <v>1595</v>
      </c>
      <c r="D1577" s="62"/>
      <c r="E1577" s="64">
        <v>68776934</v>
      </c>
    </row>
    <row r="1578" spans="1:5">
      <c r="A1578" s="68" t="s">
        <v>1186</v>
      </c>
      <c r="B1578" s="69"/>
      <c r="C1578" s="70" t="s">
        <v>1596</v>
      </c>
      <c r="D1578" s="71"/>
      <c r="E1578" s="72">
        <v>64537641</v>
      </c>
    </row>
    <row r="1579" spans="1:5">
      <c r="A1579" s="66" t="s">
        <v>1186</v>
      </c>
      <c r="B1579" s="42"/>
      <c r="C1579" s="63" t="s">
        <v>1597</v>
      </c>
      <c r="D1579" s="62"/>
      <c r="E1579" s="64">
        <v>68425492</v>
      </c>
    </row>
    <row r="1580" spans="1:5">
      <c r="A1580" s="68" t="s">
        <v>1186</v>
      </c>
      <c r="B1580" s="69"/>
      <c r="C1580" s="70" t="s">
        <v>1598</v>
      </c>
      <c r="D1580" s="71"/>
      <c r="E1580" s="72">
        <v>7751987</v>
      </c>
    </row>
    <row r="1581" spans="1:5">
      <c r="A1581" s="66" t="s">
        <v>1186</v>
      </c>
      <c r="B1581" s="42"/>
      <c r="C1581" s="63" t="s">
        <v>1599</v>
      </c>
      <c r="D1581" s="62"/>
      <c r="E1581" s="64">
        <v>66117911</v>
      </c>
    </row>
    <row r="1582" spans="1:5">
      <c r="A1582" s="68" t="s">
        <v>1186</v>
      </c>
      <c r="B1582" s="69"/>
      <c r="C1582" s="70" t="s">
        <v>1600</v>
      </c>
      <c r="D1582" s="71"/>
      <c r="E1582" s="72">
        <v>65128228</v>
      </c>
    </row>
    <row r="1583" spans="1:5">
      <c r="A1583" s="66" t="s">
        <v>1186</v>
      </c>
      <c r="B1583" s="42"/>
      <c r="C1583" s="63" t="s">
        <v>1601</v>
      </c>
      <c r="D1583" s="62"/>
      <c r="E1583" s="64">
        <v>64664989</v>
      </c>
    </row>
    <row r="1584" spans="1:5">
      <c r="A1584" s="68" t="s">
        <v>1186</v>
      </c>
      <c r="B1584" s="69"/>
      <c r="C1584" s="70" t="s">
        <v>1602</v>
      </c>
      <c r="D1584" s="71"/>
      <c r="E1584" s="72">
        <v>67723562</v>
      </c>
    </row>
    <row r="1585" spans="1:5">
      <c r="A1585" s="66" t="s">
        <v>1186</v>
      </c>
      <c r="B1585" s="42"/>
      <c r="C1585" s="63" t="s">
        <v>1603</v>
      </c>
      <c r="D1585" s="62"/>
      <c r="E1585" s="64">
        <v>65779167</v>
      </c>
    </row>
    <row r="1586" spans="1:5">
      <c r="A1586" s="68" t="s">
        <v>1186</v>
      </c>
      <c r="B1586" s="69"/>
      <c r="C1586" s="70" t="s">
        <v>1604</v>
      </c>
      <c r="D1586" s="71"/>
      <c r="E1586" s="72">
        <v>6177279</v>
      </c>
    </row>
    <row r="1587" spans="1:5">
      <c r="A1587" s="66" t="s">
        <v>1186</v>
      </c>
      <c r="B1587" s="42"/>
      <c r="C1587" s="63" t="s">
        <v>1605</v>
      </c>
      <c r="D1587" s="62"/>
      <c r="E1587" s="64">
        <v>66808702</v>
      </c>
    </row>
    <row r="1588" spans="1:5">
      <c r="A1588" s="68" t="s">
        <v>1186</v>
      </c>
      <c r="B1588" s="69"/>
      <c r="C1588" s="70" t="s">
        <v>1606</v>
      </c>
      <c r="D1588" s="71"/>
      <c r="E1588" s="72">
        <v>66443457</v>
      </c>
    </row>
    <row r="1589" spans="1:5">
      <c r="A1589" s="66" t="s">
        <v>1186</v>
      </c>
      <c r="B1589" s="42"/>
      <c r="C1589" s="63" t="s">
        <v>1607</v>
      </c>
      <c r="D1589" s="62"/>
      <c r="E1589" s="64">
        <v>64878514</v>
      </c>
    </row>
    <row r="1590" spans="1:5">
      <c r="A1590" s="68" t="s">
        <v>1186</v>
      </c>
      <c r="B1590" s="69"/>
      <c r="C1590" s="70" t="s">
        <v>1608</v>
      </c>
      <c r="D1590" s="71"/>
      <c r="E1590" s="72">
        <v>63965356</v>
      </c>
    </row>
    <row r="1591" spans="1:5">
      <c r="A1591" s="66" t="s">
        <v>1186</v>
      </c>
      <c r="B1591" s="42"/>
      <c r="C1591" s="63" t="s">
        <v>1609</v>
      </c>
      <c r="D1591" s="62"/>
      <c r="E1591" s="64">
        <v>62159545</v>
      </c>
    </row>
    <row r="1592" spans="1:5">
      <c r="A1592" s="68" t="s">
        <v>1186</v>
      </c>
      <c r="B1592" s="69"/>
      <c r="C1592" s="70" t="s">
        <v>1610</v>
      </c>
      <c r="D1592" s="71"/>
      <c r="E1592" s="72">
        <v>64814345</v>
      </c>
    </row>
    <row r="1593" spans="1:5">
      <c r="A1593" s="66" t="s">
        <v>1186</v>
      </c>
      <c r="B1593" s="42"/>
      <c r="C1593" s="63" t="s">
        <v>1611</v>
      </c>
      <c r="D1593" s="62"/>
      <c r="E1593" s="64">
        <v>7303360</v>
      </c>
    </row>
    <row r="1594" spans="1:5">
      <c r="A1594" s="68" t="s">
        <v>1186</v>
      </c>
      <c r="B1594" s="69"/>
      <c r="C1594" s="70" t="s">
        <v>1612</v>
      </c>
      <c r="D1594" s="71"/>
      <c r="E1594" s="72">
        <v>69258339</v>
      </c>
    </row>
    <row r="1595" spans="1:5">
      <c r="A1595" s="66" t="s">
        <v>1186</v>
      </c>
      <c r="B1595" s="42"/>
      <c r="C1595" s="63" t="s">
        <v>1613</v>
      </c>
      <c r="D1595" s="62"/>
      <c r="E1595" s="64">
        <v>65099452</v>
      </c>
    </row>
    <row r="1596" spans="1:5">
      <c r="A1596" s="68" t="s">
        <v>1186</v>
      </c>
      <c r="B1596" s="69"/>
      <c r="C1596" s="70" t="s">
        <v>1614</v>
      </c>
      <c r="D1596" s="71"/>
      <c r="E1596" s="72">
        <v>66142389</v>
      </c>
    </row>
    <row r="1597" spans="1:5">
      <c r="A1597" s="66" t="s">
        <v>1186</v>
      </c>
      <c r="B1597" s="42"/>
      <c r="C1597" s="63" t="s">
        <v>1615</v>
      </c>
      <c r="D1597" s="62"/>
      <c r="E1597" s="64">
        <v>69382354</v>
      </c>
    </row>
    <row r="1598" spans="1:5">
      <c r="A1598" s="68" t="s">
        <v>1186</v>
      </c>
      <c r="B1598" s="69"/>
      <c r="C1598" s="70" t="s">
        <v>1616</v>
      </c>
      <c r="D1598" s="71"/>
      <c r="E1598" s="72">
        <v>62581751</v>
      </c>
    </row>
    <row r="1599" spans="1:5">
      <c r="A1599" s="66" t="s">
        <v>1186</v>
      </c>
      <c r="B1599" s="42"/>
      <c r="C1599" s="63" t="s">
        <v>1617</v>
      </c>
      <c r="D1599" s="62"/>
      <c r="E1599" s="64">
        <v>64277971</v>
      </c>
    </row>
    <row r="1600" spans="1:5">
      <c r="A1600" s="68" t="s">
        <v>1186</v>
      </c>
      <c r="B1600" s="69"/>
      <c r="C1600" s="70" t="s">
        <v>1618</v>
      </c>
      <c r="D1600" s="71"/>
      <c r="E1600" s="72">
        <v>68017302</v>
      </c>
    </row>
    <row r="1601" spans="1:5">
      <c r="A1601" s="66" t="s">
        <v>1186</v>
      </c>
      <c r="B1601" s="42"/>
      <c r="C1601" s="63" t="s">
        <v>1619</v>
      </c>
      <c r="D1601" s="62"/>
      <c r="E1601" s="64">
        <v>62123784</v>
      </c>
    </row>
    <row r="1602" spans="1:5">
      <c r="A1602" s="68" t="s">
        <v>1186</v>
      </c>
      <c r="B1602" s="69"/>
      <c r="C1602" s="70" t="s">
        <v>1620</v>
      </c>
      <c r="D1602" s="71"/>
      <c r="E1602" s="72">
        <v>66938332</v>
      </c>
    </row>
    <row r="1603" spans="1:5">
      <c r="A1603" s="66" t="s">
        <v>1186</v>
      </c>
      <c r="B1603" s="42"/>
      <c r="C1603" s="63" t="s">
        <v>1621</v>
      </c>
      <c r="D1603" s="62"/>
      <c r="E1603" s="64">
        <v>62815079</v>
      </c>
    </row>
    <row r="1604" spans="1:5">
      <c r="A1604" s="68" t="s">
        <v>1186</v>
      </c>
      <c r="B1604" s="69"/>
      <c r="C1604" s="70" t="s">
        <v>1622</v>
      </c>
      <c r="D1604" s="71"/>
      <c r="E1604" s="72">
        <v>68812303</v>
      </c>
    </row>
    <row r="1605" spans="1:5">
      <c r="A1605" s="66" t="s">
        <v>1186</v>
      </c>
      <c r="B1605" s="42"/>
      <c r="C1605" s="63" t="s">
        <v>1623</v>
      </c>
      <c r="D1605" s="62"/>
      <c r="E1605" s="64">
        <v>64063802</v>
      </c>
    </row>
    <row r="1606" spans="1:5">
      <c r="A1606" s="68" t="s">
        <v>1186</v>
      </c>
      <c r="B1606" s="69"/>
      <c r="C1606" s="70" t="s">
        <v>1624</v>
      </c>
      <c r="D1606" s="71"/>
      <c r="E1606" s="72">
        <v>64465583</v>
      </c>
    </row>
    <row r="1607" spans="1:5">
      <c r="A1607" s="66" t="s">
        <v>1186</v>
      </c>
      <c r="B1607" s="42"/>
      <c r="C1607" s="63" t="s">
        <v>1625</v>
      </c>
      <c r="D1607" s="62"/>
      <c r="E1607" s="64">
        <v>7303794</v>
      </c>
    </row>
    <row r="1608" spans="1:5">
      <c r="A1608" s="68" t="s">
        <v>1186</v>
      </c>
      <c r="B1608" s="69"/>
      <c r="C1608" s="70" t="s">
        <v>1626</v>
      </c>
      <c r="D1608" s="71"/>
      <c r="E1608" s="72">
        <v>69437763</v>
      </c>
    </row>
    <row r="1609" spans="1:5">
      <c r="A1609" s="66" t="s">
        <v>1186</v>
      </c>
      <c r="B1609" s="42"/>
      <c r="C1609" s="63" t="s">
        <v>1627</v>
      </c>
      <c r="D1609" s="62"/>
      <c r="E1609" s="64">
        <v>62823481</v>
      </c>
    </row>
    <row r="1610" spans="1:5">
      <c r="A1610" s="68" t="s">
        <v>1186</v>
      </c>
      <c r="B1610" s="69"/>
      <c r="C1610" s="70" t="s">
        <v>1628</v>
      </c>
      <c r="D1610" s="71"/>
      <c r="E1610" s="72">
        <v>67116016</v>
      </c>
    </row>
    <row r="1611" spans="1:5">
      <c r="A1611" s="66" t="s">
        <v>1186</v>
      </c>
      <c r="B1611" s="42"/>
      <c r="C1611" s="63" t="s">
        <v>1629</v>
      </c>
      <c r="D1611" s="62"/>
      <c r="E1611" s="64">
        <v>67490302</v>
      </c>
    </row>
    <row r="1612" spans="1:5">
      <c r="A1612" s="68" t="s">
        <v>1186</v>
      </c>
      <c r="B1612" s="69"/>
      <c r="C1612" s="70" t="s">
        <v>1630</v>
      </c>
      <c r="D1612" s="71"/>
      <c r="E1612" s="72">
        <v>66746403</v>
      </c>
    </row>
    <row r="1613" spans="1:5">
      <c r="A1613" s="66" t="s">
        <v>1186</v>
      </c>
      <c r="B1613" s="42"/>
      <c r="C1613" s="63" t="s">
        <v>1631</v>
      </c>
      <c r="D1613" s="62"/>
      <c r="E1613" s="64">
        <v>63448391</v>
      </c>
    </row>
    <row r="1614" spans="1:5">
      <c r="A1614" s="68" t="s">
        <v>1186</v>
      </c>
      <c r="B1614" s="69"/>
      <c r="C1614" s="70" t="s">
        <v>1632</v>
      </c>
      <c r="D1614" s="71"/>
      <c r="E1614" s="72">
        <v>69100812</v>
      </c>
    </row>
    <row r="1615" spans="1:5">
      <c r="A1615" s="66" t="s">
        <v>1186</v>
      </c>
      <c r="B1615" s="42"/>
      <c r="C1615" s="63" t="s">
        <v>1633</v>
      </c>
      <c r="D1615" s="62"/>
      <c r="E1615" s="64">
        <v>66671457</v>
      </c>
    </row>
    <row r="1616" spans="1:5">
      <c r="A1616" s="68" t="s">
        <v>1186</v>
      </c>
      <c r="B1616" s="69"/>
      <c r="C1616" s="70" t="s">
        <v>1634</v>
      </c>
      <c r="D1616" s="71"/>
      <c r="E1616" s="72">
        <v>64604230</v>
      </c>
    </row>
    <row r="1617" spans="1:5">
      <c r="A1617" s="66" t="s">
        <v>1186</v>
      </c>
      <c r="B1617" s="42"/>
      <c r="C1617" s="63" t="s">
        <v>1635</v>
      </c>
      <c r="D1617" s="62"/>
      <c r="E1617" s="64">
        <v>68614519</v>
      </c>
    </row>
    <row r="1618" spans="1:5">
      <c r="A1618" s="68" t="s">
        <v>1186</v>
      </c>
      <c r="B1618" s="69"/>
      <c r="C1618" s="70" t="s">
        <v>1636</v>
      </c>
      <c r="D1618" s="71"/>
      <c r="E1618" s="72">
        <v>64352738</v>
      </c>
    </row>
    <row r="1619" spans="1:5">
      <c r="A1619" s="66" t="s">
        <v>1186</v>
      </c>
      <c r="B1619" s="42"/>
      <c r="C1619" s="63" t="s">
        <v>1637</v>
      </c>
      <c r="D1619" s="62"/>
      <c r="E1619" s="64">
        <v>65879635</v>
      </c>
    </row>
    <row r="1620" spans="1:5">
      <c r="A1620" s="68" t="s">
        <v>1186</v>
      </c>
      <c r="B1620" s="69"/>
      <c r="C1620" s="70" t="s">
        <v>1638</v>
      </c>
      <c r="D1620" s="71"/>
      <c r="E1620" s="72">
        <v>7714752</v>
      </c>
    </row>
    <row r="1621" spans="1:5">
      <c r="A1621" s="66" t="s">
        <v>1186</v>
      </c>
      <c r="B1621" s="42"/>
      <c r="C1621" s="63" t="s">
        <v>1639</v>
      </c>
      <c r="D1621" s="62"/>
      <c r="E1621" s="64">
        <v>7308605</v>
      </c>
    </row>
    <row r="1622" spans="1:5">
      <c r="A1622" s="68" t="s">
        <v>1186</v>
      </c>
      <c r="B1622" s="69"/>
      <c r="C1622" s="70" t="s">
        <v>1640</v>
      </c>
      <c r="D1622" s="71"/>
      <c r="E1622" s="72">
        <v>63633275</v>
      </c>
    </row>
    <row r="1623" spans="1:5">
      <c r="A1623" s="66" t="s">
        <v>1186</v>
      </c>
      <c r="B1623" s="42"/>
      <c r="C1623" s="63" t="s">
        <v>1641</v>
      </c>
      <c r="D1623" s="62"/>
      <c r="E1623" s="64">
        <v>68283310</v>
      </c>
    </row>
    <row r="1624" spans="1:5">
      <c r="A1624" s="68" t="s">
        <v>1186</v>
      </c>
      <c r="B1624" s="69"/>
      <c r="C1624" s="70" t="s">
        <v>1642</v>
      </c>
      <c r="D1624" s="71"/>
      <c r="E1624" s="72">
        <v>63220292</v>
      </c>
    </row>
    <row r="1625" spans="1:5">
      <c r="A1625" s="66" t="s">
        <v>1186</v>
      </c>
      <c r="B1625" s="42"/>
      <c r="C1625" s="63" t="s">
        <v>1643</v>
      </c>
      <c r="D1625" s="62"/>
      <c r="E1625" s="64">
        <v>66333389</v>
      </c>
    </row>
    <row r="1626" spans="1:5">
      <c r="A1626" s="68" t="s">
        <v>1186</v>
      </c>
      <c r="B1626" s="69"/>
      <c r="C1626" s="70" t="s">
        <v>1644</v>
      </c>
      <c r="D1626" s="71"/>
      <c r="E1626" s="72">
        <v>64407355</v>
      </c>
    </row>
    <row r="1627" spans="1:5">
      <c r="A1627" s="66" t="s">
        <v>1186</v>
      </c>
      <c r="B1627" s="42"/>
      <c r="C1627" s="63" t="s">
        <v>1645</v>
      </c>
      <c r="D1627" s="62"/>
      <c r="E1627" s="64">
        <v>65611456</v>
      </c>
    </row>
    <row r="1628" spans="1:5">
      <c r="A1628" s="68" t="s">
        <v>1186</v>
      </c>
      <c r="B1628" s="69"/>
      <c r="C1628" s="70" t="s">
        <v>1646</v>
      </c>
      <c r="D1628" s="71"/>
      <c r="E1628" s="72">
        <v>66875164</v>
      </c>
    </row>
    <row r="1629" spans="1:5">
      <c r="A1629" s="66" t="s">
        <v>1186</v>
      </c>
      <c r="B1629" s="42"/>
      <c r="C1629" s="63" t="s">
        <v>1647</v>
      </c>
      <c r="D1629" s="62"/>
      <c r="E1629" s="64">
        <v>65301212</v>
      </c>
    </row>
    <row r="1630" spans="1:5">
      <c r="A1630" s="68" t="s">
        <v>1186</v>
      </c>
      <c r="B1630" s="69"/>
      <c r="C1630" s="70" t="s">
        <v>1648</v>
      </c>
      <c r="D1630" s="71"/>
      <c r="E1630" s="72">
        <v>65774779</v>
      </c>
    </row>
    <row r="1631" spans="1:5">
      <c r="A1631" s="66" t="s">
        <v>1186</v>
      </c>
      <c r="B1631" s="42"/>
      <c r="C1631" s="63" t="s">
        <v>1649</v>
      </c>
      <c r="D1631" s="62"/>
      <c r="E1631" s="64">
        <v>64207631</v>
      </c>
    </row>
    <row r="1632" spans="1:5">
      <c r="A1632" s="68" t="s">
        <v>1186</v>
      </c>
      <c r="B1632" s="69"/>
      <c r="C1632" s="70" t="s">
        <v>1650</v>
      </c>
      <c r="D1632" s="71"/>
      <c r="E1632" s="72">
        <v>67678307</v>
      </c>
    </row>
    <row r="1633" spans="1:5">
      <c r="A1633" s="66" t="s">
        <v>1186</v>
      </c>
      <c r="B1633" s="42"/>
      <c r="C1633" s="63" t="s">
        <v>1651</v>
      </c>
      <c r="D1633" s="62"/>
      <c r="E1633" s="64">
        <v>68739554</v>
      </c>
    </row>
    <row r="1634" spans="1:5">
      <c r="A1634" s="68" t="s">
        <v>1186</v>
      </c>
      <c r="B1634" s="69"/>
      <c r="C1634" s="70" t="s">
        <v>1652</v>
      </c>
      <c r="D1634" s="71"/>
      <c r="E1634" s="72">
        <v>7201111</v>
      </c>
    </row>
    <row r="1635" spans="1:5">
      <c r="A1635" s="66" t="s">
        <v>1186</v>
      </c>
      <c r="B1635" s="42"/>
      <c r="C1635" s="63" t="s">
        <v>1653</v>
      </c>
      <c r="D1635" s="62"/>
      <c r="E1635" s="64">
        <v>67720408</v>
      </c>
    </row>
    <row r="1636" spans="1:5">
      <c r="A1636" s="68" t="s">
        <v>1186</v>
      </c>
      <c r="B1636" s="69"/>
      <c r="C1636" s="70" t="s">
        <v>1654</v>
      </c>
      <c r="D1636" s="71"/>
      <c r="E1636" s="72">
        <v>64580281</v>
      </c>
    </row>
    <row r="1637" spans="1:5">
      <c r="A1637" s="66" t="s">
        <v>1186</v>
      </c>
      <c r="B1637" s="42"/>
      <c r="C1637" s="63" t="s">
        <v>1655</v>
      </c>
      <c r="D1637" s="62"/>
      <c r="E1637" s="64">
        <v>63653652</v>
      </c>
    </row>
    <row r="1638" spans="1:5">
      <c r="A1638" s="68" t="s">
        <v>1186</v>
      </c>
      <c r="B1638" s="69"/>
      <c r="C1638" s="70" t="s">
        <v>1656</v>
      </c>
      <c r="D1638" s="71"/>
      <c r="E1638" s="72">
        <v>69042097</v>
      </c>
    </row>
    <row r="1639" spans="1:5">
      <c r="A1639" s="66" t="s">
        <v>1186</v>
      </c>
      <c r="B1639" s="42"/>
      <c r="C1639" s="63" t="s">
        <v>1657</v>
      </c>
      <c r="D1639" s="62"/>
      <c r="E1639" s="64">
        <v>63630552</v>
      </c>
    </row>
    <row r="1640" spans="1:5">
      <c r="A1640" s="68" t="s">
        <v>1186</v>
      </c>
      <c r="B1640" s="69"/>
      <c r="C1640" s="70" t="s">
        <v>1658</v>
      </c>
      <c r="D1640" s="71"/>
      <c r="E1640" s="72">
        <v>68234751</v>
      </c>
    </row>
    <row r="1641" spans="1:5">
      <c r="A1641" s="66" t="s">
        <v>1186</v>
      </c>
      <c r="B1641" s="42"/>
      <c r="C1641" s="63" t="s">
        <v>1659</v>
      </c>
      <c r="D1641" s="62"/>
      <c r="E1641" s="64">
        <v>65000977</v>
      </c>
    </row>
    <row r="1642" spans="1:5">
      <c r="A1642" s="68" t="s">
        <v>1186</v>
      </c>
      <c r="B1642" s="69"/>
      <c r="C1642" s="70" t="s">
        <v>1660</v>
      </c>
      <c r="D1642" s="71"/>
      <c r="E1642" s="72">
        <v>65683137</v>
      </c>
    </row>
    <row r="1643" spans="1:5">
      <c r="A1643" s="66" t="s">
        <v>1186</v>
      </c>
      <c r="B1643" s="42"/>
      <c r="C1643" s="63" t="s">
        <v>1661</v>
      </c>
      <c r="D1643" s="62"/>
      <c r="E1643" s="64">
        <v>67012479</v>
      </c>
    </row>
    <row r="1644" spans="1:5">
      <c r="A1644" s="68" t="s">
        <v>1186</v>
      </c>
      <c r="B1644" s="69"/>
      <c r="C1644" s="70" t="s">
        <v>1662</v>
      </c>
      <c r="D1644" s="71"/>
      <c r="E1644" s="72">
        <v>66514478</v>
      </c>
    </row>
    <row r="1645" spans="1:5">
      <c r="A1645" s="66" t="s">
        <v>1186</v>
      </c>
      <c r="B1645" s="42"/>
      <c r="C1645" s="63" t="s">
        <v>1663</v>
      </c>
      <c r="D1645" s="62"/>
      <c r="E1645" s="64">
        <v>63097490</v>
      </c>
    </row>
    <row r="1646" spans="1:5">
      <c r="A1646" s="68" t="s">
        <v>1186</v>
      </c>
      <c r="B1646" s="69"/>
      <c r="C1646" s="70" t="s">
        <v>1664</v>
      </c>
      <c r="D1646" s="71"/>
      <c r="E1646" s="72">
        <v>6391828</v>
      </c>
    </row>
    <row r="1647" spans="1:5">
      <c r="A1647" s="66" t="s">
        <v>1186</v>
      </c>
      <c r="B1647" s="42"/>
      <c r="C1647" s="63" t="s">
        <v>1665</v>
      </c>
      <c r="D1647" s="62"/>
      <c r="E1647" s="64">
        <v>65253912</v>
      </c>
    </row>
    <row r="1648" spans="1:5">
      <c r="A1648" s="68" t="s">
        <v>1186</v>
      </c>
      <c r="B1648" s="69"/>
      <c r="C1648" s="70" t="s">
        <v>1666</v>
      </c>
      <c r="D1648" s="71"/>
      <c r="E1648" s="72">
        <v>63737055</v>
      </c>
    </row>
    <row r="1649" spans="1:5">
      <c r="A1649" s="66" t="s">
        <v>1186</v>
      </c>
      <c r="B1649" s="42"/>
      <c r="C1649" s="63" t="s">
        <v>1667</v>
      </c>
      <c r="D1649" s="62"/>
      <c r="E1649" s="64">
        <v>64919671</v>
      </c>
    </row>
    <row r="1650" spans="1:5">
      <c r="A1650" s="68" t="s">
        <v>1186</v>
      </c>
      <c r="B1650" s="69"/>
      <c r="C1650" s="70" t="s">
        <v>1668</v>
      </c>
      <c r="D1650" s="71"/>
      <c r="E1650" s="72">
        <v>64212106</v>
      </c>
    </row>
    <row r="1651" spans="1:5">
      <c r="A1651" s="66" t="s">
        <v>1186</v>
      </c>
      <c r="B1651" s="42"/>
      <c r="C1651" s="63" t="s">
        <v>1669</v>
      </c>
      <c r="D1651" s="62"/>
      <c r="E1651" s="64">
        <v>65013335</v>
      </c>
    </row>
    <row r="1652" spans="1:5">
      <c r="A1652" s="68" t="s">
        <v>1186</v>
      </c>
      <c r="B1652" s="69"/>
      <c r="C1652" s="70" t="s">
        <v>1670</v>
      </c>
      <c r="D1652" s="71"/>
      <c r="E1652" s="72">
        <v>62646898</v>
      </c>
    </row>
    <row r="1653" spans="1:5">
      <c r="A1653" s="66" t="s">
        <v>1186</v>
      </c>
      <c r="B1653" s="42"/>
      <c r="C1653" s="63" t="s">
        <v>1671</v>
      </c>
      <c r="D1653" s="62"/>
      <c r="E1653" s="64">
        <v>69020479</v>
      </c>
    </row>
    <row r="1654" spans="1:5">
      <c r="A1654" s="68" t="s">
        <v>1186</v>
      </c>
      <c r="B1654" s="69"/>
      <c r="C1654" s="70" t="s">
        <v>1672</v>
      </c>
      <c r="D1654" s="71"/>
      <c r="E1654" s="72">
        <v>67584858</v>
      </c>
    </row>
    <row r="1655" spans="1:5">
      <c r="A1655" s="66" t="s">
        <v>1186</v>
      </c>
      <c r="B1655" s="42"/>
      <c r="C1655" s="63" t="s">
        <v>1673</v>
      </c>
      <c r="D1655" s="62"/>
      <c r="E1655" s="64">
        <v>66326962</v>
      </c>
    </row>
    <row r="1656" spans="1:5">
      <c r="A1656" s="68" t="s">
        <v>1186</v>
      </c>
      <c r="B1656" s="69"/>
      <c r="C1656" s="70" t="s">
        <v>1674</v>
      </c>
      <c r="D1656" s="71"/>
      <c r="E1656" s="72">
        <v>63565876</v>
      </c>
    </row>
    <row r="1657" spans="1:5">
      <c r="A1657" s="66" t="s">
        <v>1186</v>
      </c>
      <c r="B1657" s="42"/>
      <c r="C1657" s="63" t="s">
        <v>1675</v>
      </c>
      <c r="D1657" s="62"/>
      <c r="E1657" s="64">
        <v>65906628</v>
      </c>
    </row>
    <row r="1658" spans="1:5">
      <c r="A1658" s="68" t="s">
        <v>1186</v>
      </c>
      <c r="B1658" s="69"/>
      <c r="C1658" s="70" t="s">
        <v>1676</v>
      </c>
      <c r="D1658" s="71"/>
      <c r="E1658" s="72">
        <v>66322745</v>
      </c>
    </row>
    <row r="1659" spans="1:5">
      <c r="A1659" s="66" t="s">
        <v>1186</v>
      </c>
      <c r="B1659" s="42"/>
      <c r="C1659" s="63" t="s">
        <v>1677</v>
      </c>
      <c r="D1659" s="62"/>
      <c r="E1659" s="64">
        <v>66266697</v>
      </c>
    </row>
    <row r="1660" spans="1:5">
      <c r="A1660" s="68" t="s">
        <v>1186</v>
      </c>
      <c r="B1660" s="69"/>
      <c r="C1660" s="70" t="s">
        <v>1678</v>
      </c>
      <c r="D1660" s="71"/>
      <c r="E1660" s="72">
        <v>64747906</v>
      </c>
    </row>
    <row r="1661" spans="1:5">
      <c r="A1661" s="66" t="s">
        <v>1186</v>
      </c>
      <c r="B1661" s="42"/>
      <c r="C1661" s="63" t="s">
        <v>1679</v>
      </c>
      <c r="D1661" s="62"/>
      <c r="E1661" s="64">
        <v>68985276</v>
      </c>
    </row>
    <row r="1662" spans="1:5">
      <c r="A1662" s="68" t="s">
        <v>1186</v>
      </c>
      <c r="B1662" s="69"/>
      <c r="C1662" s="70" t="s">
        <v>1680</v>
      </c>
      <c r="D1662" s="71"/>
      <c r="E1662" s="72">
        <v>61002152</v>
      </c>
    </row>
    <row r="1663" spans="1:5">
      <c r="A1663" s="66" t="s">
        <v>1186</v>
      </c>
      <c r="B1663" s="42"/>
      <c r="C1663" s="63" t="s">
        <v>1681</v>
      </c>
      <c r="D1663" s="62"/>
      <c r="E1663" s="64">
        <v>69027986</v>
      </c>
    </row>
    <row r="1664" spans="1:5">
      <c r="A1664" s="68" t="s">
        <v>1186</v>
      </c>
      <c r="B1664" s="69"/>
      <c r="C1664" s="70" t="s">
        <v>1682</v>
      </c>
      <c r="D1664" s="71"/>
      <c r="E1664" s="72">
        <v>64516264</v>
      </c>
    </row>
    <row r="1665" spans="1:5">
      <c r="A1665" s="66" t="s">
        <v>1186</v>
      </c>
      <c r="B1665" s="42"/>
      <c r="C1665" s="63" t="s">
        <v>1683</v>
      </c>
      <c r="D1665" s="62"/>
      <c r="E1665" s="64">
        <v>66012059</v>
      </c>
    </row>
    <row r="1666" spans="1:5">
      <c r="A1666" s="68" t="s">
        <v>1186</v>
      </c>
      <c r="B1666" s="69"/>
      <c r="C1666" s="70" t="s">
        <v>1684</v>
      </c>
      <c r="D1666" s="71"/>
      <c r="E1666" s="72">
        <v>68241224</v>
      </c>
    </row>
    <row r="1667" spans="1:5">
      <c r="A1667" s="66" t="s">
        <v>1186</v>
      </c>
      <c r="B1667" s="42"/>
      <c r="C1667" s="63" t="s">
        <v>1685</v>
      </c>
      <c r="D1667" s="62"/>
      <c r="E1667" s="64">
        <v>68268644</v>
      </c>
    </row>
    <row r="1668" spans="1:5">
      <c r="A1668" s="68" t="s">
        <v>1186</v>
      </c>
      <c r="B1668" s="69"/>
      <c r="C1668" s="70" t="s">
        <v>1686</v>
      </c>
      <c r="D1668" s="71"/>
      <c r="E1668" s="72">
        <v>60587260</v>
      </c>
    </row>
    <row r="1669" spans="1:5">
      <c r="A1669" s="66" t="s">
        <v>1186</v>
      </c>
      <c r="B1669" s="42"/>
      <c r="C1669" s="63" t="s">
        <v>1687</v>
      </c>
      <c r="D1669" s="62"/>
      <c r="E1669" s="64">
        <v>67421603</v>
      </c>
    </row>
    <row r="1670" spans="1:5">
      <c r="A1670" s="68" t="s">
        <v>1186</v>
      </c>
      <c r="B1670" s="69"/>
      <c r="C1670" s="70" t="s">
        <v>1688</v>
      </c>
      <c r="D1670" s="71"/>
      <c r="E1670" s="72">
        <v>61665204</v>
      </c>
    </row>
    <row r="1671" spans="1:5">
      <c r="A1671" s="66" t="s">
        <v>1186</v>
      </c>
      <c r="B1671" s="42"/>
      <c r="C1671" s="63" t="s">
        <v>1689</v>
      </c>
      <c r="D1671" s="62"/>
      <c r="E1671" s="64">
        <v>65103221</v>
      </c>
    </row>
    <row r="1672" spans="1:5">
      <c r="A1672" s="68" t="s">
        <v>1186</v>
      </c>
      <c r="B1672" s="69"/>
      <c r="C1672" s="70" t="s">
        <v>1690</v>
      </c>
      <c r="D1672" s="71"/>
      <c r="E1672" s="72">
        <v>63689157</v>
      </c>
    </row>
    <row r="1673" spans="1:5">
      <c r="A1673" s="66" t="s">
        <v>1186</v>
      </c>
      <c r="B1673" s="42"/>
      <c r="C1673" s="63" t="s">
        <v>1691</v>
      </c>
      <c r="D1673" s="62"/>
      <c r="E1673" s="64">
        <v>61178234</v>
      </c>
    </row>
    <row r="1674" spans="1:5">
      <c r="A1674" s="68" t="s">
        <v>1186</v>
      </c>
      <c r="B1674" s="69"/>
      <c r="C1674" s="70" t="s">
        <v>1692</v>
      </c>
      <c r="D1674" s="71"/>
      <c r="E1674" s="72">
        <v>61622561</v>
      </c>
    </row>
    <row r="1675" spans="1:5">
      <c r="A1675" s="66" t="s">
        <v>1186</v>
      </c>
      <c r="B1675" s="42"/>
      <c r="C1675" s="63" t="s">
        <v>1693</v>
      </c>
      <c r="D1675" s="62"/>
      <c r="E1675" s="64">
        <v>63347336</v>
      </c>
    </row>
    <row r="1676" spans="1:5">
      <c r="A1676" s="68" t="s">
        <v>1186</v>
      </c>
      <c r="B1676" s="69"/>
      <c r="C1676" s="70" t="s">
        <v>1694</v>
      </c>
      <c r="D1676" s="71"/>
      <c r="E1676" s="72">
        <v>68526151</v>
      </c>
    </row>
    <row r="1677" spans="1:5">
      <c r="A1677" s="66" t="s">
        <v>1186</v>
      </c>
      <c r="B1677" s="42"/>
      <c r="C1677" s="63" t="s">
        <v>1695</v>
      </c>
      <c r="D1677" s="62"/>
      <c r="E1677" s="64">
        <v>61903284</v>
      </c>
    </row>
    <row r="1678" spans="1:5">
      <c r="A1678" s="68" t="s">
        <v>1186</v>
      </c>
      <c r="B1678" s="69"/>
      <c r="C1678" s="70" t="s">
        <v>1696</v>
      </c>
      <c r="D1678" s="71"/>
      <c r="E1678" s="72">
        <v>66947712</v>
      </c>
    </row>
    <row r="1679" spans="1:5">
      <c r="A1679" s="66" t="s">
        <v>1186</v>
      </c>
      <c r="B1679" s="42"/>
      <c r="C1679" s="63" t="s">
        <v>1697</v>
      </c>
      <c r="D1679" s="62"/>
      <c r="E1679" s="64">
        <v>66247486</v>
      </c>
    </row>
    <row r="1680" spans="1:5">
      <c r="A1680" s="68" t="s">
        <v>1186</v>
      </c>
      <c r="B1680" s="69"/>
      <c r="C1680" s="70" t="s">
        <v>1698</v>
      </c>
      <c r="D1680" s="71"/>
      <c r="E1680" s="72">
        <v>68439098</v>
      </c>
    </row>
    <row r="1681" spans="1:5">
      <c r="A1681" s="66" t="s">
        <v>1186</v>
      </c>
      <c r="B1681" s="42"/>
      <c r="C1681" s="63" t="s">
        <v>1699</v>
      </c>
      <c r="D1681" s="62"/>
      <c r="E1681" s="64">
        <v>67438499</v>
      </c>
    </row>
    <row r="1682" spans="1:5">
      <c r="A1682" s="68" t="s">
        <v>1186</v>
      </c>
      <c r="B1682" s="69"/>
      <c r="C1682" s="70" t="s">
        <v>1700</v>
      </c>
      <c r="D1682" s="71"/>
      <c r="E1682" s="72">
        <v>60149805</v>
      </c>
    </row>
    <row r="1683" spans="1:5">
      <c r="A1683" s="66" t="s">
        <v>1186</v>
      </c>
      <c r="B1683" s="42"/>
      <c r="C1683" s="63" t="s">
        <v>1701</v>
      </c>
      <c r="D1683" s="62"/>
      <c r="E1683" s="64">
        <v>67962489</v>
      </c>
    </row>
    <row r="1684" spans="1:5">
      <c r="A1684" s="68" t="s">
        <v>1186</v>
      </c>
      <c r="B1684" s="69"/>
      <c r="C1684" s="70" t="s">
        <v>1702</v>
      </c>
      <c r="D1684" s="71"/>
      <c r="E1684" s="72">
        <v>66706030</v>
      </c>
    </row>
    <row r="1685" spans="1:5">
      <c r="A1685" s="66" t="s">
        <v>1186</v>
      </c>
      <c r="B1685" s="42"/>
      <c r="C1685" s="63" t="s">
        <v>1703</v>
      </c>
      <c r="D1685" s="62"/>
      <c r="E1685" s="64">
        <v>68697326</v>
      </c>
    </row>
    <row r="1686" spans="1:5">
      <c r="A1686" s="68" t="s">
        <v>1186</v>
      </c>
      <c r="B1686" s="69"/>
      <c r="C1686" s="70" t="s">
        <v>1704</v>
      </c>
      <c r="D1686" s="71"/>
      <c r="E1686" s="72">
        <v>67290343</v>
      </c>
    </row>
    <row r="1687" spans="1:5">
      <c r="A1687" s="66" t="s">
        <v>1186</v>
      </c>
      <c r="B1687" s="42"/>
      <c r="C1687" s="63" t="s">
        <v>1705</v>
      </c>
      <c r="D1687" s="62"/>
      <c r="E1687" s="64">
        <v>63712920</v>
      </c>
    </row>
    <row r="1688" spans="1:5">
      <c r="A1688" s="68" t="s">
        <v>1186</v>
      </c>
      <c r="B1688" s="69"/>
      <c r="C1688" s="70" t="s">
        <v>1706</v>
      </c>
      <c r="D1688" s="71"/>
      <c r="E1688" s="72">
        <v>67775154</v>
      </c>
    </row>
    <row r="1689" spans="1:5">
      <c r="A1689" s="66" t="s">
        <v>1186</v>
      </c>
      <c r="B1689" s="42"/>
      <c r="C1689" s="63" t="s">
        <v>1707</v>
      </c>
      <c r="D1689" s="62"/>
      <c r="E1689" s="67">
        <v>66878670</v>
      </c>
    </row>
    <row r="1690" spans="1:5">
      <c r="A1690" s="68" t="s">
        <v>1186</v>
      </c>
      <c r="B1690" s="69"/>
      <c r="C1690" s="70" t="s">
        <v>1708</v>
      </c>
      <c r="D1690" s="71"/>
      <c r="E1690" s="73">
        <v>7201152</v>
      </c>
    </row>
    <row r="1691" spans="1:5">
      <c r="A1691" s="66" t="s">
        <v>1186</v>
      </c>
      <c r="B1691" s="42"/>
      <c r="C1691" s="63" t="s">
        <v>1709</v>
      </c>
      <c r="D1691" s="62"/>
      <c r="E1691" s="67">
        <v>66961664</v>
      </c>
    </row>
    <row r="1692" spans="1:5">
      <c r="A1692" s="68" t="s">
        <v>1186</v>
      </c>
      <c r="B1692" s="69"/>
      <c r="C1692" s="70" t="s">
        <v>1710</v>
      </c>
      <c r="D1692" s="71"/>
      <c r="E1692" s="73">
        <v>62014656</v>
      </c>
    </row>
    <row r="1693" spans="1:5">
      <c r="A1693" s="66" t="s">
        <v>1186</v>
      </c>
      <c r="B1693" s="42"/>
      <c r="C1693" s="63" t="s">
        <v>1711</v>
      </c>
      <c r="D1693" s="62"/>
      <c r="E1693" s="67">
        <v>67811327</v>
      </c>
    </row>
    <row r="1694" spans="1:5">
      <c r="A1694" s="68" t="s">
        <v>1186</v>
      </c>
      <c r="B1694" s="69"/>
      <c r="C1694" s="70" t="s">
        <v>1712</v>
      </c>
      <c r="D1694" s="71"/>
      <c r="E1694" s="73">
        <v>66143599</v>
      </c>
    </row>
    <row r="1695" spans="1:5">
      <c r="A1695" s="66" t="s">
        <v>1186</v>
      </c>
      <c r="B1695" s="42"/>
      <c r="C1695" s="63" t="s">
        <v>1713</v>
      </c>
      <c r="D1695" s="62"/>
      <c r="E1695" s="67">
        <v>7751301</v>
      </c>
    </row>
    <row r="1696" spans="1:5">
      <c r="A1696" s="68" t="s">
        <v>1186</v>
      </c>
      <c r="B1696" s="69"/>
      <c r="C1696" s="70" t="s">
        <v>1714</v>
      </c>
      <c r="D1696" s="71"/>
      <c r="E1696" s="73">
        <v>63762481</v>
      </c>
    </row>
    <row r="1697" spans="1:5">
      <c r="A1697" s="66" t="s">
        <v>1186</v>
      </c>
      <c r="B1697" s="42"/>
      <c r="C1697" s="63" t="s">
        <v>1715</v>
      </c>
      <c r="D1697" s="62"/>
      <c r="E1697" s="67">
        <v>67007216</v>
      </c>
    </row>
    <row r="1698" spans="1:5">
      <c r="A1698" s="68" t="s">
        <v>1186</v>
      </c>
      <c r="B1698" s="69"/>
      <c r="C1698" s="70" t="s">
        <v>1716</v>
      </c>
      <c r="D1698" s="71"/>
      <c r="E1698" s="73">
        <v>66171599</v>
      </c>
    </row>
    <row r="1699" spans="1:5">
      <c r="A1699" s="66" t="s">
        <v>1186</v>
      </c>
      <c r="B1699" s="42"/>
      <c r="C1699" s="63" t="s">
        <v>1717</v>
      </c>
      <c r="D1699" s="62"/>
      <c r="E1699" s="67">
        <v>68233004</v>
      </c>
    </row>
    <row r="1700" spans="1:5">
      <c r="A1700" s="68" t="s">
        <v>1186</v>
      </c>
      <c r="B1700" s="69"/>
      <c r="C1700" s="70" t="s">
        <v>1718</v>
      </c>
      <c r="D1700" s="71"/>
      <c r="E1700" s="73">
        <v>64154434</v>
      </c>
    </row>
    <row r="1701" spans="1:5">
      <c r="A1701" s="66" t="s">
        <v>1186</v>
      </c>
      <c r="B1701" s="42"/>
      <c r="C1701" s="63" t="s">
        <v>1719</v>
      </c>
      <c r="D1701" s="62"/>
      <c r="E1701" s="67">
        <v>7706533</v>
      </c>
    </row>
    <row r="1702" spans="1:5">
      <c r="A1702" s="68" t="s">
        <v>1186</v>
      </c>
      <c r="B1702" s="69"/>
      <c r="C1702" s="70" t="s">
        <v>1720</v>
      </c>
      <c r="D1702" s="71"/>
      <c r="E1702" s="73">
        <v>7305290</v>
      </c>
    </row>
    <row r="1703" spans="1:5">
      <c r="A1703" s="66" t="s">
        <v>1186</v>
      </c>
      <c r="B1703" s="42"/>
      <c r="C1703" s="63" t="s">
        <v>1721</v>
      </c>
      <c r="D1703" s="62"/>
      <c r="E1703" s="67">
        <v>66782778</v>
      </c>
    </row>
    <row r="1704" spans="1:5">
      <c r="A1704" s="68" t="s">
        <v>1186</v>
      </c>
      <c r="B1704" s="69"/>
      <c r="C1704" s="70" t="s">
        <v>1722</v>
      </c>
      <c r="D1704" s="71"/>
      <c r="E1704" s="73">
        <v>7304779</v>
      </c>
    </row>
    <row r="1705" spans="1:5">
      <c r="A1705" s="66" t="s">
        <v>1186</v>
      </c>
      <c r="B1705" s="42"/>
      <c r="C1705" s="63" t="s">
        <v>1723</v>
      </c>
      <c r="D1705" s="62"/>
      <c r="E1705" s="67">
        <v>66915714</v>
      </c>
    </row>
    <row r="1706" spans="1:5">
      <c r="A1706" s="68" t="s">
        <v>1186</v>
      </c>
      <c r="B1706" s="69"/>
      <c r="C1706" s="70" t="s">
        <v>1724</v>
      </c>
      <c r="D1706" s="71"/>
      <c r="E1706" s="73">
        <v>66373852</v>
      </c>
    </row>
    <row r="1707" spans="1:5">
      <c r="A1707" s="66" t="s">
        <v>1186</v>
      </c>
      <c r="B1707" s="42"/>
      <c r="C1707" s="63" t="s">
        <v>1725</v>
      </c>
      <c r="D1707" s="62"/>
      <c r="E1707" s="67">
        <v>69808639</v>
      </c>
    </row>
    <row r="1708" spans="1:5">
      <c r="A1708" s="68" t="s">
        <v>1186</v>
      </c>
      <c r="B1708" s="69"/>
      <c r="C1708" s="70" t="s">
        <v>1726</v>
      </c>
      <c r="D1708" s="71"/>
      <c r="E1708" s="73">
        <v>62006472</v>
      </c>
    </row>
    <row r="1709" spans="1:5" ht="30">
      <c r="A1709" s="66" t="s">
        <v>1727</v>
      </c>
      <c r="B1709" s="42"/>
      <c r="C1709" s="63" t="s">
        <v>1728</v>
      </c>
      <c r="D1709" s="62"/>
      <c r="E1709" s="67">
        <v>66771497</v>
      </c>
    </row>
    <row r="1710" spans="1:5" ht="30">
      <c r="A1710" s="68" t="s">
        <v>1729</v>
      </c>
      <c r="B1710" s="69"/>
      <c r="C1710" s="70" t="s">
        <v>1730</v>
      </c>
      <c r="D1710" s="71"/>
      <c r="E1710" s="72">
        <v>65373528</v>
      </c>
    </row>
    <row r="1711" spans="1:5" ht="30">
      <c r="A1711" s="66" t="s">
        <v>1729</v>
      </c>
      <c r="B1711" s="42"/>
      <c r="C1711" s="63" t="s">
        <v>1731</v>
      </c>
      <c r="D1711" s="62"/>
      <c r="E1711" s="64">
        <v>68325124</v>
      </c>
    </row>
    <row r="1712" spans="1:5" ht="30">
      <c r="A1712" s="68" t="s">
        <v>1729</v>
      </c>
      <c r="B1712" s="69"/>
      <c r="C1712" s="70" t="s">
        <v>1732</v>
      </c>
      <c r="D1712" s="71"/>
      <c r="E1712" s="72">
        <v>7309466</v>
      </c>
    </row>
    <row r="1713" spans="1:5" ht="30">
      <c r="A1713" s="66" t="s">
        <v>1729</v>
      </c>
      <c r="B1713" s="42"/>
      <c r="C1713" s="63" t="s">
        <v>1733</v>
      </c>
      <c r="D1713" s="62"/>
      <c r="E1713" s="64">
        <v>68870837</v>
      </c>
    </row>
    <row r="1714" spans="1:5" ht="30">
      <c r="A1714" s="68" t="s">
        <v>1729</v>
      </c>
      <c r="B1714" s="69"/>
      <c r="C1714" s="70" t="s">
        <v>1734</v>
      </c>
      <c r="D1714" s="71"/>
      <c r="E1714" s="72">
        <v>7303521</v>
      </c>
    </row>
    <row r="1715" spans="1:5" ht="30">
      <c r="A1715" s="66" t="s">
        <v>1729</v>
      </c>
      <c r="B1715" s="42"/>
      <c r="C1715" s="63" t="s">
        <v>1735</v>
      </c>
      <c r="D1715" s="62"/>
      <c r="E1715" s="64">
        <v>69804126</v>
      </c>
    </row>
    <row r="1716" spans="1:5" ht="30">
      <c r="A1716" s="68" t="s">
        <v>1729</v>
      </c>
      <c r="B1716" s="69"/>
      <c r="C1716" s="70" t="s">
        <v>1736</v>
      </c>
      <c r="D1716" s="71"/>
      <c r="E1716" s="72">
        <v>65418314</v>
      </c>
    </row>
    <row r="1717" spans="1:5" ht="30">
      <c r="A1717" s="66" t="s">
        <v>1729</v>
      </c>
      <c r="B1717" s="42"/>
      <c r="C1717" s="63" t="s">
        <v>1737</v>
      </c>
      <c r="D1717" s="62"/>
      <c r="E1717" s="64">
        <v>66573602</v>
      </c>
    </row>
    <row r="1718" spans="1:5" ht="30">
      <c r="A1718" s="68" t="s">
        <v>1729</v>
      </c>
      <c r="B1718" s="69"/>
      <c r="C1718" s="70" t="s">
        <v>1738</v>
      </c>
      <c r="D1718" s="71"/>
      <c r="E1718" s="72">
        <v>61364315</v>
      </c>
    </row>
    <row r="1719" spans="1:5" ht="30">
      <c r="A1719" s="66" t="s">
        <v>1729</v>
      </c>
      <c r="B1719" s="42"/>
      <c r="C1719" s="63" t="s">
        <v>1739</v>
      </c>
      <c r="D1719" s="62"/>
      <c r="E1719" s="64">
        <v>65064932</v>
      </c>
    </row>
    <row r="1720" spans="1:5" ht="30">
      <c r="A1720" s="68" t="s">
        <v>1729</v>
      </c>
      <c r="B1720" s="69"/>
      <c r="C1720" s="70" t="s">
        <v>1740</v>
      </c>
      <c r="D1720" s="71"/>
      <c r="E1720" s="72">
        <v>63264827</v>
      </c>
    </row>
    <row r="1721" spans="1:5" ht="30">
      <c r="A1721" s="66" t="s">
        <v>1729</v>
      </c>
      <c r="B1721" s="42"/>
      <c r="C1721" s="63" t="s">
        <v>1741</v>
      </c>
      <c r="D1721" s="62"/>
      <c r="E1721" s="64">
        <v>63189695</v>
      </c>
    </row>
    <row r="1722" spans="1:5" ht="30">
      <c r="A1722" s="68" t="s">
        <v>1729</v>
      </c>
      <c r="B1722" s="69"/>
      <c r="C1722" s="70" t="s">
        <v>1742</v>
      </c>
      <c r="D1722" s="71"/>
      <c r="E1722" s="72">
        <v>65886096</v>
      </c>
    </row>
    <row r="1723" spans="1:5" ht="30">
      <c r="A1723" s="66" t="s">
        <v>1729</v>
      </c>
      <c r="B1723" s="42"/>
      <c r="C1723" s="63" t="s">
        <v>1743</v>
      </c>
      <c r="D1723" s="62"/>
      <c r="E1723" s="64">
        <v>65564004</v>
      </c>
    </row>
    <row r="1724" spans="1:5" ht="30">
      <c r="A1724" s="68" t="s">
        <v>1729</v>
      </c>
      <c r="B1724" s="69"/>
      <c r="C1724" s="70" t="s">
        <v>1744</v>
      </c>
      <c r="D1724" s="71"/>
      <c r="E1724" s="72">
        <v>63753062</v>
      </c>
    </row>
    <row r="1725" spans="1:5" ht="30">
      <c r="A1725" s="66" t="s">
        <v>1729</v>
      </c>
      <c r="B1725" s="42"/>
      <c r="C1725" s="63" t="s">
        <v>1745</v>
      </c>
      <c r="D1725" s="62"/>
      <c r="E1725" s="64">
        <v>69298203</v>
      </c>
    </row>
    <row r="1726" spans="1:5" ht="30">
      <c r="A1726" s="68" t="s">
        <v>1729</v>
      </c>
      <c r="B1726" s="69"/>
      <c r="C1726" s="70" t="s">
        <v>1746</v>
      </c>
      <c r="D1726" s="71"/>
      <c r="E1726" s="72">
        <v>65824653</v>
      </c>
    </row>
    <row r="1727" spans="1:5" ht="30">
      <c r="A1727" s="66" t="s">
        <v>1729</v>
      </c>
      <c r="B1727" s="42"/>
      <c r="C1727" s="63" t="s">
        <v>1747</v>
      </c>
      <c r="D1727" s="62"/>
      <c r="E1727" s="64">
        <v>61692953</v>
      </c>
    </row>
    <row r="1728" spans="1:5" ht="30">
      <c r="A1728" s="68" t="s">
        <v>1729</v>
      </c>
      <c r="B1728" s="69"/>
      <c r="C1728" s="70" t="s">
        <v>1748</v>
      </c>
      <c r="D1728" s="71"/>
      <c r="E1728" s="72">
        <v>63827061</v>
      </c>
    </row>
    <row r="1729" spans="1:5" ht="30">
      <c r="A1729" s="66" t="s">
        <v>1729</v>
      </c>
      <c r="B1729" s="42"/>
      <c r="C1729" s="63" t="s">
        <v>1749</v>
      </c>
      <c r="D1729" s="62"/>
      <c r="E1729" s="64">
        <v>64478200</v>
      </c>
    </row>
    <row r="1730" spans="1:5" ht="30">
      <c r="A1730" s="68" t="s">
        <v>1729</v>
      </c>
      <c r="B1730" s="69"/>
      <c r="C1730" s="70" t="s">
        <v>1750</v>
      </c>
      <c r="D1730" s="71"/>
      <c r="E1730" s="72">
        <v>60603819</v>
      </c>
    </row>
    <row r="1731" spans="1:5" ht="30">
      <c r="A1731" s="66" t="s">
        <v>1729</v>
      </c>
      <c r="B1731" s="42"/>
      <c r="C1731" s="63" t="s">
        <v>1751</v>
      </c>
      <c r="D1731" s="62"/>
      <c r="E1731" s="64">
        <v>63990570</v>
      </c>
    </row>
    <row r="1732" spans="1:5" ht="30">
      <c r="A1732" s="68" t="s">
        <v>1729</v>
      </c>
      <c r="B1732" s="69"/>
      <c r="C1732" s="70" t="s">
        <v>1752</v>
      </c>
      <c r="D1732" s="71"/>
      <c r="E1732" s="72">
        <v>69047666</v>
      </c>
    </row>
    <row r="1733" spans="1:5" ht="30">
      <c r="A1733" s="66" t="s">
        <v>1729</v>
      </c>
      <c r="B1733" s="42"/>
      <c r="C1733" s="63" t="s">
        <v>1753</v>
      </c>
      <c r="D1733" s="62"/>
      <c r="E1733" s="64">
        <v>66495186</v>
      </c>
    </row>
    <row r="1734" spans="1:5" ht="30">
      <c r="A1734" s="68" t="s">
        <v>1729</v>
      </c>
      <c r="B1734" s="69"/>
      <c r="C1734" s="70" t="s">
        <v>1754</v>
      </c>
      <c r="D1734" s="71"/>
      <c r="E1734" s="72">
        <v>67650056</v>
      </c>
    </row>
    <row r="1735" spans="1:5" ht="30">
      <c r="A1735" s="66" t="s">
        <v>1729</v>
      </c>
      <c r="B1735" s="42"/>
      <c r="C1735" s="63" t="s">
        <v>1755</v>
      </c>
      <c r="D1735" s="62"/>
      <c r="E1735" s="64">
        <v>68625593</v>
      </c>
    </row>
    <row r="1736" spans="1:5" ht="30">
      <c r="A1736" s="68" t="s">
        <v>1729</v>
      </c>
      <c r="B1736" s="69"/>
      <c r="C1736" s="70" t="s">
        <v>1756</v>
      </c>
      <c r="D1736" s="71"/>
      <c r="E1736" s="72">
        <v>66202890</v>
      </c>
    </row>
    <row r="1737" spans="1:5" ht="30">
      <c r="A1737" s="66" t="s">
        <v>1729</v>
      </c>
      <c r="B1737" s="42"/>
      <c r="C1737" s="63" t="s">
        <v>1757</v>
      </c>
      <c r="D1737" s="62"/>
      <c r="E1737" s="64">
        <v>67355371</v>
      </c>
    </row>
    <row r="1738" spans="1:5" ht="30">
      <c r="A1738" s="68" t="s">
        <v>1729</v>
      </c>
      <c r="B1738" s="69"/>
      <c r="C1738" s="70" t="s">
        <v>1758</v>
      </c>
      <c r="D1738" s="71"/>
      <c r="E1738" s="72">
        <v>7580885</v>
      </c>
    </row>
    <row r="1739" spans="1:5" ht="30">
      <c r="A1739" s="66" t="s">
        <v>1729</v>
      </c>
      <c r="B1739" s="42"/>
      <c r="C1739" s="63" t="s">
        <v>1759</v>
      </c>
      <c r="D1739" s="62"/>
      <c r="E1739" s="64">
        <v>68370119</v>
      </c>
    </row>
    <row r="1740" spans="1:5" ht="30">
      <c r="A1740" s="68" t="s">
        <v>1729</v>
      </c>
      <c r="B1740" s="69"/>
      <c r="C1740" s="70" t="s">
        <v>1760</v>
      </c>
      <c r="D1740" s="71"/>
      <c r="E1740" s="72">
        <v>62985166</v>
      </c>
    </row>
    <row r="1741" spans="1:5" ht="30">
      <c r="A1741" s="66" t="s">
        <v>1729</v>
      </c>
      <c r="B1741" s="42"/>
      <c r="C1741" s="63" t="s">
        <v>1761</v>
      </c>
      <c r="D1741" s="62"/>
      <c r="E1741" s="64">
        <v>64647123</v>
      </c>
    </row>
    <row r="1742" spans="1:5" ht="30">
      <c r="A1742" s="68" t="s">
        <v>1729</v>
      </c>
      <c r="B1742" s="69"/>
      <c r="C1742" s="70" t="s">
        <v>1762</v>
      </c>
      <c r="D1742" s="71"/>
      <c r="E1742" s="72">
        <v>66224441</v>
      </c>
    </row>
    <row r="1743" spans="1:5" ht="30">
      <c r="A1743" s="66" t="s">
        <v>1729</v>
      </c>
      <c r="B1743" s="42"/>
      <c r="C1743" s="63" t="s">
        <v>1763</v>
      </c>
      <c r="D1743" s="62"/>
      <c r="E1743" s="64">
        <v>69381910</v>
      </c>
    </row>
    <row r="1744" spans="1:5" ht="30">
      <c r="A1744" s="68" t="s">
        <v>1729</v>
      </c>
      <c r="B1744" s="69"/>
      <c r="C1744" s="70" t="s">
        <v>1764</v>
      </c>
      <c r="D1744" s="71"/>
      <c r="E1744" s="72">
        <v>65887879</v>
      </c>
    </row>
    <row r="1745" spans="1:5" ht="30">
      <c r="A1745" s="66" t="s">
        <v>1729</v>
      </c>
      <c r="B1745" s="42"/>
      <c r="C1745" s="63" t="s">
        <v>1765</v>
      </c>
      <c r="D1745" s="62"/>
      <c r="E1745" s="64">
        <v>69777775</v>
      </c>
    </row>
    <row r="1746" spans="1:5" ht="30">
      <c r="A1746" s="68" t="s">
        <v>1729</v>
      </c>
      <c r="B1746" s="69"/>
      <c r="C1746" s="70" t="s">
        <v>1766</v>
      </c>
      <c r="D1746" s="71"/>
      <c r="E1746" s="72">
        <v>64377418</v>
      </c>
    </row>
    <row r="1747" spans="1:5" ht="30">
      <c r="A1747" s="66" t="s">
        <v>1729</v>
      </c>
      <c r="B1747" s="42"/>
      <c r="C1747" s="63" t="s">
        <v>1767</v>
      </c>
      <c r="D1747" s="62"/>
      <c r="E1747" s="64">
        <v>68286232</v>
      </c>
    </row>
    <row r="1748" spans="1:5" ht="30">
      <c r="A1748" s="68" t="s">
        <v>1729</v>
      </c>
      <c r="B1748" s="69"/>
      <c r="C1748" s="70" t="s">
        <v>1768</v>
      </c>
      <c r="D1748" s="71"/>
      <c r="E1748" s="72">
        <v>68411223</v>
      </c>
    </row>
    <row r="1749" spans="1:5" ht="30">
      <c r="A1749" s="66" t="s">
        <v>1729</v>
      </c>
      <c r="B1749" s="42"/>
      <c r="C1749" s="63" t="s">
        <v>1769</v>
      </c>
      <c r="D1749" s="62"/>
      <c r="E1749" s="64">
        <v>65617406</v>
      </c>
    </row>
    <row r="1750" spans="1:5" ht="30">
      <c r="A1750" s="68" t="s">
        <v>1729</v>
      </c>
      <c r="B1750" s="69"/>
      <c r="C1750" s="70" t="s">
        <v>1770</v>
      </c>
      <c r="D1750" s="71"/>
      <c r="E1750" s="72">
        <v>68769492</v>
      </c>
    </row>
    <row r="1751" spans="1:5" ht="30">
      <c r="A1751" s="66" t="s">
        <v>1729</v>
      </c>
      <c r="B1751" s="42"/>
      <c r="C1751" s="63" t="s">
        <v>1771</v>
      </c>
      <c r="D1751" s="62"/>
      <c r="E1751" s="64">
        <v>67311498</v>
      </c>
    </row>
    <row r="1752" spans="1:5" ht="30">
      <c r="A1752" s="68" t="s">
        <v>1729</v>
      </c>
      <c r="B1752" s="69"/>
      <c r="C1752" s="70" t="s">
        <v>1772</v>
      </c>
      <c r="D1752" s="71"/>
      <c r="E1752" s="72">
        <v>62837363</v>
      </c>
    </row>
    <row r="1753" spans="1:5" ht="30">
      <c r="A1753" s="66" t="s">
        <v>1729</v>
      </c>
      <c r="B1753" s="42"/>
      <c r="C1753" s="63" t="s">
        <v>1773</v>
      </c>
      <c r="D1753" s="62"/>
      <c r="E1753" s="64">
        <v>62410510</v>
      </c>
    </row>
    <row r="1754" spans="1:5" ht="30">
      <c r="A1754" s="68" t="s">
        <v>1729</v>
      </c>
      <c r="B1754" s="69"/>
      <c r="C1754" s="70" t="s">
        <v>1774</v>
      </c>
      <c r="D1754" s="71"/>
      <c r="E1754" s="72">
        <v>62443832</v>
      </c>
    </row>
    <row r="1755" spans="1:5" ht="30">
      <c r="A1755" s="66" t="s">
        <v>1729</v>
      </c>
      <c r="B1755" s="42"/>
      <c r="C1755" s="63" t="s">
        <v>1775</v>
      </c>
      <c r="D1755" s="62"/>
      <c r="E1755" s="64">
        <v>66267925</v>
      </c>
    </row>
    <row r="1756" spans="1:5" ht="30">
      <c r="A1756" s="68" t="s">
        <v>1729</v>
      </c>
      <c r="B1756" s="69"/>
      <c r="C1756" s="70" t="s">
        <v>1776</v>
      </c>
      <c r="D1756" s="71"/>
      <c r="E1756" s="72">
        <v>63510457</v>
      </c>
    </row>
    <row r="1757" spans="1:5" ht="30">
      <c r="A1757" s="66" t="s">
        <v>1729</v>
      </c>
      <c r="B1757" s="42"/>
      <c r="C1757" s="63" t="s">
        <v>1777</v>
      </c>
      <c r="D1757" s="62"/>
      <c r="E1757" s="64">
        <v>63708603</v>
      </c>
    </row>
    <row r="1758" spans="1:5" ht="30">
      <c r="A1758" s="68" t="s">
        <v>1729</v>
      </c>
      <c r="B1758" s="69"/>
      <c r="C1758" s="70" t="s">
        <v>1778</v>
      </c>
      <c r="D1758" s="71"/>
      <c r="E1758" s="72">
        <v>68949786</v>
      </c>
    </row>
    <row r="1759" spans="1:5" ht="30">
      <c r="A1759" s="66" t="s">
        <v>1729</v>
      </c>
      <c r="B1759" s="42"/>
      <c r="C1759" s="63" t="s">
        <v>1779</v>
      </c>
      <c r="D1759" s="62"/>
      <c r="E1759" s="64">
        <v>65944631</v>
      </c>
    </row>
    <row r="1760" spans="1:5" ht="30">
      <c r="A1760" s="68" t="s">
        <v>1729</v>
      </c>
      <c r="B1760" s="69"/>
      <c r="C1760" s="70" t="s">
        <v>1780</v>
      </c>
      <c r="D1760" s="71"/>
      <c r="E1760" s="72">
        <v>66267382</v>
      </c>
    </row>
    <row r="1761" spans="1:5" ht="30">
      <c r="A1761" s="66" t="s">
        <v>1729</v>
      </c>
      <c r="B1761" s="42"/>
      <c r="C1761" s="63" t="s">
        <v>1781</v>
      </c>
      <c r="D1761" s="62"/>
      <c r="E1761" s="64">
        <v>66065104</v>
      </c>
    </row>
    <row r="1762" spans="1:5" ht="30">
      <c r="A1762" s="68" t="s">
        <v>1729</v>
      </c>
      <c r="B1762" s="69"/>
      <c r="C1762" s="70" t="s">
        <v>1782</v>
      </c>
      <c r="D1762" s="71"/>
      <c r="E1762" s="72">
        <v>63409485</v>
      </c>
    </row>
    <row r="1763" spans="1:5" ht="30">
      <c r="A1763" s="66" t="s">
        <v>1729</v>
      </c>
      <c r="B1763" s="42"/>
      <c r="C1763" s="63" t="s">
        <v>1783</v>
      </c>
      <c r="D1763" s="62"/>
      <c r="E1763" s="64">
        <v>6859388</v>
      </c>
    </row>
    <row r="1764" spans="1:5" ht="30">
      <c r="A1764" s="68" t="s">
        <v>1729</v>
      </c>
      <c r="B1764" s="69"/>
      <c r="C1764" s="70" t="s">
        <v>1784</v>
      </c>
      <c r="D1764" s="71"/>
      <c r="E1764" s="72">
        <v>64116016</v>
      </c>
    </row>
    <row r="1765" spans="1:5" ht="30">
      <c r="A1765" s="66" t="s">
        <v>1729</v>
      </c>
      <c r="B1765" s="42"/>
      <c r="C1765" s="63" t="s">
        <v>1785</v>
      </c>
      <c r="D1765" s="62"/>
      <c r="E1765" s="64">
        <v>66410171</v>
      </c>
    </row>
    <row r="1766" spans="1:5" ht="30">
      <c r="A1766" s="68" t="s">
        <v>1729</v>
      </c>
      <c r="B1766" s="69"/>
      <c r="C1766" s="70" t="s">
        <v>1786</v>
      </c>
      <c r="D1766" s="71"/>
      <c r="E1766" s="72">
        <v>67361399</v>
      </c>
    </row>
    <row r="1767" spans="1:5" ht="30">
      <c r="A1767" s="66" t="s">
        <v>1729</v>
      </c>
      <c r="B1767" s="42"/>
      <c r="C1767" s="63" t="s">
        <v>1787</v>
      </c>
      <c r="D1767" s="62"/>
      <c r="E1767" s="64">
        <v>65967995</v>
      </c>
    </row>
    <row r="1768" spans="1:5" ht="30">
      <c r="A1768" s="68" t="s">
        <v>1729</v>
      </c>
      <c r="B1768" s="69"/>
      <c r="C1768" s="70" t="s">
        <v>1788</v>
      </c>
      <c r="D1768" s="71"/>
      <c r="E1768" s="72">
        <v>65180079</v>
      </c>
    </row>
    <row r="1769" spans="1:5" ht="30">
      <c r="A1769" s="66" t="s">
        <v>1729</v>
      </c>
      <c r="B1769" s="42"/>
      <c r="C1769" s="63" t="s">
        <v>1789</v>
      </c>
      <c r="D1769" s="62"/>
      <c r="E1769" s="64">
        <v>64494911</v>
      </c>
    </row>
    <row r="1770" spans="1:5" ht="30">
      <c r="A1770" s="68" t="s">
        <v>1729</v>
      </c>
      <c r="B1770" s="69"/>
      <c r="C1770" s="70" t="s">
        <v>1790</v>
      </c>
      <c r="D1770" s="71"/>
      <c r="E1770" s="72">
        <v>65340102</v>
      </c>
    </row>
    <row r="1771" spans="1:5" ht="30">
      <c r="A1771" s="66" t="s">
        <v>1729</v>
      </c>
      <c r="B1771" s="42"/>
      <c r="C1771" s="63" t="s">
        <v>1791</v>
      </c>
      <c r="D1771" s="62"/>
      <c r="E1771" s="64">
        <v>62238499</v>
      </c>
    </row>
    <row r="1772" spans="1:5" ht="30">
      <c r="A1772" s="68" t="s">
        <v>1729</v>
      </c>
      <c r="B1772" s="69"/>
      <c r="C1772" s="70" t="s">
        <v>1792</v>
      </c>
      <c r="D1772" s="71"/>
      <c r="E1772" s="72">
        <v>63402950</v>
      </c>
    </row>
    <row r="1773" spans="1:5" ht="30">
      <c r="A1773" s="66" t="s">
        <v>1729</v>
      </c>
      <c r="B1773" s="42"/>
      <c r="C1773" s="63" t="s">
        <v>1793</v>
      </c>
      <c r="D1773" s="62"/>
      <c r="E1773" s="64">
        <v>65410341</v>
      </c>
    </row>
    <row r="1774" spans="1:5" ht="30">
      <c r="A1774" s="68" t="s">
        <v>1729</v>
      </c>
      <c r="B1774" s="69"/>
      <c r="C1774" s="70" t="s">
        <v>1794</v>
      </c>
      <c r="D1774" s="71"/>
      <c r="E1774" s="72">
        <v>66768475</v>
      </c>
    </row>
    <row r="1775" spans="1:5" ht="30">
      <c r="A1775" s="66" t="s">
        <v>1729</v>
      </c>
      <c r="B1775" s="42"/>
      <c r="C1775" s="63" t="s">
        <v>1795</v>
      </c>
      <c r="D1775" s="62"/>
      <c r="E1775" s="64">
        <v>63902040</v>
      </c>
    </row>
    <row r="1776" spans="1:5" ht="30">
      <c r="A1776" s="68" t="s">
        <v>1729</v>
      </c>
      <c r="B1776" s="69"/>
      <c r="C1776" s="70" t="s">
        <v>1796</v>
      </c>
      <c r="D1776" s="71"/>
      <c r="E1776" s="72">
        <v>66529750</v>
      </c>
    </row>
    <row r="1777" spans="1:5" ht="30">
      <c r="A1777" s="66" t="s">
        <v>1729</v>
      </c>
      <c r="B1777" s="42"/>
      <c r="C1777" s="63" t="s">
        <v>1797</v>
      </c>
      <c r="D1777" s="62"/>
      <c r="E1777" s="64">
        <v>64101659</v>
      </c>
    </row>
    <row r="1778" spans="1:5" ht="30">
      <c r="A1778" s="68" t="s">
        <v>1729</v>
      </c>
      <c r="B1778" s="69"/>
      <c r="C1778" s="70" t="s">
        <v>1798</v>
      </c>
      <c r="D1778" s="71"/>
      <c r="E1778" s="72">
        <v>7758810</v>
      </c>
    </row>
    <row r="1779" spans="1:5" ht="30">
      <c r="A1779" s="66" t="s">
        <v>1729</v>
      </c>
      <c r="B1779" s="42"/>
      <c r="C1779" s="63" t="s">
        <v>1799</v>
      </c>
      <c r="D1779" s="62"/>
      <c r="E1779" s="64">
        <v>7212522</v>
      </c>
    </row>
    <row r="1780" spans="1:5" ht="30">
      <c r="A1780" s="68" t="s">
        <v>1729</v>
      </c>
      <c r="B1780" s="69"/>
      <c r="C1780" s="70" t="s">
        <v>1800</v>
      </c>
      <c r="D1780" s="71"/>
      <c r="E1780" s="72">
        <v>66445572</v>
      </c>
    </row>
    <row r="1781" spans="1:5" ht="30">
      <c r="A1781" s="66" t="s">
        <v>1729</v>
      </c>
      <c r="B1781" s="42"/>
      <c r="C1781" s="63" t="s">
        <v>1801</v>
      </c>
      <c r="D1781" s="62"/>
      <c r="E1781" s="64">
        <v>65710511</v>
      </c>
    </row>
    <row r="1782" spans="1:5" ht="30">
      <c r="A1782" s="68" t="s">
        <v>1729</v>
      </c>
      <c r="B1782" s="69"/>
      <c r="C1782" s="70" t="s">
        <v>1802</v>
      </c>
      <c r="D1782" s="71"/>
      <c r="E1782" s="72">
        <v>63626578</v>
      </c>
    </row>
    <row r="1783" spans="1:5" ht="30">
      <c r="A1783" s="66" t="s">
        <v>1729</v>
      </c>
      <c r="B1783" s="42"/>
      <c r="C1783" s="63" t="s">
        <v>1803</v>
      </c>
      <c r="D1783" s="62"/>
      <c r="E1783" s="64">
        <v>67223045</v>
      </c>
    </row>
    <row r="1784" spans="1:5" ht="30">
      <c r="A1784" s="68" t="s">
        <v>1729</v>
      </c>
      <c r="B1784" s="69"/>
      <c r="C1784" s="70" t="s">
        <v>1804</v>
      </c>
      <c r="D1784" s="71"/>
      <c r="E1784" s="72">
        <v>62366707</v>
      </c>
    </row>
    <row r="1785" spans="1:5" ht="30">
      <c r="A1785" s="66" t="s">
        <v>1729</v>
      </c>
      <c r="B1785" s="42"/>
      <c r="C1785" s="63" t="s">
        <v>1805</v>
      </c>
      <c r="D1785" s="62"/>
      <c r="E1785" s="64">
        <v>64819441</v>
      </c>
    </row>
    <row r="1786" spans="1:5" ht="30">
      <c r="A1786" s="68" t="s">
        <v>1729</v>
      </c>
      <c r="B1786" s="69"/>
      <c r="C1786" s="70" t="s">
        <v>1806</v>
      </c>
      <c r="D1786" s="71"/>
      <c r="E1786" s="72">
        <v>68473225</v>
      </c>
    </row>
    <row r="1787" spans="1:5" ht="30">
      <c r="A1787" s="66" t="s">
        <v>1729</v>
      </c>
      <c r="B1787" s="42"/>
      <c r="C1787" s="63" t="s">
        <v>1807</v>
      </c>
      <c r="D1787" s="62"/>
      <c r="E1787" s="64">
        <v>66360991</v>
      </c>
    </row>
    <row r="1788" spans="1:5" ht="30">
      <c r="A1788" s="68" t="s">
        <v>1729</v>
      </c>
      <c r="B1788" s="69"/>
      <c r="C1788" s="70" t="s">
        <v>1808</v>
      </c>
      <c r="D1788" s="71"/>
      <c r="E1788" s="72">
        <v>65261285</v>
      </c>
    </row>
    <row r="1789" spans="1:5" ht="30">
      <c r="A1789" s="66" t="s">
        <v>1729</v>
      </c>
      <c r="B1789" s="42"/>
      <c r="C1789" s="63" t="s">
        <v>1809</v>
      </c>
      <c r="D1789" s="62"/>
      <c r="E1789" s="64">
        <v>67241114</v>
      </c>
    </row>
    <row r="1790" spans="1:5" ht="30">
      <c r="A1790" s="68" t="s">
        <v>1729</v>
      </c>
      <c r="B1790" s="69"/>
      <c r="C1790" s="70" t="s">
        <v>1810</v>
      </c>
      <c r="D1790" s="71"/>
      <c r="E1790" s="72">
        <v>65796963</v>
      </c>
    </row>
    <row r="1791" spans="1:5" ht="30">
      <c r="A1791" s="66" t="s">
        <v>1729</v>
      </c>
      <c r="B1791" s="42"/>
      <c r="C1791" s="63" t="s">
        <v>1811</v>
      </c>
      <c r="D1791" s="62"/>
      <c r="E1791" s="64">
        <v>64338212</v>
      </c>
    </row>
    <row r="1792" spans="1:5" ht="30">
      <c r="A1792" s="68" t="s">
        <v>1729</v>
      </c>
      <c r="B1792" s="69"/>
      <c r="C1792" s="70" t="s">
        <v>1812</v>
      </c>
      <c r="D1792" s="71"/>
      <c r="E1792" s="72">
        <v>3010431</v>
      </c>
    </row>
    <row r="1793" spans="1:5" ht="30">
      <c r="A1793" s="66" t="s">
        <v>1729</v>
      </c>
      <c r="B1793" s="42"/>
      <c r="C1793" s="63" t="s">
        <v>1813</v>
      </c>
      <c r="D1793" s="62"/>
      <c r="E1793" s="64">
        <v>7875950</v>
      </c>
    </row>
    <row r="1794" spans="1:5" ht="30">
      <c r="A1794" s="68" t="s">
        <v>1729</v>
      </c>
      <c r="B1794" s="69"/>
      <c r="C1794" s="70" t="s">
        <v>1814</v>
      </c>
      <c r="D1794" s="71"/>
      <c r="E1794" s="72">
        <v>7309390</v>
      </c>
    </row>
    <row r="1795" spans="1:5" ht="30">
      <c r="A1795" s="66" t="s">
        <v>1729</v>
      </c>
      <c r="B1795" s="42"/>
      <c r="C1795" s="63" t="s">
        <v>1815</v>
      </c>
      <c r="D1795" s="62"/>
      <c r="E1795" s="64">
        <v>62186726</v>
      </c>
    </row>
    <row r="1796" spans="1:5" ht="30">
      <c r="A1796" s="68" t="s">
        <v>1729</v>
      </c>
      <c r="B1796" s="69"/>
      <c r="C1796" s="70" t="s">
        <v>1816</v>
      </c>
      <c r="D1796" s="71"/>
      <c r="E1796" s="72">
        <v>69768453</v>
      </c>
    </row>
    <row r="1797" spans="1:5" ht="30">
      <c r="A1797" s="66" t="s">
        <v>1729</v>
      </c>
      <c r="B1797" s="42"/>
      <c r="C1797" s="63" t="s">
        <v>1817</v>
      </c>
      <c r="D1797" s="62"/>
      <c r="E1797" s="64">
        <v>64685499</v>
      </c>
    </row>
    <row r="1798" spans="1:5" ht="30">
      <c r="A1798" s="68" t="s">
        <v>1729</v>
      </c>
      <c r="B1798" s="69"/>
      <c r="C1798" s="70" t="s">
        <v>1818</v>
      </c>
      <c r="D1798" s="71"/>
      <c r="E1798" s="72">
        <v>69109756</v>
      </c>
    </row>
    <row r="1799" spans="1:5" ht="30">
      <c r="A1799" s="66" t="s">
        <v>1729</v>
      </c>
      <c r="B1799" s="42"/>
      <c r="C1799" s="63" t="s">
        <v>1819</v>
      </c>
      <c r="D1799" s="62"/>
      <c r="E1799" s="64">
        <v>66960881</v>
      </c>
    </row>
    <row r="1800" spans="1:5" ht="30">
      <c r="A1800" s="68" t="s">
        <v>1729</v>
      </c>
      <c r="B1800" s="69"/>
      <c r="C1800" s="70" t="s">
        <v>1820</v>
      </c>
      <c r="D1800" s="71"/>
      <c r="E1800" s="72">
        <v>68605417</v>
      </c>
    </row>
    <row r="1801" spans="1:5" ht="30">
      <c r="A1801" s="66" t="s">
        <v>1729</v>
      </c>
      <c r="B1801" s="42"/>
      <c r="C1801" s="63" t="s">
        <v>1821</v>
      </c>
      <c r="D1801" s="62"/>
      <c r="E1801" s="64">
        <v>63013078</v>
      </c>
    </row>
    <row r="1802" spans="1:5" ht="30">
      <c r="A1802" s="68" t="s">
        <v>1729</v>
      </c>
      <c r="B1802" s="69"/>
      <c r="C1802" s="70" t="s">
        <v>1822</v>
      </c>
      <c r="D1802" s="71"/>
      <c r="E1802" s="72">
        <v>65428599</v>
      </c>
    </row>
    <row r="1803" spans="1:5" ht="30">
      <c r="A1803" s="66" t="s">
        <v>1729</v>
      </c>
      <c r="B1803" s="42"/>
      <c r="C1803" s="63" t="s">
        <v>1823</v>
      </c>
      <c r="D1803" s="62"/>
      <c r="E1803" s="64">
        <v>61604936</v>
      </c>
    </row>
    <row r="1804" spans="1:5" ht="30">
      <c r="A1804" s="68" t="s">
        <v>1729</v>
      </c>
      <c r="B1804" s="69"/>
      <c r="C1804" s="70" t="s">
        <v>1824</v>
      </c>
      <c r="D1804" s="71"/>
      <c r="E1804" s="72">
        <v>64830823</v>
      </c>
    </row>
    <row r="1805" spans="1:5" ht="30">
      <c r="A1805" s="66" t="s">
        <v>1729</v>
      </c>
      <c r="B1805" s="42"/>
      <c r="C1805" s="63" t="s">
        <v>1825</v>
      </c>
      <c r="D1805" s="62"/>
      <c r="E1805" s="64">
        <v>67685578</v>
      </c>
    </row>
    <row r="1806" spans="1:5" ht="30">
      <c r="A1806" s="68" t="s">
        <v>1729</v>
      </c>
      <c r="B1806" s="69"/>
      <c r="C1806" s="70" t="s">
        <v>1826</v>
      </c>
      <c r="D1806" s="71"/>
      <c r="E1806" s="72">
        <v>62025443</v>
      </c>
    </row>
    <row r="1807" spans="1:5" ht="30">
      <c r="A1807" s="66" t="s">
        <v>1729</v>
      </c>
      <c r="B1807" s="42"/>
      <c r="C1807" s="63" t="s">
        <v>1827</v>
      </c>
      <c r="D1807" s="62"/>
      <c r="E1807" s="64">
        <v>66313688</v>
      </c>
    </row>
    <row r="1808" spans="1:5" ht="30">
      <c r="A1808" s="68" t="s">
        <v>1729</v>
      </c>
      <c r="B1808" s="69"/>
      <c r="C1808" s="70" t="s">
        <v>1828</v>
      </c>
      <c r="D1808" s="71"/>
      <c r="E1808" s="72">
        <v>62112947</v>
      </c>
    </row>
    <row r="1809" spans="1:5" ht="30">
      <c r="A1809" s="66" t="s">
        <v>1729</v>
      </c>
      <c r="B1809" s="42"/>
      <c r="C1809" s="63" t="s">
        <v>1829</v>
      </c>
      <c r="D1809" s="62"/>
      <c r="E1809" s="64">
        <v>64859766</v>
      </c>
    </row>
    <row r="1810" spans="1:5" ht="30">
      <c r="A1810" s="68" t="s">
        <v>1729</v>
      </c>
      <c r="B1810" s="69"/>
      <c r="C1810" s="70" t="s">
        <v>1830</v>
      </c>
      <c r="D1810" s="71"/>
      <c r="E1810" s="72">
        <v>64221545</v>
      </c>
    </row>
    <row r="1811" spans="1:5" ht="30">
      <c r="A1811" s="66" t="s">
        <v>1729</v>
      </c>
      <c r="B1811" s="42"/>
      <c r="C1811" s="63" t="s">
        <v>1831</v>
      </c>
      <c r="D1811" s="62"/>
      <c r="E1811" s="64">
        <v>69169841</v>
      </c>
    </row>
    <row r="1812" spans="1:5" ht="30">
      <c r="A1812" s="68" t="s">
        <v>1729</v>
      </c>
      <c r="B1812" s="69"/>
      <c r="C1812" s="70" t="s">
        <v>1832</v>
      </c>
      <c r="D1812" s="71"/>
      <c r="E1812" s="72">
        <v>67708920</v>
      </c>
    </row>
    <row r="1813" spans="1:5" ht="30">
      <c r="A1813" s="66" t="s">
        <v>1729</v>
      </c>
      <c r="B1813" s="42"/>
      <c r="C1813" s="63" t="s">
        <v>1833</v>
      </c>
      <c r="D1813" s="62"/>
      <c r="E1813" s="64">
        <v>65631873</v>
      </c>
    </row>
    <row r="1814" spans="1:5" ht="30">
      <c r="A1814" s="68" t="s">
        <v>1729</v>
      </c>
      <c r="B1814" s="69"/>
      <c r="C1814" s="70" t="s">
        <v>1834</v>
      </c>
      <c r="D1814" s="71"/>
      <c r="E1814" s="72">
        <v>68584276</v>
      </c>
    </row>
    <row r="1815" spans="1:5" ht="30">
      <c r="A1815" s="66" t="s">
        <v>1729</v>
      </c>
      <c r="B1815" s="42"/>
      <c r="C1815" s="63" t="s">
        <v>1835</v>
      </c>
      <c r="D1815" s="62"/>
      <c r="E1815" s="64">
        <v>69424145</v>
      </c>
    </row>
    <row r="1816" spans="1:5" ht="30">
      <c r="A1816" s="68" t="s">
        <v>1729</v>
      </c>
      <c r="B1816" s="69"/>
      <c r="C1816" s="70" t="s">
        <v>1836</v>
      </c>
      <c r="D1816" s="71"/>
      <c r="E1816" s="72">
        <v>68881909</v>
      </c>
    </row>
    <row r="1817" spans="1:5" ht="30">
      <c r="A1817" s="66" t="s">
        <v>1729</v>
      </c>
      <c r="B1817" s="42"/>
      <c r="C1817" s="63" t="s">
        <v>1837</v>
      </c>
      <c r="D1817" s="62"/>
      <c r="E1817" s="64">
        <v>64608245</v>
      </c>
    </row>
    <row r="1818" spans="1:5" ht="30">
      <c r="A1818" s="68" t="s">
        <v>1729</v>
      </c>
      <c r="B1818" s="69"/>
      <c r="C1818" s="70" t="s">
        <v>1838</v>
      </c>
      <c r="D1818" s="71"/>
      <c r="E1818" s="72">
        <v>65340337</v>
      </c>
    </row>
    <row r="1819" spans="1:5" ht="30">
      <c r="A1819" s="66" t="s">
        <v>1729</v>
      </c>
      <c r="B1819" s="42"/>
      <c r="C1819" s="63" t="s">
        <v>1839</v>
      </c>
      <c r="D1819" s="62"/>
      <c r="E1819" s="64">
        <v>7307473</v>
      </c>
    </row>
    <row r="1820" spans="1:5" ht="30">
      <c r="A1820" s="68" t="s">
        <v>1729</v>
      </c>
      <c r="B1820" s="69"/>
      <c r="C1820" s="70" t="s">
        <v>1840</v>
      </c>
      <c r="D1820" s="71"/>
      <c r="E1820" s="72">
        <v>64868010</v>
      </c>
    </row>
    <row r="1821" spans="1:5" ht="30">
      <c r="A1821" s="66" t="s">
        <v>1729</v>
      </c>
      <c r="B1821" s="42"/>
      <c r="C1821" s="63" t="s">
        <v>1841</v>
      </c>
      <c r="D1821" s="62"/>
      <c r="E1821" s="64">
        <v>62999760</v>
      </c>
    </row>
    <row r="1822" spans="1:5" ht="30">
      <c r="A1822" s="68" t="s">
        <v>1729</v>
      </c>
      <c r="B1822" s="69"/>
      <c r="C1822" s="70" t="s">
        <v>1842</v>
      </c>
      <c r="D1822" s="71"/>
      <c r="E1822" s="72">
        <v>62736598</v>
      </c>
    </row>
    <row r="1823" spans="1:5" ht="30">
      <c r="A1823" s="66" t="s">
        <v>1729</v>
      </c>
      <c r="B1823" s="42"/>
      <c r="C1823" s="63" t="s">
        <v>1843</v>
      </c>
      <c r="D1823" s="62"/>
      <c r="E1823" s="64">
        <v>65293864</v>
      </c>
    </row>
    <row r="1824" spans="1:5" ht="30">
      <c r="A1824" s="68" t="s">
        <v>1729</v>
      </c>
      <c r="B1824" s="69"/>
      <c r="C1824" s="70" t="s">
        <v>1844</v>
      </c>
      <c r="D1824" s="71"/>
      <c r="E1824" s="72">
        <v>64049347</v>
      </c>
    </row>
    <row r="1825" spans="1:5" ht="30">
      <c r="A1825" s="66" t="s">
        <v>1729</v>
      </c>
      <c r="B1825" s="42"/>
      <c r="C1825" s="63" t="s">
        <v>1845</v>
      </c>
      <c r="D1825" s="62"/>
      <c r="E1825" s="64">
        <v>64101997</v>
      </c>
    </row>
    <row r="1826" spans="1:5" ht="30">
      <c r="A1826" s="68" t="s">
        <v>1729</v>
      </c>
      <c r="B1826" s="69"/>
      <c r="C1826" s="70" t="s">
        <v>1846</v>
      </c>
      <c r="D1826" s="71"/>
      <c r="E1826" s="72">
        <v>69958910</v>
      </c>
    </row>
    <row r="1827" spans="1:5" ht="30">
      <c r="A1827" s="66" t="s">
        <v>1729</v>
      </c>
      <c r="B1827" s="42"/>
      <c r="C1827" s="63" t="s">
        <v>1847</v>
      </c>
      <c r="D1827" s="62"/>
      <c r="E1827" s="64">
        <v>6568341</v>
      </c>
    </row>
    <row r="1828" spans="1:5" ht="30">
      <c r="A1828" s="68" t="s">
        <v>1729</v>
      </c>
      <c r="B1828" s="69"/>
      <c r="C1828" s="70" t="s">
        <v>1848</v>
      </c>
      <c r="D1828" s="71"/>
      <c r="E1828" s="72">
        <v>61644647</v>
      </c>
    </row>
    <row r="1829" spans="1:5" ht="30">
      <c r="A1829" s="66" t="s">
        <v>1729</v>
      </c>
      <c r="B1829" s="42"/>
      <c r="C1829" s="63" t="s">
        <v>1849</v>
      </c>
      <c r="D1829" s="62"/>
      <c r="E1829" s="64">
        <v>7213039</v>
      </c>
    </row>
    <row r="1830" spans="1:5" ht="30">
      <c r="A1830" s="68" t="s">
        <v>1729</v>
      </c>
      <c r="B1830" s="69"/>
      <c r="C1830" s="70" t="s">
        <v>1850</v>
      </c>
      <c r="D1830" s="71"/>
      <c r="E1830" s="72">
        <v>65011899</v>
      </c>
    </row>
    <row r="1831" spans="1:5" ht="30">
      <c r="A1831" s="66" t="s">
        <v>1729</v>
      </c>
      <c r="B1831" s="42"/>
      <c r="C1831" s="63" t="s">
        <v>1851</v>
      </c>
      <c r="D1831" s="62"/>
      <c r="E1831" s="64">
        <v>63452528</v>
      </c>
    </row>
    <row r="1832" spans="1:5" ht="30">
      <c r="A1832" s="68" t="s">
        <v>1729</v>
      </c>
      <c r="B1832" s="69"/>
      <c r="C1832" s="70" t="s">
        <v>1852</v>
      </c>
      <c r="D1832" s="71"/>
      <c r="E1832" s="72">
        <v>65834583</v>
      </c>
    </row>
    <row r="1833" spans="1:5" ht="30">
      <c r="A1833" s="66" t="s">
        <v>1729</v>
      </c>
      <c r="B1833" s="42"/>
      <c r="C1833" s="63" t="s">
        <v>1853</v>
      </c>
      <c r="D1833" s="62"/>
      <c r="E1833" s="64">
        <v>69880543</v>
      </c>
    </row>
    <row r="1834" spans="1:5" ht="30">
      <c r="A1834" s="68" t="s">
        <v>1729</v>
      </c>
      <c r="B1834" s="69"/>
      <c r="C1834" s="70" t="s">
        <v>1854</v>
      </c>
      <c r="D1834" s="71"/>
      <c r="E1834" s="72">
        <v>7765064</v>
      </c>
    </row>
    <row r="1835" spans="1:5" ht="30">
      <c r="A1835" s="66" t="s">
        <v>1729</v>
      </c>
      <c r="B1835" s="42"/>
      <c r="C1835" s="63" t="s">
        <v>1855</v>
      </c>
      <c r="D1835" s="62"/>
      <c r="E1835" s="64">
        <v>64940301</v>
      </c>
    </row>
    <row r="1836" spans="1:5" ht="30">
      <c r="A1836" s="68" t="s">
        <v>1729</v>
      </c>
      <c r="B1836" s="69"/>
      <c r="C1836" s="70" t="s">
        <v>1856</v>
      </c>
      <c r="D1836" s="71"/>
      <c r="E1836" s="72">
        <v>63431437</v>
      </c>
    </row>
    <row r="1837" spans="1:5" ht="30">
      <c r="A1837" s="66" t="s">
        <v>1729</v>
      </c>
      <c r="B1837" s="42"/>
      <c r="C1837" s="63" t="s">
        <v>1857</v>
      </c>
      <c r="D1837" s="62"/>
      <c r="E1837" s="64">
        <v>69069652</v>
      </c>
    </row>
    <row r="1838" spans="1:5" ht="30">
      <c r="A1838" s="68" t="s">
        <v>1729</v>
      </c>
      <c r="B1838" s="69"/>
      <c r="C1838" s="70" t="s">
        <v>1858</v>
      </c>
      <c r="D1838" s="71"/>
      <c r="E1838" s="72">
        <v>65998430</v>
      </c>
    </row>
    <row r="1839" spans="1:5" ht="30">
      <c r="A1839" s="66" t="s">
        <v>1729</v>
      </c>
      <c r="B1839" s="42"/>
      <c r="C1839" s="63" t="s">
        <v>1859</v>
      </c>
      <c r="D1839" s="62"/>
      <c r="E1839" s="64">
        <v>2648701</v>
      </c>
    </row>
    <row r="1840" spans="1:5" ht="30">
      <c r="A1840" s="68" t="s">
        <v>1729</v>
      </c>
      <c r="B1840" s="69"/>
      <c r="C1840" s="70" t="s">
        <v>1860</v>
      </c>
      <c r="D1840" s="71"/>
      <c r="E1840" s="72">
        <v>64026381</v>
      </c>
    </row>
    <row r="1841" spans="1:5" ht="30">
      <c r="A1841" s="66" t="s">
        <v>1729</v>
      </c>
      <c r="B1841" s="42"/>
      <c r="C1841" s="63" t="s">
        <v>1861</v>
      </c>
      <c r="D1841" s="62"/>
      <c r="E1841" s="64">
        <v>68106085</v>
      </c>
    </row>
    <row r="1842" spans="1:5" ht="30">
      <c r="A1842" s="68" t="s">
        <v>1729</v>
      </c>
      <c r="B1842" s="69"/>
      <c r="C1842" s="70" t="s">
        <v>1862</v>
      </c>
      <c r="D1842" s="71"/>
      <c r="E1842" s="72">
        <v>7748440</v>
      </c>
    </row>
    <row r="1843" spans="1:5" ht="30">
      <c r="A1843" s="66" t="s">
        <v>1729</v>
      </c>
      <c r="B1843" s="42"/>
      <c r="C1843" s="63" t="s">
        <v>1863</v>
      </c>
      <c r="D1843" s="62"/>
      <c r="E1843" s="64">
        <v>64940869</v>
      </c>
    </row>
    <row r="1844" spans="1:5" ht="30">
      <c r="A1844" s="68" t="s">
        <v>1729</v>
      </c>
      <c r="B1844" s="69"/>
      <c r="C1844" s="70" t="s">
        <v>1864</v>
      </c>
      <c r="D1844" s="71"/>
      <c r="E1844" s="72">
        <v>64344258</v>
      </c>
    </row>
    <row r="1845" spans="1:5" ht="30">
      <c r="A1845" s="66" t="s">
        <v>1729</v>
      </c>
      <c r="B1845" s="42"/>
      <c r="C1845" s="63" t="s">
        <v>1865</v>
      </c>
      <c r="D1845" s="62"/>
      <c r="E1845" s="64">
        <v>62534264</v>
      </c>
    </row>
    <row r="1846" spans="1:5" ht="30">
      <c r="A1846" s="68" t="s">
        <v>1729</v>
      </c>
      <c r="B1846" s="69"/>
      <c r="C1846" s="70" t="s">
        <v>1866</v>
      </c>
      <c r="D1846" s="71"/>
      <c r="E1846" s="72">
        <v>66433443</v>
      </c>
    </row>
    <row r="1847" spans="1:5" ht="30">
      <c r="A1847" s="66" t="s">
        <v>1729</v>
      </c>
      <c r="B1847" s="42"/>
      <c r="C1847" s="63" t="s">
        <v>1867</v>
      </c>
      <c r="D1847" s="62"/>
      <c r="E1847" s="76"/>
    </row>
    <row r="1848" spans="1:5" ht="30">
      <c r="A1848" s="68" t="s">
        <v>1729</v>
      </c>
      <c r="B1848" s="69"/>
      <c r="C1848" s="70" t="s">
        <v>1868</v>
      </c>
      <c r="D1848" s="71"/>
      <c r="E1848" s="72">
        <v>66142839</v>
      </c>
    </row>
    <row r="1849" spans="1:5" ht="30">
      <c r="A1849" s="66" t="s">
        <v>1729</v>
      </c>
      <c r="B1849" s="42"/>
      <c r="C1849" s="63" t="s">
        <v>1869</v>
      </c>
      <c r="D1849" s="62"/>
      <c r="E1849" s="64">
        <v>65068917</v>
      </c>
    </row>
    <row r="1850" spans="1:5" ht="30">
      <c r="A1850" s="68" t="s">
        <v>1729</v>
      </c>
      <c r="B1850" s="69"/>
      <c r="C1850" s="70" t="s">
        <v>1870</v>
      </c>
      <c r="D1850" s="71"/>
      <c r="E1850" s="72">
        <v>64250612</v>
      </c>
    </row>
    <row r="1851" spans="1:5" ht="30">
      <c r="A1851" s="66" t="s">
        <v>1729</v>
      </c>
      <c r="B1851" s="42"/>
      <c r="C1851" s="63" t="s">
        <v>1871</v>
      </c>
      <c r="D1851" s="62"/>
      <c r="E1851" s="64">
        <v>63039392</v>
      </c>
    </row>
    <row r="1852" spans="1:5" ht="30">
      <c r="A1852" s="68" t="s">
        <v>1729</v>
      </c>
      <c r="B1852" s="69"/>
      <c r="C1852" s="70" t="s">
        <v>1872</v>
      </c>
      <c r="D1852" s="71"/>
      <c r="E1852" s="72">
        <v>63793167</v>
      </c>
    </row>
    <row r="1853" spans="1:5" ht="30">
      <c r="A1853" s="66" t="s">
        <v>1729</v>
      </c>
      <c r="B1853" s="42"/>
      <c r="C1853" s="63" t="s">
        <v>1873</v>
      </c>
      <c r="D1853" s="62"/>
      <c r="E1853" s="64">
        <v>69798787</v>
      </c>
    </row>
    <row r="1854" spans="1:5" ht="30">
      <c r="A1854" s="68" t="s">
        <v>1729</v>
      </c>
      <c r="B1854" s="69"/>
      <c r="C1854" s="70" t="s">
        <v>1874</v>
      </c>
      <c r="D1854" s="71"/>
      <c r="E1854" s="72">
        <v>64980996</v>
      </c>
    </row>
    <row r="1855" spans="1:5" ht="30">
      <c r="A1855" s="66" t="s">
        <v>1729</v>
      </c>
      <c r="B1855" s="42"/>
      <c r="C1855" s="63" t="s">
        <v>1875</v>
      </c>
      <c r="D1855" s="62"/>
      <c r="E1855" s="64">
        <v>68638234</v>
      </c>
    </row>
    <row r="1856" spans="1:5" ht="30">
      <c r="A1856" s="68" t="s">
        <v>1729</v>
      </c>
      <c r="B1856" s="69"/>
      <c r="C1856" s="70" t="s">
        <v>1876</v>
      </c>
      <c r="D1856" s="71"/>
      <c r="E1856" s="72">
        <v>64757323</v>
      </c>
    </row>
    <row r="1857" spans="1:5" ht="30">
      <c r="A1857" s="66" t="s">
        <v>1729</v>
      </c>
      <c r="B1857" s="42"/>
      <c r="C1857" s="63" t="s">
        <v>1877</v>
      </c>
      <c r="D1857" s="62"/>
      <c r="E1857" s="64">
        <v>65092261</v>
      </c>
    </row>
    <row r="1858" spans="1:5" ht="30">
      <c r="A1858" s="68" t="s">
        <v>1729</v>
      </c>
      <c r="B1858" s="69"/>
      <c r="C1858" s="70" t="s">
        <v>1878</v>
      </c>
      <c r="D1858" s="71"/>
      <c r="E1858" s="72">
        <v>69963766</v>
      </c>
    </row>
    <row r="1859" spans="1:5" ht="30">
      <c r="A1859" s="66" t="s">
        <v>1729</v>
      </c>
      <c r="B1859" s="42"/>
      <c r="C1859" s="63" t="s">
        <v>1879</v>
      </c>
      <c r="D1859" s="62"/>
      <c r="E1859" s="64">
        <v>66013521</v>
      </c>
    </row>
    <row r="1860" spans="1:5" ht="30">
      <c r="A1860" s="68" t="s">
        <v>1729</v>
      </c>
      <c r="B1860" s="69"/>
      <c r="C1860" s="70" t="s">
        <v>1880</v>
      </c>
      <c r="D1860" s="71"/>
      <c r="E1860" s="72">
        <v>67588039</v>
      </c>
    </row>
    <row r="1861" spans="1:5" ht="30">
      <c r="A1861" s="66" t="s">
        <v>1729</v>
      </c>
      <c r="B1861" s="42"/>
      <c r="C1861" s="63" t="s">
        <v>1881</v>
      </c>
      <c r="D1861" s="62"/>
      <c r="E1861" s="64">
        <v>7201000</v>
      </c>
    </row>
    <row r="1862" spans="1:5" ht="30">
      <c r="A1862" s="68" t="s">
        <v>1729</v>
      </c>
      <c r="B1862" s="69"/>
      <c r="C1862" s="70" t="s">
        <v>1882</v>
      </c>
      <c r="D1862" s="71"/>
      <c r="E1862" s="72">
        <v>7222129</v>
      </c>
    </row>
    <row r="1863" spans="1:5" ht="30">
      <c r="A1863" s="66" t="s">
        <v>1729</v>
      </c>
      <c r="B1863" s="42"/>
      <c r="C1863" s="63" t="s">
        <v>1883</v>
      </c>
      <c r="D1863" s="62"/>
      <c r="E1863" s="64">
        <v>65378183</v>
      </c>
    </row>
    <row r="1864" spans="1:5" ht="30">
      <c r="A1864" s="68" t="s">
        <v>1729</v>
      </c>
      <c r="B1864" s="69"/>
      <c r="C1864" s="70" t="s">
        <v>1884</v>
      </c>
      <c r="D1864" s="71"/>
      <c r="E1864" s="72">
        <v>68564486</v>
      </c>
    </row>
    <row r="1865" spans="1:5" ht="30">
      <c r="A1865" s="66" t="s">
        <v>1729</v>
      </c>
      <c r="B1865" s="42"/>
      <c r="C1865" s="63" t="s">
        <v>1885</v>
      </c>
      <c r="D1865" s="62"/>
      <c r="E1865" s="64">
        <v>69278217</v>
      </c>
    </row>
    <row r="1866" spans="1:5" ht="30">
      <c r="A1866" s="68" t="s">
        <v>1729</v>
      </c>
      <c r="B1866" s="69"/>
      <c r="C1866" s="70" t="s">
        <v>1886</v>
      </c>
      <c r="D1866" s="71"/>
      <c r="E1866" s="72">
        <v>61462302</v>
      </c>
    </row>
    <row r="1867" spans="1:5" ht="30">
      <c r="A1867" s="66" t="s">
        <v>1729</v>
      </c>
      <c r="B1867" s="42"/>
      <c r="C1867" s="63" t="s">
        <v>1887</v>
      </c>
      <c r="D1867" s="62"/>
      <c r="E1867" s="64">
        <v>62568666</v>
      </c>
    </row>
    <row r="1868" spans="1:5" ht="30">
      <c r="A1868" s="68" t="s">
        <v>1729</v>
      </c>
      <c r="B1868" s="69"/>
      <c r="C1868" s="70" t="s">
        <v>1888</v>
      </c>
      <c r="D1868" s="71"/>
      <c r="E1868" s="72">
        <v>65102743</v>
      </c>
    </row>
    <row r="1869" spans="1:5" ht="30">
      <c r="A1869" s="66" t="s">
        <v>1729</v>
      </c>
      <c r="B1869" s="42"/>
      <c r="C1869" s="63" t="s">
        <v>1889</v>
      </c>
      <c r="D1869" s="62"/>
      <c r="E1869" s="64">
        <v>64347471</v>
      </c>
    </row>
    <row r="1870" spans="1:5" ht="30">
      <c r="A1870" s="68" t="s">
        <v>1729</v>
      </c>
      <c r="B1870" s="69"/>
      <c r="C1870" s="70" t="s">
        <v>1890</v>
      </c>
      <c r="D1870" s="71"/>
      <c r="E1870" s="72">
        <v>65674647</v>
      </c>
    </row>
    <row r="1871" spans="1:5" ht="30">
      <c r="A1871" s="66" t="s">
        <v>1729</v>
      </c>
      <c r="B1871" s="42"/>
      <c r="C1871" s="63" t="s">
        <v>1891</v>
      </c>
      <c r="D1871" s="62"/>
      <c r="E1871" s="64">
        <v>64616135</v>
      </c>
    </row>
    <row r="1872" spans="1:5" ht="30">
      <c r="A1872" s="68" t="s">
        <v>1729</v>
      </c>
      <c r="B1872" s="69"/>
      <c r="C1872" s="70" t="s">
        <v>1892</v>
      </c>
      <c r="D1872" s="71"/>
      <c r="E1872" s="72">
        <v>69340092</v>
      </c>
    </row>
    <row r="1873" spans="1:5" ht="30">
      <c r="A1873" s="66" t="s">
        <v>1729</v>
      </c>
      <c r="B1873" s="42"/>
      <c r="C1873" s="63" t="s">
        <v>1893</v>
      </c>
      <c r="D1873" s="62"/>
      <c r="E1873" s="64">
        <v>65571836</v>
      </c>
    </row>
    <row r="1874" spans="1:5" ht="30">
      <c r="A1874" s="68" t="s">
        <v>1729</v>
      </c>
      <c r="B1874" s="69"/>
      <c r="C1874" s="70" t="s">
        <v>1894</v>
      </c>
      <c r="D1874" s="71"/>
      <c r="E1874" s="73">
        <v>63158139</v>
      </c>
    </row>
    <row r="1875" spans="1:5" ht="30">
      <c r="A1875" s="66" t="s">
        <v>1729</v>
      </c>
      <c r="B1875" s="42"/>
      <c r="C1875" s="63" t="s">
        <v>1895</v>
      </c>
      <c r="D1875" s="62"/>
      <c r="E1875" s="67">
        <v>7201735</v>
      </c>
    </row>
    <row r="1876" spans="1:5" ht="30">
      <c r="A1876" s="68" t="s">
        <v>1729</v>
      </c>
      <c r="B1876" s="69"/>
      <c r="C1876" s="70" t="s">
        <v>1896</v>
      </c>
      <c r="D1876" s="71"/>
      <c r="E1876" s="73">
        <v>7718388</v>
      </c>
    </row>
    <row r="1877" spans="1:5" ht="30">
      <c r="A1877" s="66" t="s">
        <v>1729</v>
      </c>
      <c r="B1877" s="42"/>
      <c r="C1877" s="63" t="s">
        <v>1897</v>
      </c>
      <c r="D1877" s="62"/>
      <c r="E1877" s="67">
        <v>7092256</v>
      </c>
    </row>
    <row r="1878" spans="1:5" ht="30">
      <c r="A1878" s="68" t="s">
        <v>1729</v>
      </c>
      <c r="B1878" s="69"/>
      <c r="C1878" s="70" t="s">
        <v>1898</v>
      </c>
      <c r="D1878" s="71"/>
      <c r="E1878" s="73">
        <v>7790920</v>
      </c>
    </row>
    <row r="1879" spans="1:5" ht="30">
      <c r="A1879" s="66" t="s">
        <v>1729</v>
      </c>
      <c r="B1879" s="42"/>
      <c r="C1879" s="63" t="s">
        <v>1899</v>
      </c>
      <c r="D1879" s="62"/>
      <c r="E1879" s="67">
        <v>7744711</v>
      </c>
    </row>
    <row r="1880" spans="1:5" ht="30">
      <c r="A1880" s="68" t="s">
        <v>1729</v>
      </c>
      <c r="B1880" s="69"/>
      <c r="C1880" s="70" t="s">
        <v>1900</v>
      </c>
      <c r="D1880" s="71"/>
      <c r="E1880" s="73">
        <v>7743350</v>
      </c>
    </row>
    <row r="1881" spans="1:5" ht="30">
      <c r="A1881" s="66" t="s">
        <v>1729</v>
      </c>
      <c r="B1881" s="42"/>
      <c r="C1881" s="63" t="s">
        <v>1901</v>
      </c>
      <c r="D1881" s="62"/>
      <c r="E1881" s="67">
        <v>63047024</v>
      </c>
    </row>
    <row r="1882" spans="1:5" ht="30">
      <c r="A1882" s="68" t="s">
        <v>1729</v>
      </c>
      <c r="B1882" s="69"/>
      <c r="C1882" s="70" t="s">
        <v>1902</v>
      </c>
      <c r="D1882" s="71"/>
      <c r="E1882" s="73">
        <v>7746880</v>
      </c>
    </row>
    <row r="1883" spans="1:5" ht="30">
      <c r="A1883" s="66" t="s">
        <v>1729</v>
      </c>
      <c r="B1883" s="42"/>
      <c r="C1883" s="63" t="s">
        <v>1903</v>
      </c>
      <c r="D1883" s="62"/>
      <c r="E1883" s="67">
        <v>7211675</v>
      </c>
    </row>
    <row r="1884" spans="1:5" ht="30">
      <c r="A1884" s="68" t="s">
        <v>1729</v>
      </c>
      <c r="B1884" s="69"/>
      <c r="C1884" s="70" t="s">
        <v>1904</v>
      </c>
      <c r="D1884" s="71"/>
      <c r="E1884" s="73">
        <v>62785002</v>
      </c>
    </row>
    <row r="1885" spans="1:5" ht="30">
      <c r="A1885" s="66" t="s">
        <v>1729</v>
      </c>
      <c r="B1885" s="42"/>
      <c r="C1885" s="63" t="s">
        <v>1905</v>
      </c>
      <c r="D1885" s="62"/>
      <c r="E1885" s="67">
        <v>7708164</v>
      </c>
    </row>
    <row r="1886" spans="1:5" ht="30">
      <c r="A1886" s="68" t="s">
        <v>1729</v>
      </c>
      <c r="B1886" s="69"/>
      <c r="C1886" s="70" t="s">
        <v>1906</v>
      </c>
      <c r="D1886" s="71"/>
      <c r="E1886" s="73">
        <v>65751712</v>
      </c>
    </row>
    <row r="1887" spans="1:5" ht="30">
      <c r="A1887" s="66" t="s">
        <v>1729</v>
      </c>
      <c r="B1887" s="42"/>
      <c r="C1887" s="63" t="s">
        <v>1907</v>
      </c>
      <c r="D1887" s="62"/>
      <c r="E1887" s="67">
        <v>7774142</v>
      </c>
    </row>
    <row r="1888" spans="1:5" ht="30">
      <c r="A1888" s="68" t="s">
        <v>1729</v>
      </c>
      <c r="B1888" s="69"/>
      <c r="C1888" s="70" t="s">
        <v>1908</v>
      </c>
      <c r="D1888" s="71"/>
      <c r="E1888" s="73">
        <v>7744426</v>
      </c>
    </row>
    <row r="1889" spans="1:5" ht="30">
      <c r="A1889" s="66" t="s">
        <v>1729</v>
      </c>
      <c r="B1889" s="42"/>
      <c r="C1889" s="63" t="s">
        <v>1909</v>
      </c>
      <c r="D1889" s="62"/>
      <c r="E1889" s="67">
        <v>7742164</v>
      </c>
    </row>
    <row r="1890" spans="1:5" ht="30">
      <c r="A1890" s="68" t="s">
        <v>1727</v>
      </c>
      <c r="B1890" s="69"/>
      <c r="C1890" s="70" t="s">
        <v>1910</v>
      </c>
      <c r="D1890" s="71"/>
      <c r="E1890" s="73">
        <v>64636345</v>
      </c>
    </row>
    <row r="1891" spans="1:5" ht="30">
      <c r="A1891" s="66" t="s">
        <v>1727</v>
      </c>
      <c r="B1891" s="42"/>
      <c r="C1891" s="63" t="s">
        <v>1911</v>
      </c>
      <c r="D1891" s="62"/>
      <c r="E1891" s="67">
        <v>62656643</v>
      </c>
    </row>
    <row r="1892" spans="1:5" ht="30">
      <c r="A1892" s="68" t="s">
        <v>1727</v>
      </c>
      <c r="B1892" s="69"/>
      <c r="C1892" s="70" t="s">
        <v>1912</v>
      </c>
      <c r="D1892" s="71"/>
      <c r="E1892" s="73">
        <v>69610278</v>
      </c>
    </row>
    <row r="1893" spans="1:5" ht="30">
      <c r="A1893" s="66" t="s">
        <v>1727</v>
      </c>
      <c r="B1893" s="42"/>
      <c r="C1893" s="63" t="s">
        <v>1913</v>
      </c>
      <c r="D1893" s="62"/>
      <c r="E1893" s="67">
        <v>68173207</v>
      </c>
    </row>
    <row r="1894" spans="1:5" ht="30">
      <c r="A1894" s="68" t="s">
        <v>1727</v>
      </c>
      <c r="B1894" s="69"/>
      <c r="C1894" s="70" t="s">
        <v>1914</v>
      </c>
      <c r="D1894" s="71"/>
      <c r="E1894" s="73">
        <v>64323814</v>
      </c>
    </row>
    <row r="1895" spans="1:5" ht="30">
      <c r="A1895" s="66" t="s">
        <v>1727</v>
      </c>
      <c r="B1895" s="42"/>
      <c r="C1895" s="63" t="s">
        <v>1915</v>
      </c>
      <c r="D1895" s="62"/>
      <c r="E1895" s="67">
        <v>6059439</v>
      </c>
    </row>
    <row r="1896" spans="1:5" ht="30">
      <c r="A1896" s="68" t="s">
        <v>1727</v>
      </c>
      <c r="B1896" s="69"/>
      <c r="C1896" s="70" t="s">
        <v>1916</v>
      </c>
      <c r="D1896" s="71"/>
      <c r="E1896" s="73">
        <v>65135099</v>
      </c>
    </row>
    <row r="1897" spans="1:5" ht="30">
      <c r="A1897" s="66" t="s">
        <v>1727</v>
      </c>
      <c r="B1897" s="42"/>
      <c r="C1897" s="63" t="s">
        <v>1917</v>
      </c>
      <c r="D1897" s="62"/>
      <c r="E1897" s="67">
        <v>64583232</v>
      </c>
    </row>
    <row r="1898" spans="1:5" ht="30">
      <c r="A1898" s="68" t="s">
        <v>1727</v>
      </c>
      <c r="B1898" s="69"/>
      <c r="C1898" s="70" t="s">
        <v>1918</v>
      </c>
      <c r="D1898" s="71"/>
      <c r="E1898" s="73">
        <v>68424545</v>
      </c>
    </row>
    <row r="1899" spans="1:5" ht="30">
      <c r="A1899" s="66" t="s">
        <v>1727</v>
      </c>
      <c r="B1899" s="42"/>
      <c r="C1899" s="63" t="s">
        <v>1919</v>
      </c>
      <c r="D1899" s="62"/>
      <c r="E1899" s="67">
        <v>66584023</v>
      </c>
    </row>
    <row r="1900" spans="1:5" ht="30">
      <c r="A1900" s="68" t="s">
        <v>1727</v>
      </c>
      <c r="B1900" s="69"/>
      <c r="C1900" s="70" t="s">
        <v>1920</v>
      </c>
      <c r="D1900" s="71"/>
      <c r="E1900" s="73">
        <v>68466989</v>
      </c>
    </row>
    <row r="1901" spans="1:5" ht="30">
      <c r="A1901" s="66" t="s">
        <v>1727</v>
      </c>
      <c r="B1901" s="42"/>
      <c r="C1901" s="63" t="s">
        <v>1921</v>
      </c>
      <c r="D1901" s="62"/>
      <c r="E1901" s="67">
        <v>69338389</v>
      </c>
    </row>
    <row r="1902" spans="1:5" ht="30">
      <c r="A1902" s="68" t="s">
        <v>1727</v>
      </c>
      <c r="B1902" s="69"/>
      <c r="C1902" s="70" t="s">
        <v>1922</v>
      </c>
      <c r="D1902" s="71"/>
      <c r="E1902" s="73">
        <v>68321435</v>
      </c>
    </row>
    <row r="1903" spans="1:5" ht="30">
      <c r="A1903" s="66" t="s">
        <v>1727</v>
      </c>
      <c r="B1903" s="42"/>
      <c r="C1903" s="63" t="s">
        <v>1923</v>
      </c>
      <c r="D1903" s="62"/>
      <c r="E1903" s="67">
        <v>67659625</v>
      </c>
    </row>
    <row r="1904" spans="1:5" ht="30">
      <c r="A1904" s="68" t="s">
        <v>1727</v>
      </c>
      <c r="B1904" s="69"/>
      <c r="C1904" s="70" t="s">
        <v>1924</v>
      </c>
      <c r="D1904" s="71"/>
      <c r="E1904" s="73">
        <v>62410442</v>
      </c>
    </row>
    <row r="1905" spans="1:5" ht="30">
      <c r="A1905" s="66" t="s">
        <v>1727</v>
      </c>
      <c r="B1905" s="42"/>
      <c r="C1905" s="63" t="s">
        <v>1925</v>
      </c>
      <c r="D1905" s="62"/>
      <c r="E1905" s="67">
        <v>63901100</v>
      </c>
    </row>
    <row r="1906" spans="1:5" ht="30">
      <c r="A1906" s="68" t="s">
        <v>1727</v>
      </c>
      <c r="B1906" s="69"/>
      <c r="C1906" s="70" t="s">
        <v>723</v>
      </c>
      <c r="D1906" s="71"/>
      <c r="E1906" s="73">
        <v>67069964</v>
      </c>
    </row>
    <row r="1907" spans="1:5" ht="30">
      <c r="A1907" s="66" t="s">
        <v>1727</v>
      </c>
      <c r="B1907" s="42"/>
      <c r="C1907" s="63" t="s">
        <v>1926</v>
      </c>
      <c r="D1907" s="62"/>
      <c r="E1907" s="67">
        <v>65291988</v>
      </c>
    </row>
    <row r="1908" spans="1:5" ht="30">
      <c r="A1908" s="68" t="s">
        <v>1727</v>
      </c>
      <c r="B1908" s="69"/>
      <c r="C1908" s="70" t="s">
        <v>1927</v>
      </c>
      <c r="D1908" s="71"/>
      <c r="E1908" s="73">
        <v>63465951</v>
      </c>
    </row>
    <row r="1909" spans="1:5" ht="30">
      <c r="A1909" s="66" t="s">
        <v>1727</v>
      </c>
      <c r="B1909" s="42"/>
      <c r="C1909" s="63" t="s">
        <v>1928</v>
      </c>
      <c r="D1909" s="62"/>
      <c r="E1909" s="67">
        <v>64315222</v>
      </c>
    </row>
    <row r="1910" spans="1:5" ht="30">
      <c r="A1910" s="68" t="s">
        <v>1727</v>
      </c>
      <c r="B1910" s="69"/>
      <c r="C1910" s="70" t="s">
        <v>1929</v>
      </c>
      <c r="D1910" s="71"/>
      <c r="E1910" s="73">
        <v>66615268</v>
      </c>
    </row>
    <row r="1911" spans="1:5" ht="30">
      <c r="A1911" s="66" t="s">
        <v>1727</v>
      </c>
      <c r="B1911" s="42"/>
      <c r="C1911" s="63" t="s">
        <v>1930</v>
      </c>
      <c r="D1911" s="62"/>
      <c r="E1911" s="67">
        <v>68391800</v>
      </c>
    </row>
    <row r="1912" spans="1:5" ht="30">
      <c r="A1912" s="68" t="s">
        <v>1727</v>
      </c>
      <c r="B1912" s="69"/>
      <c r="C1912" s="70" t="s">
        <v>1931</v>
      </c>
      <c r="D1912" s="71"/>
      <c r="E1912" s="73">
        <v>65092776</v>
      </c>
    </row>
    <row r="1913" spans="1:5" ht="30">
      <c r="A1913" s="66" t="s">
        <v>1727</v>
      </c>
      <c r="B1913" s="42"/>
      <c r="C1913" s="63" t="s">
        <v>1932</v>
      </c>
      <c r="D1913" s="62"/>
      <c r="E1913" s="67">
        <v>7754626</v>
      </c>
    </row>
    <row r="1914" spans="1:5" ht="30">
      <c r="A1914" s="68" t="s">
        <v>1727</v>
      </c>
      <c r="B1914" s="69"/>
      <c r="C1914" s="70" t="s">
        <v>1933</v>
      </c>
      <c r="D1914" s="71"/>
      <c r="E1914" s="73">
        <v>61515871</v>
      </c>
    </row>
    <row r="1915" spans="1:5" ht="30">
      <c r="A1915" s="66" t="s">
        <v>1727</v>
      </c>
      <c r="B1915" s="42"/>
      <c r="C1915" s="63" t="s">
        <v>1934</v>
      </c>
      <c r="D1915" s="62"/>
      <c r="E1915" s="67">
        <v>7301394</v>
      </c>
    </row>
    <row r="1916" spans="1:5" ht="30">
      <c r="A1916" s="68" t="s">
        <v>1727</v>
      </c>
      <c r="B1916" s="69"/>
      <c r="C1916" s="70" t="s">
        <v>1935</v>
      </c>
      <c r="D1916" s="71"/>
      <c r="E1916" s="73">
        <v>65861265</v>
      </c>
    </row>
    <row r="1917" spans="1:5" ht="30">
      <c r="A1917" s="66" t="s">
        <v>1727</v>
      </c>
      <c r="B1917" s="42"/>
      <c r="C1917" s="63" t="s">
        <v>1936</v>
      </c>
      <c r="D1917" s="62"/>
      <c r="E1917" s="67">
        <v>64127472</v>
      </c>
    </row>
    <row r="1918" spans="1:5" ht="30">
      <c r="A1918" s="68" t="s">
        <v>1727</v>
      </c>
      <c r="B1918" s="69"/>
      <c r="C1918" s="70" t="s">
        <v>1937</v>
      </c>
      <c r="D1918" s="71"/>
      <c r="E1918" s="73">
        <v>66292921</v>
      </c>
    </row>
    <row r="1919" spans="1:5" ht="30">
      <c r="A1919" s="66" t="s">
        <v>1727</v>
      </c>
      <c r="B1919" s="42"/>
      <c r="C1919" s="63" t="s">
        <v>1938</v>
      </c>
      <c r="D1919" s="62"/>
      <c r="E1919" s="67">
        <v>69925841</v>
      </c>
    </row>
    <row r="1920" spans="1:5" ht="30">
      <c r="A1920" s="68" t="s">
        <v>1727</v>
      </c>
      <c r="B1920" s="69"/>
      <c r="C1920" s="70" t="s">
        <v>1939</v>
      </c>
      <c r="D1920" s="71"/>
      <c r="E1920" s="73">
        <v>67033220</v>
      </c>
    </row>
    <row r="1921" spans="1:5" ht="30">
      <c r="A1921" s="66" t="s">
        <v>1727</v>
      </c>
      <c r="B1921" s="42"/>
      <c r="C1921" s="63" t="s">
        <v>1940</v>
      </c>
      <c r="D1921" s="62"/>
      <c r="E1921" s="67">
        <v>65085165</v>
      </c>
    </row>
    <row r="1922" spans="1:5" ht="30">
      <c r="A1922" s="68" t="s">
        <v>1727</v>
      </c>
      <c r="B1922" s="69"/>
      <c r="C1922" s="70" t="s">
        <v>1941</v>
      </c>
      <c r="D1922" s="71"/>
      <c r="E1922" s="73">
        <v>68418856</v>
      </c>
    </row>
    <row r="1923" spans="1:5" ht="30">
      <c r="A1923" s="66" t="s">
        <v>1727</v>
      </c>
      <c r="B1923" s="42"/>
      <c r="C1923" s="63" t="s">
        <v>1942</v>
      </c>
      <c r="D1923" s="62"/>
      <c r="E1923" s="67">
        <v>66716551</v>
      </c>
    </row>
    <row r="1924" spans="1:5" ht="30">
      <c r="A1924" s="68" t="s">
        <v>1727</v>
      </c>
      <c r="B1924" s="69"/>
      <c r="C1924" s="70" t="s">
        <v>1943</v>
      </c>
      <c r="D1924" s="71"/>
      <c r="E1924" s="73">
        <v>65174566</v>
      </c>
    </row>
    <row r="1925" spans="1:5" ht="30">
      <c r="A1925" s="66" t="s">
        <v>1727</v>
      </c>
      <c r="B1925" s="42"/>
      <c r="C1925" s="63" t="s">
        <v>1944</v>
      </c>
      <c r="D1925" s="62"/>
      <c r="E1925" s="67">
        <v>65030639</v>
      </c>
    </row>
    <row r="1926" spans="1:5" ht="30">
      <c r="A1926" s="68" t="s">
        <v>1727</v>
      </c>
      <c r="B1926" s="69"/>
      <c r="C1926" s="70" t="s">
        <v>1945</v>
      </c>
      <c r="D1926" s="71"/>
      <c r="E1926" s="73">
        <v>65753024</v>
      </c>
    </row>
    <row r="1927" spans="1:5" ht="30">
      <c r="A1927" s="66" t="s">
        <v>1727</v>
      </c>
      <c r="B1927" s="42"/>
      <c r="C1927" s="63" t="s">
        <v>1946</v>
      </c>
      <c r="D1927" s="62"/>
      <c r="E1927" s="67">
        <v>7211053</v>
      </c>
    </row>
    <row r="1928" spans="1:5" ht="30">
      <c r="A1928" s="68" t="s">
        <v>1727</v>
      </c>
      <c r="B1928" s="69"/>
      <c r="C1928" s="70" t="s">
        <v>1947</v>
      </c>
      <c r="D1928" s="71"/>
      <c r="E1928" s="73">
        <v>68204568</v>
      </c>
    </row>
    <row r="1929" spans="1:5" ht="30">
      <c r="A1929" s="66" t="s">
        <v>1727</v>
      </c>
      <c r="B1929" s="42"/>
      <c r="C1929" s="63" t="s">
        <v>1948</v>
      </c>
      <c r="D1929" s="62"/>
      <c r="E1929" s="67">
        <v>62183726</v>
      </c>
    </row>
    <row r="1930" spans="1:5" ht="30">
      <c r="A1930" s="68" t="s">
        <v>1727</v>
      </c>
      <c r="B1930" s="69"/>
      <c r="C1930" s="70" t="s">
        <v>1949</v>
      </c>
      <c r="D1930" s="71"/>
      <c r="E1930" s="73">
        <v>65382721</v>
      </c>
    </row>
    <row r="1931" spans="1:5" ht="30">
      <c r="A1931" s="66" t="s">
        <v>1727</v>
      </c>
      <c r="B1931" s="42"/>
      <c r="C1931" s="63" t="s">
        <v>1950</v>
      </c>
      <c r="D1931" s="62"/>
      <c r="E1931" s="67">
        <v>62867847</v>
      </c>
    </row>
    <row r="1932" spans="1:5" ht="30">
      <c r="A1932" s="68" t="s">
        <v>1727</v>
      </c>
      <c r="B1932" s="69"/>
      <c r="C1932" s="70" t="s">
        <v>1951</v>
      </c>
      <c r="D1932" s="71"/>
      <c r="E1932" s="73">
        <v>68499480</v>
      </c>
    </row>
    <row r="1933" spans="1:5" ht="30">
      <c r="A1933" s="66" t="s">
        <v>1727</v>
      </c>
      <c r="B1933" s="42"/>
      <c r="C1933" s="63" t="s">
        <v>1952</v>
      </c>
      <c r="D1933" s="62"/>
      <c r="E1933" s="67">
        <v>62069419</v>
      </c>
    </row>
    <row r="1934" spans="1:5" ht="30">
      <c r="A1934" s="68" t="s">
        <v>1727</v>
      </c>
      <c r="B1934" s="69"/>
      <c r="C1934" s="70" t="s">
        <v>1953</v>
      </c>
      <c r="D1934" s="71"/>
      <c r="E1934" s="73">
        <v>66819450</v>
      </c>
    </row>
    <row r="1935" spans="1:5" ht="30">
      <c r="A1935" s="66" t="s">
        <v>1727</v>
      </c>
      <c r="B1935" s="42"/>
      <c r="C1935" s="63" t="s">
        <v>1954</v>
      </c>
      <c r="D1935" s="62"/>
      <c r="E1935" s="67">
        <v>63929404</v>
      </c>
    </row>
    <row r="1936" spans="1:5" ht="30">
      <c r="A1936" s="68" t="s">
        <v>1727</v>
      </c>
      <c r="B1936" s="69"/>
      <c r="C1936" s="70" t="s">
        <v>1955</v>
      </c>
      <c r="D1936" s="71"/>
      <c r="E1936" s="73">
        <v>66760046</v>
      </c>
    </row>
    <row r="1937" spans="1:5" ht="30">
      <c r="A1937" s="66" t="s">
        <v>1727</v>
      </c>
      <c r="B1937" s="42"/>
      <c r="C1937" s="63" t="s">
        <v>1956</v>
      </c>
      <c r="D1937" s="62"/>
      <c r="E1937" s="67">
        <v>69295766</v>
      </c>
    </row>
    <row r="1938" spans="1:5" ht="30">
      <c r="A1938" s="68" t="s">
        <v>1727</v>
      </c>
      <c r="B1938" s="69"/>
      <c r="C1938" s="70" t="s">
        <v>1957</v>
      </c>
      <c r="D1938" s="71"/>
      <c r="E1938" s="73">
        <v>66410058</v>
      </c>
    </row>
    <row r="1939" spans="1:5" ht="30">
      <c r="A1939" s="66" t="s">
        <v>1727</v>
      </c>
      <c r="B1939" s="42"/>
      <c r="C1939" s="63" t="s">
        <v>1958</v>
      </c>
      <c r="D1939" s="62"/>
      <c r="E1939" s="67">
        <v>7758762</v>
      </c>
    </row>
    <row r="1940" spans="1:5" ht="30">
      <c r="A1940" s="68" t="s">
        <v>1727</v>
      </c>
      <c r="B1940" s="69"/>
      <c r="C1940" s="70" t="s">
        <v>1959</v>
      </c>
      <c r="D1940" s="71"/>
      <c r="E1940" s="73">
        <v>2700041</v>
      </c>
    </row>
    <row r="1941" spans="1:5" ht="30">
      <c r="A1941" s="66" t="s">
        <v>1727</v>
      </c>
      <c r="B1941" s="42"/>
      <c r="C1941" s="63" t="s">
        <v>1960</v>
      </c>
      <c r="D1941" s="62"/>
      <c r="E1941" s="67">
        <v>7757103</v>
      </c>
    </row>
    <row r="1942" spans="1:5" ht="30">
      <c r="A1942" s="68" t="s">
        <v>1727</v>
      </c>
      <c r="B1942" s="69"/>
      <c r="C1942" s="70" t="s">
        <v>1961</v>
      </c>
      <c r="D1942" s="71"/>
      <c r="E1942" s="73">
        <v>7763132</v>
      </c>
    </row>
    <row r="1943" spans="1:5" ht="30">
      <c r="A1943" s="66" t="s">
        <v>1727</v>
      </c>
      <c r="B1943" s="42"/>
      <c r="C1943" s="63" t="s">
        <v>1962</v>
      </c>
      <c r="D1943" s="62"/>
      <c r="E1943" s="67">
        <v>7756496</v>
      </c>
    </row>
    <row r="1944" spans="1:5" ht="30">
      <c r="A1944" s="68" t="s">
        <v>1727</v>
      </c>
      <c r="B1944" s="69"/>
      <c r="C1944" s="70" t="s">
        <v>1963</v>
      </c>
      <c r="D1944" s="71"/>
      <c r="E1944" s="73">
        <v>61657366</v>
      </c>
    </row>
    <row r="1945" spans="1:5" ht="30">
      <c r="A1945" s="66" t="s">
        <v>1727</v>
      </c>
      <c r="B1945" s="42"/>
      <c r="C1945" s="63" t="s">
        <v>1964</v>
      </c>
      <c r="D1945" s="62"/>
      <c r="E1945" s="67">
        <v>7703447</v>
      </c>
    </row>
    <row r="1946" spans="1:5" ht="30">
      <c r="A1946" s="68" t="s">
        <v>1727</v>
      </c>
      <c r="B1946" s="69"/>
      <c r="C1946" s="70" t="s">
        <v>1965</v>
      </c>
      <c r="D1946" s="71"/>
      <c r="E1946" s="73">
        <v>7729047</v>
      </c>
    </row>
    <row r="1947" spans="1:5" ht="30">
      <c r="A1947" s="66" t="s">
        <v>1727</v>
      </c>
      <c r="B1947" s="42"/>
      <c r="C1947" s="63" t="s">
        <v>1966</v>
      </c>
      <c r="D1947" s="62"/>
      <c r="E1947" s="67">
        <v>7752435</v>
      </c>
    </row>
    <row r="1948" spans="1:5" ht="30">
      <c r="A1948" s="68" t="s">
        <v>1727</v>
      </c>
      <c r="B1948" s="69"/>
      <c r="C1948" s="70" t="s">
        <v>1967</v>
      </c>
      <c r="D1948" s="71"/>
      <c r="E1948" s="73">
        <v>62045034</v>
      </c>
    </row>
    <row r="1949" spans="1:5" ht="30">
      <c r="A1949" s="66" t="s">
        <v>1727</v>
      </c>
      <c r="B1949" s="42"/>
      <c r="C1949" s="63" t="s">
        <v>1968</v>
      </c>
      <c r="D1949" s="62"/>
      <c r="E1949" s="67">
        <v>67816141</v>
      </c>
    </row>
    <row r="1950" spans="1:5" ht="30">
      <c r="A1950" s="68" t="s">
        <v>1727</v>
      </c>
      <c r="B1950" s="69"/>
      <c r="C1950" s="70" t="s">
        <v>1969</v>
      </c>
      <c r="D1950" s="71"/>
      <c r="E1950" s="73">
        <v>7753178</v>
      </c>
    </row>
    <row r="1951" spans="1:5" ht="30">
      <c r="A1951" s="66" t="s">
        <v>1727</v>
      </c>
      <c r="B1951" s="42"/>
      <c r="C1951" s="63" t="s">
        <v>1970</v>
      </c>
      <c r="D1951" s="62"/>
      <c r="E1951" s="67">
        <v>6323429</v>
      </c>
    </row>
    <row r="1952" spans="1:5" ht="30">
      <c r="A1952" s="68" t="s">
        <v>1727</v>
      </c>
      <c r="B1952" s="69"/>
      <c r="C1952" s="70" t="s">
        <v>1971</v>
      </c>
      <c r="D1952" s="71"/>
      <c r="E1952" s="73">
        <v>7712045</v>
      </c>
    </row>
    <row r="1953" spans="1:5" ht="30">
      <c r="A1953" s="66" t="s">
        <v>1727</v>
      </c>
      <c r="B1953" s="42"/>
      <c r="C1953" s="63" t="s">
        <v>1972</v>
      </c>
      <c r="D1953" s="62"/>
      <c r="E1953" s="64">
        <v>65896255</v>
      </c>
    </row>
    <row r="1954" spans="1:5" ht="30">
      <c r="A1954" s="68" t="s">
        <v>1727</v>
      </c>
      <c r="B1954" s="69"/>
      <c r="C1954" s="70" t="s">
        <v>1973</v>
      </c>
      <c r="D1954" s="71"/>
      <c r="E1954" s="72">
        <v>7706061</v>
      </c>
    </row>
    <row r="1955" spans="1:5" ht="30">
      <c r="A1955" s="66" t="s">
        <v>1727</v>
      </c>
      <c r="B1955" s="42"/>
      <c r="C1955" s="63" t="s">
        <v>1974</v>
      </c>
      <c r="D1955" s="62"/>
      <c r="E1955" s="64">
        <v>7755364</v>
      </c>
    </row>
    <row r="1956" spans="1:5" ht="30">
      <c r="A1956" s="68" t="s">
        <v>1727</v>
      </c>
      <c r="B1956" s="69"/>
      <c r="C1956" s="70" t="s">
        <v>1975</v>
      </c>
      <c r="D1956" s="71"/>
      <c r="E1956" s="72">
        <v>64679940</v>
      </c>
    </row>
    <row r="1957" spans="1:5" ht="30">
      <c r="A1957" s="66" t="s">
        <v>1727</v>
      </c>
      <c r="B1957" s="42"/>
      <c r="C1957" s="63" t="s">
        <v>1976</v>
      </c>
      <c r="D1957" s="62"/>
      <c r="E1957" s="64">
        <v>66794752</v>
      </c>
    </row>
    <row r="1958" spans="1:5" ht="30">
      <c r="A1958" s="68" t="s">
        <v>1727</v>
      </c>
      <c r="B1958" s="69"/>
      <c r="C1958" s="70" t="s">
        <v>1977</v>
      </c>
      <c r="D1958" s="71"/>
      <c r="E1958" s="72">
        <v>65801447</v>
      </c>
    </row>
    <row r="1959" spans="1:5" ht="30">
      <c r="A1959" s="66" t="s">
        <v>1727</v>
      </c>
      <c r="B1959" s="42"/>
      <c r="C1959" s="63" t="s">
        <v>1978</v>
      </c>
      <c r="D1959" s="62"/>
      <c r="E1959" s="64">
        <v>66574128</v>
      </c>
    </row>
    <row r="1960" spans="1:5" ht="30">
      <c r="A1960" s="68" t="s">
        <v>1727</v>
      </c>
      <c r="B1960" s="69"/>
      <c r="C1960" s="70" t="s">
        <v>1979</v>
      </c>
      <c r="D1960" s="71"/>
      <c r="E1960" s="72">
        <v>62946923</v>
      </c>
    </row>
    <row r="1961" spans="1:5" ht="30">
      <c r="A1961" s="66" t="s">
        <v>1727</v>
      </c>
      <c r="B1961" s="42"/>
      <c r="C1961" s="63" t="s">
        <v>1980</v>
      </c>
      <c r="D1961" s="62"/>
      <c r="E1961" s="64">
        <v>63989792</v>
      </c>
    </row>
    <row r="1962" spans="1:5" ht="30">
      <c r="A1962" s="68" t="s">
        <v>1727</v>
      </c>
      <c r="B1962" s="69"/>
      <c r="C1962" s="70" t="s">
        <v>1981</v>
      </c>
      <c r="D1962" s="71"/>
      <c r="E1962" s="72">
        <v>62210425</v>
      </c>
    </row>
    <row r="1963" spans="1:5" ht="30">
      <c r="A1963" s="66" t="s">
        <v>1727</v>
      </c>
      <c r="B1963" s="42"/>
      <c r="C1963" s="63" t="s">
        <v>1982</v>
      </c>
      <c r="D1963" s="62"/>
      <c r="E1963" s="64">
        <v>67848671</v>
      </c>
    </row>
    <row r="1964" spans="1:5" ht="30">
      <c r="A1964" s="68" t="s">
        <v>1727</v>
      </c>
      <c r="B1964" s="69"/>
      <c r="C1964" s="70" t="s">
        <v>1983</v>
      </c>
      <c r="D1964" s="71"/>
      <c r="E1964" s="72">
        <v>67935325</v>
      </c>
    </row>
    <row r="1965" spans="1:5" ht="30">
      <c r="A1965" s="66" t="s">
        <v>1727</v>
      </c>
      <c r="B1965" s="42"/>
      <c r="C1965" s="63" t="s">
        <v>1984</v>
      </c>
      <c r="D1965" s="62"/>
      <c r="E1965" s="64">
        <v>63670134</v>
      </c>
    </row>
    <row r="1966" spans="1:5" ht="30">
      <c r="A1966" s="68" t="s">
        <v>1727</v>
      </c>
      <c r="B1966" s="69"/>
      <c r="C1966" s="70" t="s">
        <v>1985</v>
      </c>
      <c r="D1966" s="71"/>
      <c r="E1966" s="72">
        <v>67717268</v>
      </c>
    </row>
    <row r="1967" spans="1:5" ht="30">
      <c r="A1967" s="66" t="s">
        <v>1727</v>
      </c>
      <c r="B1967" s="42"/>
      <c r="C1967" s="63" t="s">
        <v>1986</v>
      </c>
      <c r="D1967" s="62"/>
      <c r="E1967" s="64">
        <v>68023618</v>
      </c>
    </row>
    <row r="1968" spans="1:5" ht="30">
      <c r="A1968" s="68" t="s">
        <v>1727</v>
      </c>
      <c r="B1968" s="69"/>
      <c r="C1968" s="70" t="s">
        <v>1987</v>
      </c>
      <c r="D1968" s="71"/>
      <c r="E1968" s="72">
        <v>67737170</v>
      </c>
    </row>
    <row r="1969" spans="1:5" ht="30">
      <c r="A1969" s="66" t="s">
        <v>1727</v>
      </c>
      <c r="B1969" s="42"/>
      <c r="C1969" s="63" t="s">
        <v>1988</v>
      </c>
      <c r="D1969" s="62"/>
      <c r="E1969" s="64">
        <v>69352819</v>
      </c>
    </row>
    <row r="1970" spans="1:5" ht="30">
      <c r="A1970" s="68" t="s">
        <v>1727</v>
      </c>
      <c r="B1970" s="69"/>
      <c r="C1970" s="70" t="s">
        <v>1989</v>
      </c>
      <c r="D1970" s="71"/>
      <c r="E1970" s="72">
        <v>7742123</v>
      </c>
    </row>
    <row r="1971" spans="1:5" ht="30">
      <c r="A1971" s="66" t="s">
        <v>1727</v>
      </c>
      <c r="B1971" s="42"/>
      <c r="C1971" s="63" t="s">
        <v>1990</v>
      </c>
      <c r="D1971" s="62"/>
      <c r="E1971" s="64">
        <v>66596358</v>
      </c>
    </row>
    <row r="1972" spans="1:5" ht="30">
      <c r="A1972" s="68" t="s">
        <v>1727</v>
      </c>
      <c r="B1972" s="69"/>
      <c r="C1972" s="70" t="s">
        <v>1991</v>
      </c>
      <c r="D1972" s="71"/>
      <c r="E1972" s="72">
        <v>63279089</v>
      </c>
    </row>
    <row r="1973" spans="1:5" ht="30">
      <c r="A1973" s="66" t="s">
        <v>1727</v>
      </c>
      <c r="B1973" s="42"/>
      <c r="C1973" s="63" t="s">
        <v>1992</v>
      </c>
      <c r="D1973" s="62"/>
      <c r="E1973" s="64">
        <v>62139349</v>
      </c>
    </row>
    <row r="1974" spans="1:5" ht="30">
      <c r="A1974" s="68" t="s">
        <v>1727</v>
      </c>
      <c r="B1974" s="69"/>
      <c r="C1974" s="70" t="s">
        <v>1993</v>
      </c>
      <c r="D1974" s="71"/>
      <c r="E1974" s="72">
        <v>63943533</v>
      </c>
    </row>
    <row r="1975" spans="1:5" ht="30">
      <c r="A1975" s="66" t="s">
        <v>1727</v>
      </c>
      <c r="B1975" s="42"/>
      <c r="C1975" s="63" t="s">
        <v>1994</v>
      </c>
      <c r="D1975" s="62"/>
      <c r="E1975" s="64">
        <v>66699990</v>
      </c>
    </row>
    <row r="1976" spans="1:5" ht="30">
      <c r="A1976" s="68" t="s">
        <v>1727</v>
      </c>
      <c r="B1976" s="69"/>
      <c r="C1976" s="70" t="s">
        <v>1995</v>
      </c>
      <c r="D1976" s="71"/>
      <c r="E1976" s="72">
        <v>62283673</v>
      </c>
    </row>
    <row r="1977" spans="1:5" ht="30">
      <c r="A1977" s="66" t="s">
        <v>1727</v>
      </c>
      <c r="B1977" s="42"/>
      <c r="C1977" s="63" t="s">
        <v>1996</v>
      </c>
      <c r="D1977" s="62"/>
      <c r="E1977" s="64">
        <v>69450189</v>
      </c>
    </row>
    <row r="1978" spans="1:5" ht="30">
      <c r="A1978" s="68" t="s">
        <v>1727</v>
      </c>
      <c r="B1978" s="69"/>
      <c r="C1978" s="70" t="s">
        <v>1997</v>
      </c>
      <c r="D1978" s="71"/>
      <c r="E1978" s="72">
        <v>62203512</v>
      </c>
    </row>
    <row r="1979" spans="1:5" ht="30">
      <c r="A1979" s="66" t="s">
        <v>1727</v>
      </c>
      <c r="B1979" s="42"/>
      <c r="C1979" s="63" t="s">
        <v>1998</v>
      </c>
      <c r="D1979" s="62"/>
      <c r="E1979" s="64">
        <v>63843006</v>
      </c>
    </row>
    <row r="1980" spans="1:5" ht="30">
      <c r="A1980" s="68" t="s">
        <v>1727</v>
      </c>
      <c r="B1980" s="69"/>
      <c r="C1980" s="70" t="s">
        <v>1999</v>
      </c>
      <c r="D1980" s="71"/>
      <c r="E1980" s="72">
        <v>65361630</v>
      </c>
    </row>
    <row r="1981" spans="1:5" ht="30">
      <c r="A1981" s="66" t="s">
        <v>1727</v>
      </c>
      <c r="B1981" s="42"/>
      <c r="C1981" s="63" t="s">
        <v>2000</v>
      </c>
      <c r="D1981" s="62"/>
      <c r="E1981" s="64">
        <v>65721305</v>
      </c>
    </row>
    <row r="1982" spans="1:5" ht="30">
      <c r="A1982" s="68" t="s">
        <v>1727</v>
      </c>
      <c r="B1982" s="69"/>
      <c r="C1982" s="70" t="s">
        <v>2001</v>
      </c>
      <c r="D1982" s="71"/>
      <c r="E1982" s="73">
        <v>68346395</v>
      </c>
    </row>
    <row r="1983" spans="1:5" ht="30">
      <c r="A1983" s="66" t="s">
        <v>1727</v>
      </c>
      <c r="B1983" s="42"/>
      <c r="C1983" s="63" t="s">
        <v>2002</v>
      </c>
      <c r="D1983" s="62"/>
      <c r="E1983" s="67">
        <v>66641909</v>
      </c>
    </row>
    <row r="1984" spans="1:5" ht="30">
      <c r="A1984" s="68" t="s">
        <v>1727</v>
      </c>
      <c r="B1984" s="69"/>
      <c r="C1984" s="70" t="s">
        <v>2003</v>
      </c>
      <c r="D1984" s="71"/>
      <c r="E1984" s="73">
        <v>68934309</v>
      </c>
    </row>
    <row r="1985" spans="1:5" ht="30">
      <c r="A1985" s="66" t="s">
        <v>1727</v>
      </c>
      <c r="B1985" s="42"/>
      <c r="C1985" s="63" t="s">
        <v>2004</v>
      </c>
      <c r="D1985" s="62"/>
      <c r="E1985" s="67">
        <v>7706296</v>
      </c>
    </row>
    <row r="1986" spans="1:5" ht="30">
      <c r="A1986" s="68" t="s">
        <v>1727</v>
      </c>
      <c r="B1986" s="69"/>
      <c r="C1986" s="70" t="s">
        <v>2005</v>
      </c>
      <c r="D1986" s="71"/>
      <c r="E1986" s="73">
        <v>63437428</v>
      </c>
    </row>
    <row r="1987" spans="1:5" ht="30">
      <c r="A1987" s="66" t="s">
        <v>1727</v>
      </c>
      <c r="B1987" s="42"/>
      <c r="C1987" s="63" t="s">
        <v>2006</v>
      </c>
      <c r="D1987" s="62"/>
      <c r="E1987" s="67">
        <v>7757099</v>
      </c>
    </row>
    <row r="1988" spans="1:5" ht="30">
      <c r="A1988" s="68" t="s">
        <v>1727</v>
      </c>
      <c r="B1988" s="69"/>
      <c r="C1988" s="70" t="s">
        <v>2007</v>
      </c>
      <c r="D1988" s="71"/>
      <c r="E1988" s="73">
        <v>7778091</v>
      </c>
    </row>
    <row r="1989" spans="1:5" ht="30">
      <c r="A1989" s="66" t="s">
        <v>1727</v>
      </c>
      <c r="B1989" s="42"/>
      <c r="C1989" s="63" t="s">
        <v>2008</v>
      </c>
      <c r="D1989" s="62"/>
      <c r="E1989" s="67">
        <v>66139952</v>
      </c>
    </row>
    <row r="1990" spans="1:5" ht="30">
      <c r="A1990" s="68" t="s">
        <v>1727</v>
      </c>
      <c r="B1990" s="69"/>
      <c r="C1990" s="70" t="s">
        <v>2009</v>
      </c>
      <c r="D1990" s="71"/>
      <c r="E1990" s="73">
        <v>66178191</v>
      </c>
    </row>
    <row r="1991" spans="1:5" ht="30">
      <c r="A1991" s="66" t="s">
        <v>1727</v>
      </c>
      <c r="B1991" s="42"/>
      <c r="C1991" s="63" t="s">
        <v>2010</v>
      </c>
      <c r="D1991" s="62"/>
      <c r="E1991" s="67">
        <v>7888645</v>
      </c>
    </row>
    <row r="1992" spans="1:5" ht="30">
      <c r="A1992" s="68" t="s">
        <v>1727</v>
      </c>
      <c r="B1992" s="69"/>
      <c r="C1992" s="70" t="s">
        <v>2011</v>
      </c>
      <c r="D1992" s="71"/>
      <c r="E1992" s="73">
        <v>67597581</v>
      </c>
    </row>
    <row r="1993" spans="1:5" ht="30">
      <c r="A1993" s="66" t="s">
        <v>1727</v>
      </c>
      <c r="B1993" s="42"/>
      <c r="C1993" s="63" t="s">
        <v>2012</v>
      </c>
      <c r="D1993" s="62"/>
      <c r="E1993" s="67">
        <v>7208093</v>
      </c>
    </row>
    <row r="1994" spans="1:5" ht="30">
      <c r="A1994" s="68" t="s">
        <v>1727</v>
      </c>
      <c r="B1994" s="69"/>
      <c r="C1994" s="70" t="s">
        <v>2013</v>
      </c>
      <c r="D1994" s="71"/>
      <c r="E1994" s="73">
        <v>7201409</v>
      </c>
    </row>
    <row r="1995" spans="1:5" ht="30">
      <c r="A1995" s="66" t="s">
        <v>1727</v>
      </c>
      <c r="B1995" s="42"/>
      <c r="C1995" s="63" t="s">
        <v>2014</v>
      </c>
      <c r="D1995" s="62"/>
      <c r="E1995" s="67">
        <v>63167890</v>
      </c>
    </row>
    <row r="1996" spans="1:5" ht="30">
      <c r="A1996" s="68" t="s">
        <v>1727</v>
      </c>
      <c r="B1996" s="69"/>
      <c r="C1996" s="70" t="s">
        <v>2015</v>
      </c>
      <c r="D1996" s="71"/>
      <c r="E1996" s="73">
        <v>66032156</v>
      </c>
    </row>
    <row r="1997" spans="1:5" ht="30">
      <c r="A1997" s="66" t="s">
        <v>1727</v>
      </c>
      <c r="B1997" s="42"/>
      <c r="C1997" s="63" t="s">
        <v>2016</v>
      </c>
      <c r="D1997" s="62"/>
      <c r="E1997" s="67">
        <v>69183039</v>
      </c>
    </row>
    <row r="1998" spans="1:5" ht="30">
      <c r="A1998" s="68" t="s">
        <v>1727</v>
      </c>
      <c r="B1998" s="69"/>
      <c r="C1998" s="70" t="s">
        <v>2017</v>
      </c>
      <c r="D1998" s="71"/>
      <c r="E1998" s="73">
        <v>65170563</v>
      </c>
    </row>
    <row r="1999" spans="1:5" ht="30">
      <c r="A1999" s="66" t="s">
        <v>1727</v>
      </c>
      <c r="B1999" s="42"/>
      <c r="C1999" s="63" t="s">
        <v>2018</v>
      </c>
      <c r="D1999" s="62"/>
      <c r="E1999" s="67">
        <v>7754366</v>
      </c>
    </row>
    <row r="2000" spans="1:5" ht="30">
      <c r="A2000" s="68" t="s">
        <v>1727</v>
      </c>
      <c r="B2000" s="69"/>
      <c r="C2000" s="70" t="s">
        <v>2019</v>
      </c>
      <c r="D2000" s="71"/>
      <c r="E2000" s="73">
        <v>61648477</v>
      </c>
    </row>
    <row r="2001" spans="1:5" ht="30">
      <c r="A2001" s="66" t="s">
        <v>1727</v>
      </c>
      <c r="B2001" s="42"/>
      <c r="C2001" s="63" t="s">
        <v>2020</v>
      </c>
      <c r="D2001" s="62"/>
      <c r="E2001" s="67">
        <v>64578170</v>
      </c>
    </row>
    <row r="2002" spans="1:5" ht="30">
      <c r="A2002" s="68" t="s">
        <v>1727</v>
      </c>
      <c r="B2002" s="69"/>
      <c r="C2002" s="70" t="s">
        <v>2021</v>
      </c>
      <c r="D2002" s="71"/>
      <c r="E2002" s="73">
        <v>64352345</v>
      </c>
    </row>
    <row r="2003" spans="1:5" ht="30">
      <c r="A2003" s="66" t="s">
        <v>1727</v>
      </c>
      <c r="B2003" s="42"/>
      <c r="C2003" s="63" t="s">
        <v>2022</v>
      </c>
      <c r="D2003" s="62"/>
      <c r="E2003" s="67">
        <v>7277881</v>
      </c>
    </row>
    <row r="2004" spans="1:5" ht="30">
      <c r="A2004" s="68" t="s">
        <v>1727</v>
      </c>
      <c r="B2004" s="69"/>
      <c r="C2004" s="70" t="s">
        <v>2023</v>
      </c>
      <c r="D2004" s="71"/>
      <c r="E2004" s="73">
        <v>64788277</v>
      </c>
    </row>
    <row r="2005" spans="1:5" ht="30">
      <c r="A2005" s="66" t="s">
        <v>1727</v>
      </c>
      <c r="B2005" s="42"/>
      <c r="C2005" s="63" t="s">
        <v>2024</v>
      </c>
      <c r="D2005" s="62"/>
      <c r="E2005" s="67">
        <v>7300182</v>
      </c>
    </row>
    <row r="2006" spans="1:5" ht="30">
      <c r="A2006" s="68" t="s">
        <v>1727</v>
      </c>
      <c r="B2006" s="69"/>
      <c r="C2006" s="70" t="s">
        <v>2025</v>
      </c>
      <c r="D2006" s="71"/>
      <c r="E2006" s="73">
        <v>64278431</v>
      </c>
    </row>
    <row r="2007" spans="1:5" ht="30">
      <c r="A2007" s="66" t="s">
        <v>1727</v>
      </c>
      <c r="B2007" s="42"/>
      <c r="C2007" s="63" t="s">
        <v>2026</v>
      </c>
      <c r="D2007" s="62"/>
      <c r="E2007" s="67">
        <v>69620546</v>
      </c>
    </row>
    <row r="2008" spans="1:5" ht="30">
      <c r="A2008" s="68" t="s">
        <v>1727</v>
      </c>
      <c r="B2008" s="69"/>
      <c r="C2008" s="70" t="s">
        <v>2027</v>
      </c>
      <c r="D2008" s="71"/>
      <c r="E2008" s="73">
        <v>66977911</v>
      </c>
    </row>
    <row r="2009" spans="1:5" ht="30">
      <c r="A2009" s="66" t="s">
        <v>1727</v>
      </c>
      <c r="B2009" s="42"/>
      <c r="C2009" s="63" t="s">
        <v>2028</v>
      </c>
      <c r="D2009" s="62"/>
      <c r="E2009" s="67">
        <v>7870577</v>
      </c>
    </row>
    <row r="2010" spans="1:5" ht="30">
      <c r="A2010" s="68" t="s">
        <v>1727</v>
      </c>
      <c r="B2010" s="69"/>
      <c r="C2010" s="70" t="s">
        <v>2029</v>
      </c>
      <c r="D2010" s="71"/>
      <c r="E2010" s="73">
        <v>66818994</v>
      </c>
    </row>
    <row r="2011" spans="1:5" ht="30">
      <c r="A2011" s="66" t="s">
        <v>1727</v>
      </c>
      <c r="B2011" s="42"/>
      <c r="C2011" s="63" t="s">
        <v>2030</v>
      </c>
      <c r="D2011" s="62"/>
      <c r="E2011" s="67">
        <v>7740683</v>
      </c>
    </row>
    <row r="2012" spans="1:5" ht="30">
      <c r="A2012" s="68" t="s">
        <v>1727</v>
      </c>
      <c r="B2012" s="69"/>
      <c r="C2012" s="70" t="s">
        <v>2031</v>
      </c>
      <c r="D2012" s="71"/>
      <c r="E2012" s="73">
        <v>67721779</v>
      </c>
    </row>
    <row r="2013" spans="1:5" ht="30">
      <c r="A2013" s="66" t="s">
        <v>1727</v>
      </c>
      <c r="B2013" s="42"/>
      <c r="C2013" s="63" t="s">
        <v>2032</v>
      </c>
      <c r="D2013" s="62"/>
      <c r="E2013" s="67">
        <v>7706061</v>
      </c>
    </row>
    <row r="2014" spans="1:5" ht="30">
      <c r="A2014" s="68" t="s">
        <v>1727</v>
      </c>
      <c r="B2014" s="69"/>
      <c r="C2014" s="70" t="s">
        <v>2033</v>
      </c>
      <c r="D2014" s="71"/>
      <c r="E2014" s="73">
        <v>7745151</v>
      </c>
    </row>
    <row r="2015" spans="1:5" ht="30">
      <c r="A2015" s="66" t="s">
        <v>1727</v>
      </c>
      <c r="B2015" s="42"/>
      <c r="C2015" s="63" t="s">
        <v>2034</v>
      </c>
      <c r="D2015" s="62"/>
      <c r="E2015" s="67">
        <v>65220722</v>
      </c>
    </row>
    <row r="2016" spans="1:5" ht="30">
      <c r="A2016" s="68" t="s">
        <v>1727</v>
      </c>
      <c r="B2016" s="69"/>
      <c r="C2016" s="70" t="s">
        <v>2035</v>
      </c>
      <c r="D2016" s="71"/>
      <c r="E2016" s="73">
        <v>65906914</v>
      </c>
    </row>
    <row r="2017" spans="1:5" ht="30">
      <c r="A2017" s="66" t="s">
        <v>1727</v>
      </c>
      <c r="B2017" s="42"/>
      <c r="C2017" s="63" t="s">
        <v>2036</v>
      </c>
      <c r="D2017" s="62"/>
      <c r="E2017" s="67">
        <v>64212436</v>
      </c>
    </row>
    <row r="2018" spans="1:5" ht="30">
      <c r="A2018" s="68" t="s">
        <v>1727</v>
      </c>
      <c r="B2018" s="69"/>
      <c r="C2018" s="70" t="s">
        <v>2037</v>
      </c>
      <c r="D2018" s="71"/>
      <c r="E2018" s="73">
        <v>64472584</v>
      </c>
    </row>
    <row r="2019" spans="1:5" ht="30">
      <c r="A2019" s="66" t="s">
        <v>1727</v>
      </c>
      <c r="B2019" s="42"/>
      <c r="C2019" s="63" t="s">
        <v>2038</v>
      </c>
      <c r="D2019" s="62"/>
      <c r="E2019" s="67">
        <v>68545424</v>
      </c>
    </row>
    <row r="2020" spans="1:5" ht="30">
      <c r="A2020" s="68" t="s">
        <v>1727</v>
      </c>
      <c r="B2020" s="69"/>
      <c r="C2020" s="70" t="s">
        <v>2039</v>
      </c>
      <c r="D2020" s="71"/>
      <c r="E2020" s="73">
        <v>68563203</v>
      </c>
    </row>
    <row r="2021" spans="1:5" ht="30">
      <c r="A2021" s="66" t="s">
        <v>1727</v>
      </c>
      <c r="B2021" s="42"/>
      <c r="C2021" s="63" t="s">
        <v>2040</v>
      </c>
      <c r="D2021" s="62"/>
      <c r="E2021" s="67">
        <v>64051753</v>
      </c>
    </row>
    <row r="2022" spans="1:5" ht="30">
      <c r="A2022" s="68" t="s">
        <v>1727</v>
      </c>
      <c r="B2022" s="69"/>
      <c r="C2022" s="70" t="s">
        <v>2041</v>
      </c>
      <c r="D2022" s="71"/>
      <c r="E2022" s="73">
        <v>66318874</v>
      </c>
    </row>
    <row r="2023" spans="1:5" ht="30">
      <c r="A2023" s="66" t="s">
        <v>1727</v>
      </c>
      <c r="B2023" s="42"/>
      <c r="C2023" s="63" t="s">
        <v>2042</v>
      </c>
      <c r="D2023" s="62"/>
      <c r="E2023" s="67">
        <v>65189475</v>
      </c>
    </row>
    <row r="2024" spans="1:5" ht="30">
      <c r="A2024" s="68" t="s">
        <v>1727</v>
      </c>
      <c r="B2024" s="69"/>
      <c r="C2024" s="70" t="s">
        <v>2043</v>
      </c>
      <c r="D2024" s="71"/>
      <c r="E2024" s="73">
        <v>66903461</v>
      </c>
    </row>
    <row r="2025" spans="1:5" ht="30">
      <c r="A2025" s="66" t="s">
        <v>1727</v>
      </c>
      <c r="B2025" s="42"/>
      <c r="C2025" s="63" t="s">
        <v>2044</v>
      </c>
      <c r="D2025" s="62"/>
      <c r="E2025" s="67">
        <v>69534834</v>
      </c>
    </row>
    <row r="2026" spans="1:5" ht="30">
      <c r="A2026" s="68" t="s">
        <v>1727</v>
      </c>
      <c r="B2026" s="69"/>
      <c r="C2026" s="70" t="s">
        <v>2045</v>
      </c>
      <c r="D2026" s="71"/>
      <c r="E2026" s="73">
        <v>66405683</v>
      </c>
    </row>
    <row r="2027" spans="1:5" ht="30">
      <c r="A2027" s="66" t="s">
        <v>1727</v>
      </c>
      <c r="B2027" s="42"/>
      <c r="C2027" s="63" t="s">
        <v>2046</v>
      </c>
      <c r="D2027" s="62"/>
      <c r="E2027" s="67">
        <v>7753859</v>
      </c>
    </row>
    <row r="2028" spans="1:5" ht="30">
      <c r="A2028" s="68" t="s">
        <v>1727</v>
      </c>
      <c r="B2028" s="69"/>
      <c r="C2028" s="70" t="s">
        <v>2047</v>
      </c>
      <c r="D2028" s="71"/>
      <c r="E2028" s="73">
        <v>62935071</v>
      </c>
    </row>
    <row r="2029" spans="1:5" ht="30">
      <c r="A2029" s="66" t="s">
        <v>1727</v>
      </c>
      <c r="B2029" s="42"/>
      <c r="C2029" s="63" t="s">
        <v>2048</v>
      </c>
      <c r="D2029" s="62"/>
      <c r="E2029" s="67">
        <v>7885880</v>
      </c>
    </row>
    <row r="2030" spans="1:5" ht="30">
      <c r="A2030" s="68" t="s">
        <v>1727</v>
      </c>
      <c r="B2030" s="69"/>
      <c r="C2030" s="70" t="s">
        <v>2049</v>
      </c>
      <c r="D2030" s="71"/>
      <c r="E2030" s="73">
        <v>67986103</v>
      </c>
    </row>
    <row r="2031" spans="1:5" ht="30">
      <c r="A2031" s="66" t="s">
        <v>1727</v>
      </c>
      <c r="B2031" s="42"/>
      <c r="C2031" s="63" t="s">
        <v>2050</v>
      </c>
      <c r="D2031" s="62"/>
      <c r="E2031" s="67">
        <v>64312940</v>
      </c>
    </row>
    <row r="2032" spans="1:5" ht="30">
      <c r="A2032" s="68" t="s">
        <v>1727</v>
      </c>
      <c r="B2032" s="69"/>
      <c r="C2032" s="70" t="s">
        <v>2051</v>
      </c>
      <c r="D2032" s="71"/>
      <c r="E2032" s="73">
        <v>66487324</v>
      </c>
    </row>
    <row r="2033" spans="1:5" ht="30">
      <c r="A2033" s="66" t="s">
        <v>1727</v>
      </c>
      <c r="B2033" s="42"/>
      <c r="C2033" s="63" t="s">
        <v>2052</v>
      </c>
      <c r="D2033" s="62"/>
      <c r="E2033" s="67">
        <v>64832067</v>
      </c>
    </row>
    <row r="2034" spans="1:5" ht="30">
      <c r="A2034" s="68" t="s">
        <v>1727</v>
      </c>
      <c r="B2034" s="69"/>
      <c r="C2034" s="70" t="s">
        <v>2053</v>
      </c>
      <c r="D2034" s="71"/>
      <c r="E2034" s="73">
        <v>68682081</v>
      </c>
    </row>
    <row r="2035" spans="1:5" ht="30">
      <c r="A2035" s="66" t="s">
        <v>1727</v>
      </c>
      <c r="B2035" s="42"/>
      <c r="C2035" s="63" t="s">
        <v>2054</v>
      </c>
      <c r="D2035" s="62"/>
      <c r="E2035" s="67">
        <v>66837154</v>
      </c>
    </row>
    <row r="2036" spans="1:5" ht="30">
      <c r="A2036" s="68" t="s">
        <v>1727</v>
      </c>
      <c r="B2036" s="69"/>
      <c r="C2036" s="70" t="s">
        <v>2055</v>
      </c>
      <c r="D2036" s="71"/>
      <c r="E2036" s="73">
        <v>65006002</v>
      </c>
    </row>
    <row r="2037" spans="1:5" ht="30">
      <c r="A2037" s="66" t="s">
        <v>1727</v>
      </c>
      <c r="B2037" s="42"/>
      <c r="C2037" s="63" t="s">
        <v>2056</v>
      </c>
      <c r="D2037" s="62"/>
      <c r="E2037" s="67">
        <v>63480015</v>
      </c>
    </row>
    <row r="2038" spans="1:5" ht="30">
      <c r="A2038" s="68" t="s">
        <v>1727</v>
      </c>
      <c r="B2038" s="69"/>
      <c r="C2038" s="70" t="s">
        <v>2057</v>
      </c>
      <c r="D2038" s="71"/>
      <c r="E2038" s="73">
        <v>67014305</v>
      </c>
    </row>
    <row r="2039" spans="1:5" ht="30">
      <c r="A2039" s="66" t="s">
        <v>1727</v>
      </c>
      <c r="B2039" s="42"/>
      <c r="C2039" s="63" t="s">
        <v>2058</v>
      </c>
      <c r="D2039" s="62"/>
      <c r="E2039" s="67">
        <v>67790144</v>
      </c>
    </row>
    <row r="2040" spans="1:5" ht="30">
      <c r="A2040" s="68" t="s">
        <v>1727</v>
      </c>
      <c r="B2040" s="69"/>
      <c r="C2040" s="70" t="s">
        <v>2059</v>
      </c>
      <c r="D2040" s="71"/>
      <c r="E2040" s="73">
        <v>66326884</v>
      </c>
    </row>
    <row r="2041" spans="1:5" ht="30">
      <c r="A2041" s="66" t="s">
        <v>1727</v>
      </c>
      <c r="B2041" s="42"/>
      <c r="C2041" s="63" t="s">
        <v>2060</v>
      </c>
      <c r="D2041" s="62"/>
      <c r="E2041" s="67">
        <v>66688540</v>
      </c>
    </row>
    <row r="2042" spans="1:5" ht="30">
      <c r="A2042" s="68" t="s">
        <v>1727</v>
      </c>
      <c r="B2042" s="69"/>
      <c r="C2042" s="70" t="s">
        <v>2061</v>
      </c>
      <c r="D2042" s="71"/>
      <c r="E2042" s="73">
        <v>66959007</v>
      </c>
    </row>
    <row r="2043" spans="1:5" ht="30">
      <c r="A2043" s="66" t="s">
        <v>1727</v>
      </c>
      <c r="B2043" s="42"/>
      <c r="C2043" s="63" t="s">
        <v>2062</v>
      </c>
      <c r="D2043" s="62"/>
      <c r="E2043" s="67">
        <v>65349737</v>
      </c>
    </row>
    <row r="2044" spans="1:5" ht="30">
      <c r="A2044" s="68" t="s">
        <v>1727</v>
      </c>
      <c r="B2044" s="69"/>
      <c r="C2044" s="70" t="s">
        <v>2063</v>
      </c>
      <c r="D2044" s="71"/>
      <c r="E2044" s="73">
        <v>7760157</v>
      </c>
    </row>
    <row r="2045" spans="1:5" ht="30">
      <c r="A2045" s="66" t="s">
        <v>1727</v>
      </c>
      <c r="B2045" s="42"/>
      <c r="C2045" s="63" t="s">
        <v>2064</v>
      </c>
      <c r="D2045" s="62"/>
      <c r="E2045" s="67">
        <v>64597830</v>
      </c>
    </row>
    <row r="2046" spans="1:5" ht="30">
      <c r="A2046" s="68" t="s">
        <v>1727</v>
      </c>
      <c r="B2046" s="69"/>
      <c r="C2046" s="70" t="s">
        <v>2065</v>
      </c>
      <c r="D2046" s="71"/>
      <c r="E2046" s="73">
        <v>69427778</v>
      </c>
    </row>
    <row r="2047" spans="1:5" ht="30">
      <c r="A2047" s="66" t="s">
        <v>1727</v>
      </c>
      <c r="B2047" s="42"/>
      <c r="C2047" s="63" t="s">
        <v>2066</v>
      </c>
      <c r="D2047" s="62"/>
      <c r="E2047" s="67">
        <v>64903642</v>
      </c>
    </row>
    <row r="2048" spans="1:5" ht="30">
      <c r="A2048" s="68" t="s">
        <v>1727</v>
      </c>
      <c r="B2048" s="69"/>
      <c r="C2048" s="70" t="s">
        <v>2067</v>
      </c>
      <c r="D2048" s="71"/>
      <c r="E2048" s="73">
        <v>68062197</v>
      </c>
    </row>
    <row r="2049" spans="1:5" ht="30">
      <c r="A2049" s="66" t="s">
        <v>1727</v>
      </c>
      <c r="B2049" s="42"/>
      <c r="C2049" s="63" t="s">
        <v>2068</v>
      </c>
      <c r="D2049" s="62"/>
      <c r="E2049" s="67">
        <v>67669846</v>
      </c>
    </row>
    <row r="2050" spans="1:5" ht="30">
      <c r="A2050" s="68" t="s">
        <v>1727</v>
      </c>
      <c r="B2050" s="69"/>
      <c r="C2050" s="70" t="s">
        <v>2069</v>
      </c>
      <c r="D2050" s="71"/>
      <c r="E2050" s="73">
        <v>69820172</v>
      </c>
    </row>
    <row r="2051" spans="1:5" ht="30">
      <c r="A2051" s="66" t="s">
        <v>1727</v>
      </c>
      <c r="B2051" s="42"/>
      <c r="C2051" s="63" t="s">
        <v>2070</v>
      </c>
      <c r="D2051" s="62"/>
      <c r="E2051" s="67">
        <v>68572696</v>
      </c>
    </row>
    <row r="2052" spans="1:5" ht="30">
      <c r="A2052" s="68" t="s">
        <v>1727</v>
      </c>
      <c r="B2052" s="69"/>
      <c r="C2052" s="70" t="s">
        <v>2071</v>
      </c>
      <c r="D2052" s="71"/>
      <c r="E2052" s="73">
        <v>7747510</v>
      </c>
    </row>
    <row r="2053" spans="1:5" ht="30">
      <c r="A2053" s="66" t="s">
        <v>1727</v>
      </c>
      <c r="B2053" s="42"/>
      <c r="C2053" s="63" t="s">
        <v>2072</v>
      </c>
      <c r="D2053" s="62"/>
      <c r="E2053" s="67">
        <v>66659771</v>
      </c>
    </row>
    <row r="2054" spans="1:5" ht="30">
      <c r="A2054" s="68" t="s">
        <v>1727</v>
      </c>
      <c r="B2054" s="69"/>
      <c r="C2054" s="70" t="s">
        <v>2073</v>
      </c>
      <c r="D2054" s="71"/>
      <c r="E2054" s="73">
        <v>7772776</v>
      </c>
    </row>
    <row r="2055" spans="1:5" ht="30">
      <c r="A2055" s="66" t="s">
        <v>1727</v>
      </c>
      <c r="B2055" s="42"/>
      <c r="C2055" s="63" t="s">
        <v>2074</v>
      </c>
      <c r="D2055" s="62"/>
      <c r="E2055" s="67">
        <v>7745521</v>
      </c>
    </row>
    <row r="2056" spans="1:5" ht="30">
      <c r="A2056" s="68" t="s">
        <v>1727</v>
      </c>
      <c r="B2056" s="69"/>
      <c r="C2056" s="70" t="s">
        <v>2075</v>
      </c>
      <c r="D2056" s="71"/>
      <c r="E2056" s="73">
        <v>7753376</v>
      </c>
    </row>
    <row r="2057" spans="1:5" ht="30">
      <c r="A2057" s="66" t="s">
        <v>1727</v>
      </c>
      <c r="B2057" s="42"/>
      <c r="C2057" s="63" t="s">
        <v>2076</v>
      </c>
      <c r="D2057" s="62"/>
      <c r="E2057" s="67">
        <v>66247694</v>
      </c>
    </row>
    <row r="2058" spans="1:5" ht="30">
      <c r="A2058" s="68" t="s">
        <v>1727</v>
      </c>
      <c r="B2058" s="69"/>
      <c r="C2058" s="70" t="s">
        <v>2077</v>
      </c>
      <c r="D2058" s="71"/>
      <c r="E2058" s="73">
        <v>7874202</v>
      </c>
    </row>
    <row r="2059" spans="1:5" ht="30">
      <c r="A2059" s="66" t="s">
        <v>1727</v>
      </c>
      <c r="B2059" s="42"/>
      <c r="C2059" s="63" t="s">
        <v>2078</v>
      </c>
      <c r="D2059" s="62"/>
      <c r="E2059" s="67">
        <v>66005137</v>
      </c>
    </row>
    <row r="2060" spans="1:5" ht="30">
      <c r="A2060" s="68" t="s">
        <v>1727</v>
      </c>
      <c r="B2060" s="69"/>
      <c r="C2060" s="70" t="s">
        <v>2079</v>
      </c>
      <c r="D2060" s="71"/>
      <c r="E2060" s="73">
        <v>63886017</v>
      </c>
    </row>
    <row r="2061" spans="1:5" ht="30">
      <c r="A2061" s="66" t="s">
        <v>1727</v>
      </c>
      <c r="B2061" s="42"/>
      <c r="C2061" s="63" t="s">
        <v>2080</v>
      </c>
      <c r="D2061" s="62"/>
      <c r="E2061" s="67">
        <v>66822644</v>
      </c>
    </row>
    <row r="2062" spans="1:5" ht="30">
      <c r="A2062" s="68" t="s">
        <v>1727</v>
      </c>
      <c r="B2062" s="69"/>
      <c r="C2062" s="70" t="s">
        <v>2081</v>
      </c>
      <c r="D2062" s="71"/>
      <c r="E2062" s="73">
        <v>7889991</v>
      </c>
    </row>
    <row r="2063" spans="1:5" ht="30">
      <c r="A2063" s="66" t="s">
        <v>1727</v>
      </c>
      <c r="B2063" s="42"/>
      <c r="C2063" s="63" t="s">
        <v>2082</v>
      </c>
      <c r="D2063" s="62"/>
      <c r="E2063" s="67">
        <v>7752046</v>
      </c>
    </row>
    <row r="2064" spans="1:5" ht="30">
      <c r="A2064" s="68" t="s">
        <v>1727</v>
      </c>
      <c r="B2064" s="69"/>
      <c r="C2064" s="70" t="s">
        <v>2083</v>
      </c>
      <c r="D2064" s="71"/>
      <c r="E2064" s="73">
        <v>66166742</v>
      </c>
    </row>
    <row r="2065" spans="1:5" ht="30">
      <c r="A2065" s="66" t="s">
        <v>1727</v>
      </c>
      <c r="B2065" s="42"/>
      <c r="C2065" s="63" t="s">
        <v>2084</v>
      </c>
      <c r="D2065" s="62"/>
      <c r="E2065" s="67">
        <v>66233942</v>
      </c>
    </row>
    <row r="2066" spans="1:5" ht="30">
      <c r="A2066" s="68" t="s">
        <v>1727</v>
      </c>
      <c r="B2066" s="69"/>
      <c r="C2066" s="70" t="s">
        <v>2085</v>
      </c>
      <c r="D2066" s="71"/>
      <c r="E2066" s="73">
        <v>66173412</v>
      </c>
    </row>
    <row r="2067" spans="1:5" ht="30">
      <c r="A2067" s="66" t="s">
        <v>1727</v>
      </c>
      <c r="B2067" s="42"/>
      <c r="C2067" s="63" t="s">
        <v>2086</v>
      </c>
      <c r="D2067" s="62"/>
      <c r="E2067" s="64">
        <v>68064801</v>
      </c>
    </row>
    <row r="2068" spans="1:5" ht="30">
      <c r="A2068" s="68" t="s">
        <v>1727</v>
      </c>
      <c r="B2068" s="69"/>
      <c r="C2068" s="70" t="s">
        <v>2087</v>
      </c>
      <c r="D2068" s="71"/>
      <c r="E2068" s="72">
        <v>63879138</v>
      </c>
    </row>
    <row r="2069" spans="1:5" ht="30">
      <c r="A2069" s="66" t="s">
        <v>2088</v>
      </c>
      <c r="B2069" s="42"/>
      <c r="C2069" s="63" t="s">
        <v>2089</v>
      </c>
      <c r="D2069" s="62"/>
      <c r="E2069" s="67">
        <v>66785378</v>
      </c>
    </row>
    <row r="2070" spans="1:5" ht="30">
      <c r="A2070" s="68" t="s">
        <v>2088</v>
      </c>
      <c r="B2070" s="69"/>
      <c r="C2070" s="70" t="s">
        <v>2090</v>
      </c>
      <c r="D2070" s="71"/>
      <c r="E2070" s="73">
        <v>7305778</v>
      </c>
    </row>
    <row r="2071" spans="1:5" ht="30">
      <c r="A2071" s="66" t="s">
        <v>2088</v>
      </c>
      <c r="B2071" s="42"/>
      <c r="C2071" s="63" t="s">
        <v>2091</v>
      </c>
      <c r="D2071" s="62"/>
      <c r="E2071" s="67">
        <v>7768993</v>
      </c>
    </row>
    <row r="2072" spans="1:5" ht="30">
      <c r="A2072" s="68" t="s">
        <v>2088</v>
      </c>
      <c r="B2072" s="69"/>
      <c r="C2072" s="70" t="s">
        <v>2092</v>
      </c>
      <c r="D2072" s="71"/>
      <c r="E2072" s="73">
        <v>69011754</v>
      </c>
    </row>
    <row r="2073" spans="1:5" ht="30">
      <c r="A2073" s="66" t="s">
        <v>2088</v>
      </c>
      <c r="B2073" s="42"/>
      <c r="C2073" s="63" t="s">
        <v>1532</v>
      </c>
      <c r="D2073" s="62"/>
      <c r="E2073" s="67">
        <v>66013206</v>
      </c>
    </row>
    <row r="2074" spans="1:5" ht="30">
      <c r="A2074" s="68" t="s">
        <v>2088</v>
      </c>
      <c r="B2074" s="69"/>
      <c r="C2074" s="70" t="s">
        <v>2093</v>
      </c>
      <c r="D2074" s="71"/>
      <c r="E2074" s="73">
        <v>64346918</v>
      </c>
    </row>
    <row r="2075" spans="1:5" ht="30">
      <c r="A2075" s="66" t="s">
        <v>2088</v>
      </c>
      <c r="B2075" s="42"/>
      <c r="C2075" s="63" t="s">
        <v>2094</v>
      </c>
      <c r="D2075" s="62"/>
      <c r="E2075" s="67">
        <v>68041008</v>
      </c>
    </row>
    <row r="2076" spans="1:5" ht="30">
      <c r="A2076" s="68" t="s">
        <v>2088</v>
      </c>
      <c r="B2076" s="69"/>
      <c r="C2076" s="70" t="s">
        <v>2095</v>
      </c>
      <c r="D2076" s="71"/>
      <c r="E2076" s="73">
        <v>69831390</v>
      </c>
    </row>
    <row r="2077" spans="1:5" ht="30">
      <c r="A2077" s="66" t="s">
        <v>2088</v>
      </c>
      <c r="B2077" s="42"/>
      <c r="C2077" s="63" t="s">
        <v>2096</v>
      </c>
      <c r="D2077" s="62"/>
      <c r="E2077" s="67">
        <v>69678221</v>
      </c>
    </row>
    <row r="2078" spans="1:5" ht="30">
      <c r="A2078" s="68" t="s">
        <v>2088</v>
      </c>
      <c r="B2078" s="69"/>
      <c r="C2078" s="70" t="s">
        <v>2097</v>
      </c>
      <c r="D2078" s="71"/>
      <c r="E2078" s="73">
        <v>63822038</v>
      </c>
    </row>
    <row r="2079" spans="1:5" ht="30">
      <c r="A2079" s="66" t="s">
        <v>2088</v>
      </c>
      <c r="B2079" s="42"/>
      <c r="C2079" s="63" t="s">
        <v>2098</v>
      </c>
      <c r="D2079" s="62"/>
      <c r="E2079" s="67">
        <v>65656053</v>
      </c>
    </row>
    <row r="2080" spans="1:5" ht="30">
      <c r="A2080" s="68" t="s">
        <v>2088</v>
      </c>
      <c r="B2080" s="69"/>
      <c r="C2080" s="70" t="s">
        <v>2099</v>
      </c>
      <c r="D2080" s="71"/>
      <c r="E2080" s="73">
        <v>65593856</v>
      </c>
    </row>
    <row r="2081" spans="1:5" ht="30">
      <c r="A2081" s="66" t="s">
        <v>2088</v>
      </c>
      <c r="B2081" s="42"/>
      <c r="C2081" s="63" t="s">
        <v>2100</v>
      </c>
      <c r="D2081" s="62"/>
      <c r="E2081" s="67">
        <v>67508214</v>
      </c>
    </row>
    <row r="2082" spans="1:5" ht="30">
      <c r="A2082" s="68" t="s">
        <v>2088</v>
      </c>
      <c r="B2082" s="69"/>
      <c r="C2082" s="70" t="s">
        <v>422</v>
      </c>
      <c r="D2082" s="71"/>
      <c r="E2082" s="73">
        <v>65238898</v>
      </c>
    </row>
    <row r="2083" spans="1:5" ht="30">
      <c r="A2083" s="66" t="s">
        <v>2088</v>
      </c>
      <c r="B2083" s="42"/>
      <c r="C2083" s="63" t="s">
        <v>2101</v>
      </c>
      <c r="D2083" s="62"/>
      <c r="E2083" s="67">
        <v>69191304</v>
      </c>
    </row>
    <row r="2084" spans="1:5" ht="30">
      <c r="A2084" s="68" t="s">
        <v>2088</v>
      </c>
      <c r="B2084" s="69"/>
      <c r="C2084" s="70" t="s">
        <v>2102</v>
      </c>
      <c r="D2084" s="71"/>
      <c r="E2084" s="73">
        <v>68118696</v>
      </c>
    </row>
    <row r="2085" spans="1:5" ht="30">
      <c r="A2085" s="66" t="s">
        <v>2088</v>
      </c>
      <c r="B2085" s="42"/>
      <c r="C2085" s="63" t="s">
        <v>2103</v>
      </c>
      <c r="D2085" s="62"/>
      <c r="E2085" s="67">
        <v>7758960</v>
      </c>
    </row>
    <row r="2086" spans="1:5" ht="30">
      <c r="A2086" s="68" t="s">
        <v>2088</v>
      </c>
      <c r="B2086" s="69"/>
      <c r="C2086" s="70" t="s">
        <v>2104</v>
      </c>
      <c r="D2086" s="71"/>
      <c r="E2086" s="73">
        <v>64609054</v>
      </c>
    </row>
    <row r="2087" spans="1:5" ht="30">
      <c r="A2087" s="66" t="s">
        <v>2088</v>
      </c>
      <c r="B2087" s="42"/>
      <c r="C2087" s="63" t="s">
        <v>2105</v>
      </c>
      <c r="D2087" s="62"/>
      <c r="E2087" s="67">
        <v>67260104</v>
      </c>
    </row>
    <row r="2088" spans="1:5" ht="30">
      <c r="A2088" s="68" t="s">
        <v>2088</v>
      </c>
      <c r="B2088" s="69"/>
      <c r="C2088" s="70" t="s">
        <v>2106</v>
      </c>
      <c r="D2088" s="71"/>
      <c r="E2088" s="73">
        <v>69011276</v>
      </c>
    </row>
    <row r="2089" spans="1:5" ht="30">
      <c r="A2089" s="66" t="s">
        <v>2088</v>
      </c>
      <c r="B2089" s="42"/>
      <c r="C2089" s="63" t="s">
        <v>2107</v>
      </c>
      <c r="D2089" s="62"/>
      <c r="E2089" s="67">
        <v>69135882</v>
      </c>
    </row>
    <row r="2090" spans="1:5" ht="30">
      <c r="A2090" s="68" t="s">
        <v>2088</v>
      </c>
      <c r="B2090" s="69"/>
      <c r="C2090" s="70" t="s">
        <v>2108</v>
      </c>
      <c r="D2090" s="71"/>
      <c r="E2090" s="73">
        <v>66514387</v>
      </c>
    </row>
    <row r="2091" spans="1:5" ht="30">
      <c r="A2091" s="66" t="s">
        <v>2088</v>
      </c>
      <c r="B2091" s="42"/>
      <c r="C2091" s="63" t="s">
        <v>2109</v>
      </c>
      <c r="D2091" s="62"/>
      <c r="E2091" s="67">
        <v>68615659</v>
      </c>
    </row>
    <row r="2092" spans="1:5" ht="30">
      <c r="A2092" s="68" t="s">
        <v>2088</v>
      </c>
      <c r="B2092" s="69"/>
      <c r="C2092" s="70" t="s">
        <v>2110</v>
      </c>
      <c r="D2092" s="71"/>
      <c r="E2092" s="73">
        <v>68687838</v>
      </c>
    </row>
    <row r="2093" spans="1:5" ht="30">
      <c r="A2093" s="66" t="s">
        <v>2088</v>
      </c>
      <c r="B2093" s="42"/>
      <c r="C2093" s="63" t="s">
        <v>2111</v>
      </c>
      <c r="D2093" s="62"/>
      <c r="E2093" s="67">
        <v>64262259</v>
      </c>
    </row>
    <row r="2094" spans="1:5" ht="30">
      <c r="A2094" s="68" t="s">
        <v>2088</v>
      </c>
      <c r="B2094" s="69"/>
      <c r="C2094" s="70" t="s">
        <v>2112</v>
      </c>
      <c r="D2094" s="71"/>
      <c r="E2094" s="73">
        <v>66431440</v>
      </c>
    </row>
    <row r="2095" spans="1:5" ht="30">
      <c r="A2095" s="66" t="s">
        <v>2088</v>
      </c>
      <c r="B2095" s="42"/>
      <c r="C2095" s="63" t="s">
        <v>2113</v>
      </c>
      <c r="D2095" s="62"/>
      <c r="E2095" s="67">
        <v>62900103</v>
      </c>
    </row>
    <row r="2096" spans="1:5" ht="30">
      <c r="A2096" s="68" t="s">
        <v>2088</v>
      </c>
      <c r="B2096" s="69"/>
      <c r="C2096" s="70" t="s">
        <v>2114</v>
      </c>
      <c r="D2096" s="71"/>
      <c r="E2096" s="73">
        <v>64524919</v>
      </c>
    </row>
    <row r="2097" spans="1:5" ht="30">
      <c r="A2097" s="66" t="s">
        <v>2088</v>
      </c>
      <c r="B2097" s="42"/>
      <c r="C2097" s="63" t="s">
        <v>2115</v>
      </c>
      <c r="D2097" s="62"/>
      <c r="E2097" s="67">
        <v>65578794</v>
      </c>
    </row>
    <row r="2098" spans="1:5" ht="30">
      <c r="A2098" s="68" t="s">
        <v>2088</v>
      </c>
      <c r="B2098" s="69"/>
      <c r="C2098" s="70" t="s">
        <v>2116</v>
      </c>
      <c r="D2098" s="71"/>
      <c r="E2098" s="73">
        <v>7871468</v>
      </c>
    </row>
    <row r="2099" spans="1:5" ht="30">
      <c r="A2099" s="66" t="s">
        <v>2088</v>
      </c>
      <c r="B2099" s="42"/>
      <c r="C2099" s="63" t="s">
        <v>2117</v>
      </c>
      <c r="D2099" s="62"/>
      <c r="E2099" s="67">
        <v>64829242</v>
      </c>
    </row>
    <row r="2100" spans="1:5" ht="30">
      <c r="A2100" s="68" t="s">
        <v>2088</v>
      </c>
      <c r="B2100" s="69"/>
      <c r="C2100" s="70" t="s">
        <v>2118</v>
      </c>
      <c r="D2100" s="71"/>
      <c r="E2100" s="73">
        <v>69936523</v>
      </c>
    </row>
    <row r="2101" spans="1:5" ht="30">
      <c r="A2101" s="66" t="s">
        <v>2088</v>
      </c>
      <c r="B2101" s="42"/>
      <c r="C2101" s="63" t="s">
        <v>2119</v>
      </c>
      <c r="D2101" s="62"/>
      <c r="E2101" s="67">
        <v>62466109</v>
      </c>
    </row>
    <row r="2102" spans="1:5" ht="30">
      <c r="A2102" s="68" t="s">
        <v>2088</v>
      </c>
      <c r="B2102" s="69"/>
      <c r="C2102" s="70" t="s">
        <v>2120</v>
      </c>
      <c r="D2102" s="71"/>
      <c r="E2102" s="73">
        <v>66034964</v>
      </c>
    </row>
    <row r="2103" spans="1:5" ht="30">
      <c r="A2103" s="66" t="s">
        <v>2088</v>
      </c>
      <c r="B2103" s="42"/>
      <c r="C2103" s="63" t="s">
        <v>2121</v>
      </c>
      <c r="D2103" s="62"/>
      <c r="E2103" s="67">
        <v>69854646</v>
      </c>
    </row>
    <row r="2104" spans="1:5" ht="30">
      <c r="A2104" s="68" t="s">
        <v>2088</v>
      </c>
      <c r="B2104" s="69"/>
      <c r="C2104" s="70" t="s">
        <v>2122</v>
      </c>
      <c r="D2104" s="71"/>
      <c r="E2104" s="73">
        <v>69359791</v>
      </c>
    </row>
    <row r="2105" spans="1:5" ht="30">
      <c r="A2105" s="66" t="s">
        <v>2088</v>
      </c>
      <c r="B2105" s="42"/>
      <c r="C2105" s="63" t="s">
        <v>2123</v>
      </c>
      <c r="D2105" s="62"/>
      <c r="E2105" s="67">
        <v>65045733</v>
      </c>
    </row>
    <row r="2106" spans="1:5" ht="30">
      <c r="A2106" s="68" t="s">
        <v>2088</v>
      </c>
      <c r="B2106" s="69"/>
      <c r="C2106" s="70" t="s">
        <v>2124</v>
      </c>
      <c r="D2106" s="71"/>
      <c r="E2106" s="73">
        <v>69225460</v>
      </c>
    </row>
    <row r="2107" spans="1:5" ht="30">
      <c r="A2107" s="66" t="s">
        <v>2088</v>
      </c>
      <c r="B2107" s="42"/>
      <c r="C2107" s="63" t="s">
        <v>2125</v>
      </c>
      <c r="D2107" s="62"/>
      <c r="E2107" s="67">
        <v>7746901</v>
      </c>
    </row>
    <row r="2108" spans="1:5" ht="30">
      <c r="A2108" s="68" t="s">
        <v>2088</v>
      </c>
      <c r="B2108" s="69"/>
      <c r="C2108" s="70" t="s">
        <v>2126</v>
      </c>
      <c r="D2108" s="71"/>
      <c r="E2108" s="73">
        <v>64983778</v>
      </c>
    </row>
    <row r="2109" spans="1:5" ht="30">
      <c r="A2109" s="66" t="s">
        <v>2088</v>
      </c>
      <c r="B2109" s="42"/>
      <c r="C2109" s="63" t="s">
        <v>2127</v>
      </c>
      <c r="D2109" s="62"/>
      <c r="E2109" s="67">
        <v>7768655</v>
      </c>
    </row>
    <row r="2110" spans="1:5" ht="30">
      <c r="A2110" s="68" t="s">
        <v>2088</v>
      </c>
      <c r="B2110" s="69"/>
      <c r="C2110" s="70" t="s">
        <v>2128</v>
      </c>
      <c r="D2110" s="71"/>
      <c r="E2110" s="73">
        <v>64773782</v>
      </c>
    </row>
    <row r="2111" spans="1:5" ht="30">
      <c r="A2111" s="66" t="s">
        <v>2088</v>
      </c>
      <c r="B2111" s="42"/>
      <c r="C2111" s="63" t="s">
        <v>2129</v>
      </c>
      <c r="D2111" s="62"/>
      <c r="E2111" s="67">
        <v>65027325</v>
      </c>
    </row>
    <row r="2112" spans="1:5" ht="30">
      <c r="A2112" s="68" t="s">
        <v>2088</v>
      </c>
      <c r="B2112" s="69"/>
      <c r="C2112" s="70" t="s">
        <v>2130</v>
      </c>
      <c r="D2112" s="71"/>
      <c r="E2112" s="73">
        <v>67281132</v>
      </c>
    </row>
    <row r="2113" spans="1:5" ht="30">
      <c r="A2113" s="66" t="s">
        <v>2088</v>
      </c>
      <c r="B2113" s="42"/>
      <c r="C2113" s="63" t="s">
        <v>2131</v>
      </c>
      <c r="D2113" s="62"/>
      <c r="E2113" s="67">
        <v>62253530</v>
      </c>
    </row>
    <row r="2114" spans="1:5" ht="30">
      <c r="A2114" s="68" t="s">
        <v>2088</v>
      </c>
      <c r="B2114" s="69"/>
      <c r="C2114" s="70" t="s">
        <v>2132</v>
      </c>
      <c r="D2114" s="71"/>
      <c r="E2114" s="73">
        <v>68741524</v>
      </c>
    </row>
    <row r="2115" spans="1:5" ht="30">
      <c r="A2115" s="66" t="s">
        <v>2088</v>
      </c>
      <c r="B2115" s="42"/>
      <c r="C2115" s="63" t="s">
        <v>2133</v>
      </c>
      <c r="D2115" s="62"/>
      <c r="E2115" s="67">
        <v>69109293</v>
      </c>
    </row>
    <row r="2116" spans="1:5" ht="30">
      <c r="A2116" s="68" t="s">
        <v>2088</v>
      </c>
      <c r="B2116" s="69"/>
      <c r="C2116" s="70" t="s">
        <v>2134</v>
      </c>
      <c r="D2116" s="71"/>
      <c r="E2116" s="73">
        <v>67199040</v>
      </c>
    </row>
    <row r="2117" spans="1:5" ht="30">
      <c r="A2117" s="66" t="s">
        <v>2088</v>
      </c>
      <c r="B2117" s="42"/>
      <c r="C2117" s="63" t="s">
        <v>2135</v>
      </c>
      <c r="D2117" s="62"/>
      <c r="E2117" s="67">
        <v>7714874</v>
      </c>
    </row>
    <row r="2118" spans="1:5" ht="30">
      <c r="A2118" s="68" t="s">
        <v>2088</v>
      </c>
      <c r="B2118" s="69"/>
      <c r="C2118" s="70" t="s">
        <v>2136</v>
      </c>
      <c r="D2118" s="71"/>
      <c r="E2118" s="73">
        <v>65326876</v>
      </c>
    </row>
    <row r="2119" spans="1:5" ht="30">
      <c r="A2119" s="66" t="s">
        <v>2088</v>
      </c>
      <c r="B2119" s="42"/>
      <c r="C2119" s="63" t="s">
        <v>2137</v>
      </c>
      <c r="D2119" s="62"/>
      <c r="E2119" s="67">
        <v>7884724</v>
      </c>
    </row>
    <row r="2120" spans="1:5" ht="30">
      <c r="A2120" s="68" t="s">
        <v>2088</v>
      </c>
      <c r="B2120" s="69"/>
      <c r="C2120" s="70" t="s">
        <v>2138</v>
      </c>
      <c r="D2120" s="71"/>
      <c r="E2120" s="73">
        <v>64396853</v>
      </c>
    </row>
    <row r="2121" spans="1:5" ht="30">
      <c r="A2121" s="66" t="s">
        <v>2088</v>
      </c>
      <c r="B2121" s="42"/>
      <c r="C2121" s="63" t="s">
        <v>2139</v>
      </c>
      <c r="D2121" s="62"/>
      <c r="E2121" s="67">
        <v>68826900</v>
      </c>
    </row>
    <row r="2122" spans="1:5" ht="30">
      <c r="A2122" s="68" t="s">
        <v>2088</v>
      </c>
      <c r="B2122" s="69"/>
      <c r="C2122" s="70" t="s">
        <v>2140</v>
      </c>
      <c r="D2122" s="71"/>
      <c r="E2122" s="73">
        <v>7092007</v>
      </c>
    </row>
    <row r="2123" spans="1:5" ht="30">
      <c r="A2123" s="66" t="s">
        <v>2088</v>
      </c>
      <c r="B2123" s="42"/>
      <c r="C2123" s="63" t="s">
        <v>2141</v>
      </c>
      <c r="D2123" s="62"/>
      <c r="E2123" s="67">
        <v>7752109</v>
      </c>
    </row>
    <row r="2124" spans="1:5" ht="30">
      <c r="A2124" s="68" t="s">
        <v>2088</v>
      </c>
      <c r="B2124" s="69"/>
      <c r="C2124" s="70" t="s">
        <v>2142</v>
      </c>
      <c r="D2124" s="71"/>
      <c r="E2124" s="73">
        <v>7222118</v>
      </c>
    </row>
    <row r="2125" spans="1:5" ht="30">
      <c r="A2125" s="66" t="s">
        <v>2088</v>
      </c>
      <c r="B2125" s="42"/>
      <c r="C2125" s="63" t="s">
        <v>2143</v>
      </c>
      <c r="D2125" s="62"/>
      <c r="E2125" s="67">
        <v>7305598</v>
      </c>
    </row>
    <row r="2126" spans="1:5" ht="30">
      <c r="A2126" s="68" t="s">
        <v>2088</v>
      </c>
      <c r="B2126" s="69"/>
      <c r="C2126" s="70" t="s">
        <v>2144</v>
      </c>
      <c r="D2126" s="71"/>
      <c r="E2126" s="73">
        <v>69037410</v>
      </c>
    </row>
    <row r="2127" spans="1:5" ht="30">
      <c r="A2127" s="66" t="s">
        <v>2088</v>
      </c>
      <c r="B2127" s="42"/>
      <c r="C2127" s="63" t="s">
        <v>2145</v>
      </c>
      <c r="D2127" s="62"/>
      <c r="E2127" s="67">
        <v>7277710</v>
      </c>
    </row>
    <row r="2128" spans="1:5" ht="30">
      <c r="A2128" s="68" t="s">
        <v>2088</v>
      </c>
      <c r="B2128" s="69"/>
      <c r="C2128" s="70" t="s">
        <v>2146</v>
      </c>
      <c r="D2128" s="71"/>
      <c r="E2128" s="73">
        <v>64484960</v>
      </c>
    </row>
    <row r="2129" spans="1:5" ht="30">
      <c r="A2129" s="66" t="s">
        <v>2088</v>
      </c>
      <c r="B2129" s="42"/>
      <c r="C2129" s="63" t="s">
        <v>2147</v>
      </c>
      <c r="D2129" s="62"/>
      <c r="E2129" s="67">
        <v>7706061</v>
      </c>
    </row>
    <row r="2130" spans="1:5" ht="30">
      <c r="A2130" s="68" t="s">
        <v>2088</v>
      </c>
      <c r="B2130" s="69"/>
      <c r="C2130" s="70" t="s">
        <v>2148</v>
      </c>
      <c r="D2130" s="71"/>
      <c r="E2130" s="73">
        <v>69084071</v>
      </c>
    </row>
    <row r="2131" spans="1:5" ht="30">
      <c r="A2131" s="66" t="s">
        <v>2088</v>
      </c>
      <c r="B2131" s="42"/>
      <c r="C2131" s="63" t="s">
        <v>2149</v>
      </c>
      <c r="D2131" s="62"/>
      <c r="E2131" s="67">
        <v>7098722</v>
      </c>
    </row>
    <row r="2132" spans="1:5" ht="30">
      <c r="A2132" s="68" t="s">
        <v>2088</v>
      </c>
      <c r="B2132" s="69"/>
      <c r="C2132" s="70" t="s">
        <v>2150</v>
      </c>
      <c r="D2132" s="71"/>
      <c r="E2132" s="73">
        <v>7757128</v>
      </c>
    </row>
    <row r="2133" spans="1:5" ht="30">
      <c r="A2133" s="66" t="s">
        <v>2088</v>
      </c>
      <c r="B2133" s="42"/>
      <c r="C2133" s="63" t="s">
        <v>2151</v>
      </c>
      <c r="D2133" s="62"/>
      <c r="E2133" s="67">
        <v>7871323</v>
      </c>
    </row>
    <row r="2134" spans="1:5" ht="30">
      <c r="A2134" s="68" t="s">
        <v>2088</v>
      </c>
      <c r="B2134" s="69"/>
      <c r="C2134" s="70" t="s">
        <v>2152</v>
      </c>
      <c r="D2134" s="71"/>
      <c r="E2134" s="73">
        <v>7888075</v>
      </c>
    </row>
    <row r="2135" spans="1:5" ht="30">
      <c r="A2135" s="66" t="s">
        <v>2088</v>
      </c>
      <c r="B2135" s="42"/>
      <c r="C2135" s="63" t="s">
        <v>2153</v>
      </c>
      <c r="D2135" s="62"/>
      <c r="E2135" s="67">
        <v>69214054</v>
      </c>
    </row>
    <row r="2136" spans="1:5" ht="30">
      <c r="A2136" s="68" t="s">
        <v>2088</v>
      </c>
      <c r="B2136" s="69"/>
      <c r="C2136" s="70" t="s">
        <v>2154</v>
      </c>
      <c r="D2136" s="71"/>
      <c r="E2136" s="73">
        <v>7270326</v>
      </c>
    </row>
    <row r="2137" spans="1:5" ht="30">
      <c r="A2137" s="66" t="s">
        <v>2088</v>
      </c>
      <c r="B2137" s="42"/>
      <c r="C2137" s="63" t="s">
        <v>2155</v>
      </c>
      <c r="D2137" s="62"/>
      <c r="E2137" s="64">
        <v>68889321</v>
      </c>
    </row>
    <row r="2138" spans="1:5" ht="30">
      <c r="A2138" s="68" t="s">
        <v>2088</v>
      </c>
      <c r="B2138" s="69"/>
      <c r="C2138" s="70" t="s">
        <v>2156</v>
      </c>
      <c r="D2138" s="71"/>
      <c r="E2138" s="72">
        <v>66784538</v>
      </c>
    </row>
    <row r="2139" spans="1:5" ht="30">
      <c r="A2139" s="66" t="s">
        <v>2088</v>
      </c>
      <c r="B2139" s="42"/>
      <c r="C2139" s="63" t="s">
        <v>2157</v>
      </c>
      <c r="D2139" s="62"/>
      <c r="E2139" s="64">
        <v>7719795</v>
      </c>
    </row>
    <row r="2140" spans="1:5" ht="30">
      <c r="A2140" s="68" t="s">
        <v>2088</v>
      </c>
      <c r="B2140" s="69"/>
      <c r="C2140" s="70" t="s">
        <v>2158</v>
      </c>
      <c r="D2140" s="71"/>
      <c r="E2140" s="72">
        <v>65576588</v>
      </c>
    </row>
    <row r="2141" spans="1:5" ht="30">
      <c r="A2141" s="66" t="s">
        <v>2088</v>
      </c>
      <c r="B2141" s="42"/>
      <c r="C2141" s="63" t="s">
        <v>2159</v>
      </c>
      <c r="D2141" s="62"/>
      <c r="E2141" s="64">
        <v>65543060</v>
      </c>
    </row>
    <row r="2142" spans="1:5" ht="30">
      <c r="A2142" s="68" t="s">
        <v>2088</v>
      </c>
      <c r="B2142" s="69"/>
      <c r="C2142" s="70" t="s">
        <v>2160</v>
      </c>
      <c r="D2142" s="71"/>
      <c r="E2142" s="72">
        <v>63243386</v>
      </c>
    </row>
    <row r="2143" spans="1:5" ht="30">
      <c r="A2143" s="66" t="s">
        <v>2088</v>
      </c>
      <c r="B2143" s="42"/>
      <c r="C2143" s="63" t="s">
        <v>2161</v>
      </c>
      <c r="D2143" s="62"/>
      <c r="E2143" s="64">
        <v>68659068</v>
      </c>
    </row>
    <row r="2144" spans="1:5" ht="30">
      <c r="A2144" s="68" t="s">
        <v>2088</v>
      </c>
      <c r="B2144" s="69"/>
      <c r="C2144" s="70" t="s">
        <v>2162</v>
      </c>
      <c r="D2144" s="71"/>
      <c r="E2144" s="72">
        <v>62033755</v>
      </c>
    </row>
    <row r="2145" spans="1:5" ht="30">
      <c r="A2145" s="66" t="s">
        <v>2088</v>
      </c>
      <c r="B2145" s="42"/>
      <c r="C2145" s="63" t="s">
        <v>2163</v>
      </c>
      <c r="D2145" s="62"/>
      <c r="E2145" s="64">
        <v>66441015</v>
      </c>
    </row>
    <row r="2146" spans="1:5" ht="30">
      <c r="A2146" s="68" t="s">
        <v>2088</v>
      </c>
      <c r="B2146" s="69"/>
      <c r="C2146" s="70" t="s">
        <v>2164</v>
      </c>
      <c r="D2146" s="71"/>
      <c r="E2146" s="72">
        <v>64723829</v>
      </c>
    </row>
    <row r="2147" spans="1:5" ht="30">
      <c r="A2147" s="66" t="s">
        <v>2088</v>
      </c>
      <c r="B2147" s="42"/>
      <c r="C2147" s="63" t="s">
        <v>2165</v>
      </c>
      <c r="D2147" s="62"/>
      <c r="E2147" s="64">
        <v>68103187</v>
      </c>
    </row>
    <row r="2148" spans="1:5" ht="30">
      <c r="A2148" s="68" t="s">
        <v>2088</v>
      </c>
      <c r="B2148" s="69"/>
      <c r="C2148" s="70" t="s">
        <v>2166</v>
      </c>
      <c r="D2148" s="71"/>
      <c r="E2148" s="72">
        <v>67789880</v>
      </c>
    </row>
    <row r="2149" spans="1:5" ht="30">
      <c r="A2149" s="66" t="s">
        <v>2088</v>
      </c>
      <c r="B2149" s="42"/>
      <c r="C2149" s="63" t="s">
        <v>2167</v>
      </c>
      <c r="D2149" s="62"/>
      <c r="E2149" s="64">
        <v>66230109</v>
      </c>
    </row>
    <row r="2150" spans="1:5" ht="30">
      <c r="A2150" s="68" t="s">
        <v>2088</v>
      </c>
      <c r="B2150" s="69"/>
      <c r="C2150" s="70" t="s">
        <v>2168</v>
      </c>
      <c r="D2150" s="71"/>
      <c r="E2150" s="72">
        <v>67356128</v>
      </c>
    </row>
    <row r="2151" spans="1:5" ht="30">
      <c r="A2151" s="66" t="s">
        <v>2088</v>
      </c>
      <c r="B2151" s="42"/>
      <c r="C2151" s="63" t="s">
        <v>2169</v>
      </c>
      <c r="D2151" s="62"/>
      <c r="E2151" s="64">
        <v>7307538</v>
      </c>
    </row>
    <row r="2152" spans="1:5" ht="30">
      <c r="A2152" s="68" t="s">
        <v>2088</v>
      </c>
      <c r="B2152" s="69"/>
      <c r="C2152" s="70" t="s">
        <v>2170</v>
      </c>
      <c r="D2152" s="71"/>
      <c r="E2152" s="72">
        <v>7888010</v>
      </c>
    </row>
    <row r="2153" spans="1:5" ht="30">
      <c r="A2153" s="66" t="s">
        <v>2088</v>
      </c>
      <c r="B2153" s="42"/>
      <c r="C2153" s="63" t="s">
        <v>2171</v>
      </c>
      <c r="D2153" s="62"/>
      <c r="E2153" s="64">
        <v>69939845</v>
      </c>
    </row>
    <row r="2154" spans="1:5" ht="30">
      <c r="A2154" s="68" t="s">
        <v>2088</v>
      </c>
      <c r="B2154" s="69"/>
      <c r="C2154" s="70" t="s">
        <v>2172</v>
      </c>
      <c r="D2154" s="71"/>
      <c r="E2154" s="72">
        <v>64045952</v>
      </c>
    </row>
    <row r="2155" spans="1:5" ht="30">
      <c r="A2155" s="66" t="s">
        <v>2088</v>
      </c>
      <c r="B2155" s="42"/>
      <c r="C2155" s="63" t="s">
        <v>2173</v>
      </c>
      <c r="D2155" s="62"/>
      <c r="E2155" s="64">
        <v>62501735</v>
      </c>
    </row>
    <row r="2156" spans="1:5" ht="30">
      <c r="A2156" s="68" t="s">
        <v>2088</v>
      </c>
      <c r="B2156" s="69"/>
      <c r="C2156" s="70" t="s">
        <v>2174</v>
      </c>
      <c r="D2156" s="71"/>
      <c r="E2156" s="72">
        <v>69043639</v>
      </c>
    </row>
    <row r="2157" spans="1:5" ht="30">
      <c r="A2157" s="66" t="s">
        <v>2088</v>
      </c>
      <c r="B2157" s="42"/>
      <c r="C2157" s="63" t="s">
        <v>2175</v>
      </c>
      <c r="D2157" s="62"/>
      <c r="E2157" s="64">
        <v>65269414</v>
      </c>
    </row>
    <row r="2158" spans="1:5" ht="30">
      <c r="A2158" s="68" t="s">
        <v>2088</v>
      </c>
      <c r="B2158" s="69"/>
      <c r="C2158" s="70" t="s">
        <v>2176</v>
      </c>
      <c r="D2158" s="71"/>
      <c r="E2158" s="72">
        <v>67872500</v>
      </c>
    </row>
    <row r="2159" spans="1:5" ht="30">
      <c r="A2159" s="66" t="s">
        <v>2088</v>
      </c>
      <c r="B2159" s="42"/>
      <c r="C2159" s="63" t="s">
        <v>2177</v>
      </c>
      <c r="D2159" s="62"/>
      <c r="E2159" s="64">
        <v>67259884</v>
      </c>
    </row>
    <row r="2160" spans="1:5" ht="30">
      <c r="A2160" s="68" t="s">
        <v>2088</v>
      </c>
      <c r="B2160" s="69"/>
      <c r="C2160" s="70" t="s">
        <v>2178</v>
      </c>
      <c r="D2160" s="71"/>
      <c r="E2160" s="72">
        <v>64438850</v>
      </c>
    </row>
    <row r="2161" spans="1:5" ht="30">
      <c r="A2161" s="66" t="s">
        <v>2088</v>
      </c>
      <c r="B2161" s="42"/>
      <c r="C2161" s="63" t="s">
        <v>2179</v>
      </c>
      <c r="D2161" s="62"/>
      <c r="E2161" s="64">
        <v>7788252</v>
      </c>
    </row>
    <row r="2162" spans="1:5" ht="30">
      <c r="A2162" s="68" t="s">
        <v>2088</v>
      </c>
      <c r="B2162" s="69"/>
      <c r="C2162" s="70" t="s">
        <v>2180</v>
      </c>
      <c r="D2162" s="71"/>
      <c r="E2162" s="72">
        <v>62935677</v>
      </c>
    </row>
    <row r="2163" spans="1:5" ht="30">
      <c r="A2163" s="66" t="s">
        <v>2088</v>
      </c>
      <c r="B2163" s="42"/>
      <c r="C2163" s="63" t="s">
        <v>2181</v>
      </c>
      <c r="D2163" s="62"/>
      <c r="E2163" s="64">
        <v>65699625</v>
      </c>
    </row>
    <row r="2164" spans="1:5" ht="30">
      <c r="A2164" s="68" t="s">
        <v>2088</v>
      </c>
      <c r="B2164" s="69"/>
      <c r="C2164" s="70" t="s">
        <v>2182</v>
      </c>
      <c r="D2164" s="71"/>
      <c r="E2164" s="72">
        <v>7772373</v>
      </c>
    </row>
    <row r="2165" spans="1:5" ht="30">
      <c r="A2165" s="66" t="s">
        <v>2088</v>
      </c>
      <c r="B2165" s="42"/>
      <c r="C2165" s="63" t="s">
        <v>2183</v>
      </c>
      <c r="D2165" s="62"/>
      <c r="E2165" s="64">
        <v>7277732</v>
      </c>
    </row>
    <row r="2166" spans="1:5" ht="30">
      <c r="A2166" s="68" t="s">
        <v>2088</v>
      </c>
      <c r="B2166" s="69"/>
      <c r="C2166" s="70" t="s">
        <v>2184</v>
      </c>
      <c r="D2166" s="71"/>
      <c r="E2166" s="72">
        <v>7746642</v>
      </c>
    </row>
    <row r="2167" spans="1:5" ht="30">
      <c r="A2167" s="66" t="s">
        <v>2088</v>
      </c>
      <c r="B2167" s="42"/>
      <c r="C2167" s="63" t="s">
        <v>2185</v>
      </c>
      <c r="D2167" s="62"/>
      <c r="E2167" s="64">
        <v>64907225</v>
      </c>
    </row>
    <row r="2168" spans="1:5" ht="30">
      <c r="A2168" s="68" t="s">
        <v>2088</v>
      </c>
      <c r="B2168" s="69"/>
      <c r="C2168" s="70" t="s">
        <v>2186</v>
      </c>
      <c r="D2168" s="71"/>
      <c r="E2168" s="72">
        <v>62940612</v>
      </c>
    </row>
    <row r="2169" spans="1:5" ht="30">
      <c r="A2169" s="66" t="s">
        <v>2088</v>
      </c>
      <c r="B2169" s="42"/>
      <c r="C2169" s="63" t="s">
        <v>2187</v>
      </c>
      <c r="D2169" s="62"/>
      <c r="E2169" s="64">
        <v>63445436</v>
      </c>
    </row>
    <row r="2170" spans="1:5" ht="30">
      <c r="A2170" s="68" t="s">
        <v>2088</v>
      </c>
      <c r="B2170" s="69"/>
      <c r="C2170" s="70" t="s">
        <v>2188</v>
      </c>
      <c r="D2170" s="71"/>
      <c r="E2170" s="72">
        <v>67964069</v>
      </c>
    </row>
    <row r="2171" spans="1:5" ht="30">
      <c r="A2171" s="66" t="s">
        <v>2088</v>
      </c>
      <c r="B2171" s="42"/>
      <c r="C2171" s="63" t="s">
        <v>2189</v>
      </c>
      <c r="D2171" s="62"/>
      <c r="E2171" s="64">
        <v>7743655</v>
      </c>
    </row>
    <row r="2172" spans="1:5" ht="30">
      <c r="A2172" s="68" t="s">
        <v>2088</v>
      </c>
      <c r="B2172" s="69"/>
      <c r="C2172" s="70" t="s">
        <v>2190</v>
      </c>
      <c r="D2172" s="71"/>
      <c r="E2172" s="72">
        <v>63657458</v>
      </c>
    </row>
    <row r="2173" spans="1:5" ht="30">
      <c r="A2173" s="66" t="s">
        <v>2088</v>
      </c>
      <c r="B2173" s="42"/>
      <c r="C2173" s="63" t="s">
        <v>2191</v>
      </c>
      <c r="D2173" s="62"/>
      <c r="E2173" s="64">
        <v>68479349</v>
      </c>
    </row>
    <row r="2174" spans="1:5" ht="30">
      <c r="A2174" s="68" t="s">
        <v>2088</v>
      </c>
      <c r="B2174" s="69"/>
      <c r="C2174" s="70" t="s">
        <v>2192</v>
      </c>
      <c r="D2174" s="71"/>
      <c r="E2174" s="72">
        <v>62369497</v>
      </c>
    </row>
    <row r="2175" spans="1:5" ht="30">
      <c r="A2175" s="66" t="s">
        <v>2088</v>
      </c>
      <c r="B2175" s="42"/>
      <c r="C2175" s="63" t="s">
        <v>2193</v>
      </c>
      <c r="D2175" s="62"/>
      <c r="E2175" s="64">
        <v>62257435</v>
      </c>
    </row>
    <row r="2176" spans="1:5" ht="30">
      <c r="A2176" s="68" t="s">
        <v>2088</v>
      </c>
      <c r="B2176" s="69"/>
      <c r="C2176" s="70" t="s">
        <v>2194</v>
      </c>
      <c r="D2176" s="71"/>
      <c r="E2176" s="72">
        <v>62366965</v>
      </c>
    </row>
    <row r="2177" spans="1:5" ht="30">
      <c r="A2177" s="66" t="s">
        <v>2088</v>
      </c>
      <c r="B2177" s="42"/>
      <c r="C2177" s="63" t="s">
        <v>2195</v>
      </c>
      <c r="D2177" s="62"/>
      <c r="E2177" s="64">
        <v>69411080</v>
      </c>
    </row>
    <row r="2178" spans="1:5" ht="30">
      <c r="A2178" s="68" t="s">
        <v>2088</v>
      </c>
      <c r="B2178" s="69"/>
      <c r="C2178" s="70" t="s">
        <v>2196</v>
      </c>
      <c r="D2178" s="71"/>
      <c r="E2178" s="72">
        <v>68148452</v>
      </c>
    </row>
    <row r="2179" spans="1:5" ht="30">
      <c r="A2179" s="66" t="s">
        <v>2088</v>
      </c>
      <c r="B2179" s="42"/>
      <c r="C2179" s="63" t="s">
        <v>2197</v>
      </c>
      <c r="D2179" s="62"/>
      <c r="E2179" s="64">
        <v>64815558</v>
      </c>
    </row>
    <row r="2180" spans="1:5" ht="30">
      <c r="A2180" s="68" t="s">
        <v>2088</v>
      </c>
      <c r="B2180" s="69"/>
      <c r="C2180" s="70" t="s">
        <v>2198</v>
      </c>
      <c r="D2180" s="71"/>
      <c r="E2180" s="72">
        <v>68363598</v>
      </c>
    </row>
    <row r="2181" spans="1:5" ht="30">
      <c r="A2181" s="66" t="s">
        <v>2088</v>
      </c>
      <c r="B2181" s="42"/>
      <c r="C2181" s="63" t="s">
        <v>2199</v>
      </c>
      <c r="D2181" s="62"/>
      <c r="E2181" s="64">
        <v>69878899</v>
      </c>
    </row>
    <row r="2182" spans="1:5" ht="30">
      <c r="A2182" s="68" t="s">
        <v>2088</v>
      </c>
      <c r="B2182" s="69"/>
      <c r="C2182" s="70" t="s">
        <v>2200</v>
      </c>
      <c r="D2182" s="71"/>
      <c r="E2182" s="72">
        <v>7766878</v>
      </c>
    </row>
    <row r="2183" spans="1:5" ht="30">
      <c r="A2183" s="66" t="s">
        <v>2088</v>
      </c>
      <c r="B2183" s="42"/>
      <c r="C2183" s="63" t="s">
        <v>2201</v>
      </c>
      <c r="D2183" s="62"/>
      <c r="E2183" s="64">
        <v>64347909</v>
      </c>
    </row>
    <row r="2184" spans="1:5" ht="30">
      <c r="A2184" s="68" t="s">
        <v>2088</v>
      </c>
      <c r="B2184" s="69"/>
      <c r="C2184" s="70" t="s">
        <v>2202</v>
      </c>
      <c r="D2184" s="71"/>
      <c r="E2184" s="72">
        <v>68535397</v>
      </c>
    </row>
    <row r="2185" spans="1:5" ht="30">
      <c r="A2185" s="66" t="s">
        <v>2088</v>
      </c>
      <c r="B2185" s="42"/>
      <c r="C2185" s="63" t="s">
        <v>2203</v>
      </c>
      <c r="D2185" s="62"/>
      <c r="E2185" s="64">
        <v>60985110</v>
      </c>
    </row>
    <row r="2186" spans="1:5" ht="30">
      <c r="A2186" s="68" t="s">
        <v>2088</v>
      </c>
      <c r="B2186" s="69"/>
      <c r="C2186" s="70" t="s">
        <v>2204</v>
      </c>
      <c r="D2186" s="71"/>
      <c r="E2186" s="72">
        <v>69759291</v>
      </c>
    </row>
    <row r="2187" spans="1:5" ht="30">
      <c r="A2187" s="66" t="s">
        <v>2088</v>
      </c>
      <c r="B2187" s="42"/>
      <c r="C2187" s="63" t="s">
        <v>2205</v>
      </c>
      <c r="D2187" s="62"/>
      <c r="E2187" s="64">
        <v>64260990</v>
      </c>
    </row>
    <row r="2188" spans="1:5" ht="30">
      <c r="A2188" s="68" t="s">
        <v>2088</v>
      </c>
      <c r="B2188" s="69"/>
      <c r="C2188" s="70" t="s">
        <v>2206</v>
      </c>
      <c r="D2188" s="71"/>
      <c r="E2188" s="72">
        <v>7751679</v>
      </c>
    </row>
    <row r="2189" spans="1:5" ht="30">
      <c r="A2189" s="66" t="s">
        <v>2088</v>
      </c>
      <c r="B2189" s="42"/>
      <c r="C2189" s="63" t="s">
        <v>2207</v>
      </c>
      <c r="D2189" s="62"/>
      <c r="E2189" s="64">
        <v>68304668</v>
      </c>
    </row>
    <row r="2190" spans="1:5" ht="30">
      <c r="A2190" s="68" t="s">
        <v>2088</v>
      </c>
      <c r="B2190" s="69"/>
      <c r="C2190" s="70" t="s">
        <v>2208</v>
      </c>
      <c r="D2190" s="71"/>
      <c r="E2190" s="72">
        <v>68555506</v>
      </c>
    </row>
    <row r="2191" spans="1:5" ht="30">
      <c r="A2191" s="66" t="s">
        <v>2088</v>
      </c>
      <c r="B2191" s="42"/>
      <c r="C2191" s="63" t="s">
        <v>2209</v>
      </c>
      <c r="D2191" s="62"/>
      <c r="E2191" s="64">
        <v>69235806</v>
      </c>
    </row>
    <row r="2192" spans="1:5" ht="30">
      <c r="A2192" s="68" t="s">
        <v>2088</v>
      </c>
      <c r="B2192" s="69"/>
      <c r="C2192" s="70" t="s">
        <v>2210</v>
      </c>
      <c r="D2192" s="71"/>
      <c r="E2192" s="72">
        <v>64653036</v>
      </c>
    </row>
    <row r="2193" spans="1:5" ht="30">
      <c r="A2193" s="66" t="s">
        <v>2088</v>
      </c>
      <c r="B2193" s="42"/>
      <c r="C2193" s="63" t="s">
        <v>2211</v>
      </c>
      <c r="D2193" s="62"/>
      <c r="E2193" s="64">
        <v>64152597</v>
      </c>
    </row>
    <row r="2194" spans="1:5" ht="30">
      <c r="A2194" s="68" t="s">
        <v>2088</v>
      </c>
      <c r="B2194" s="69"/>
      <c r="C2194" s="70" t="s">
        <v>2212</v>
      </c>
      <c r="D2194" s="71"/>
      <c r="E2194" s="72">
        <v>63825292</v>
      </c>
    </row>
    <row r="2195" spans="1:5" ht="30">
      <c r="A2195" s="66" t="s">
        <v>2088</v>
      </c>
      <c r="B2195" s="42"/>
      <c r="C2195" s="63" t="s">
        <v>2213</v>
      </c>
      <c r="D2195" s="62"/>
      <c r="E2195" s="64">
        <v>63641412</v>
      </c>
    </row>
    <row r="2196" spans="1:5" ht="30">
      <c r="A2196" s="68" t="s">
        <v>2088</v>
      </c>
      <c r="B2196" s="69"/>
      <c r="C2196" s="70" t="s">
        <v>2214</v>
      </c>
      <c r="D2196" s="71"/>
      <c r="E2196" s="72">
        <v>69526290</v>
      </c>
    </row>
    <row r="2197" spans="1:5" ht="30">
      <c r="A2197" s="66" t="s">
        <v>2088</v>
      </c>
      <c r="B2197" s="42"/>
      <c r="C2197" s="63" t="s">
        <v>2215</v>
      </c>
      <c r="D2197" s="62"/>
      <c r="E2197" s="64">
        <v>69304971</v>
      </c>
    </row>
    <row r="2198" spans="1:5" ht="30">
      <c r="A2198" s="68" t="s">
        <v>2088</v>
      </c>
      <c r="B2198" s="69"/>
      <c r="C2198" s="70" t="s">
        <v>2216</v>
      </c>
      <c r="D2198" s="71"/>
      <c r="E2198" s="72">
        <v>65037405</v>
      </c>
    </row>
    <row r="2199" spans="1:5" ht="30">
      <c r="A2199" s="66" t="s">
        <v>2088</v>
      </c>
      <c r="B2199" s="42"/>
      <c r="C2199" s="63" t="s">
        <v>2217</v>
      </c>
      <c r="D2199" s="62"/>
      <c r="E2199" s="64">
        <v>69219082</v>
      </c>
    </row>
    <row r="2200" spans="1:5" ht="30">
      <c r="A2200" s="68" t="s">
        <v>2088</v>
      </c>
      <c r="B2200" s="69"/>
      <c r="C2200" s="70" t="s">
        <v>2218</v>
      </c>
      <c r="D2200" s="71"/>
      <c r="E2200" s="72">
        <v>61997017</v>
      </c>
    </row>
    <row r="2201" spans="1:5" ht="30">
      <c r="A2201" s="66" t="s">
        <v>2088</v>
      </c>
      <c r="B2201" s="42"/>
      <c r="C2201" s="63" t="s">
        <v>2219</v>
      </c>
      <c r="D2201" s="62"/>
      <c r="E2201" s="64">
        <v>65089320</v>
      </c>
    </row>
    <row r="2202" spans="1:5" ht="30">
      <c r="A2202" s="68" t="s">
        <v>2088</v>
      </c>
      <c r="B2202" s="69"/>
      <c r="C2202" s="70" t="s">
        <v>2220</v>
      </c>
      <c r="D2202" s="71"/>
      <c r="E2202" s="72">
        <v>69555204</v>
      </c>
    </row>
    <row r="2203" spans="1:5" ht="30">
      <c r="A2203" s="66" t="s">
        <v>2088</v>
      </c>
      <c r="B2203" s="42"/>
      <c r="C2203" s="63" t="s">
        <v>2221</v>
      </c>
      <c r="D2203" s="62"/>
      <c r="E2203" s="64">
        <v>67772083</v>
      </c>
    </row>
    <row r="2204" spans="1:5" ht="30">
      <c r="A2204" s="68" t="s">
        <v>2088</v>
      </c>
      <c r="B2204" s="69"/>
      <c r="C2204" s="70" t="s">
        <v>2222</v>
      </c>
      <c r="D2204" s="71"/>
      <c r="E2204" s="72">
        <v>66821996</v>
      </c>
    </row>
    <row r="2205" spans="1:5" ht="30">
      <c r="A2205" s="66" t="s">
        <v>2088</v>
      </c>
      <c r="B2205" s="42"/>
      <c r="C2205" s="63" t="s">
        <v>2223</v>
      </c>
      <c r="D2205" s="62"/>
      <c r="E2205" s="64">
        <v>68851361</v>
      </c>
    </row>
    <row r="2206" spans="1:5" ht="30">
      <c r="A2206" s="68" t="s">
        <v>2088</v>
      </c>
      <c r="B2206" s="69"/>
      <c r="C2206" s="70" t="s">
        <v>2224</v>
      </c>
      <c r="D2206" s="71"/>
      <c r="E2206" s="72">
        <v>67323256</v>
      </c>
    </row>
    <row r="2207" spans="1:5" ht="30">
      <c r="A2207" s="66" t="s">
        <v>2088</v>
      </c>
      <c r="B2207" s="42"/>
      <c r="C2207" s="63" t="s">
        <v>2225</v>
      </c>
      <c r="D2207" s="62"/>
      <c r="E2207" s="64">
        <v>67879058</v>
      </c>
    </row>
    <row r="2208" spans="1:5" ht="30">
      <c r="A2208" s="68" t="s">
        <v>2088</v>
      </c>
      <c r="B2208" s="69"/>
      <c r="C2208" s="70" t="s">
        <v>2226</v>
      </c>
      <c r="D2208" s="71"/>
      <c r="E2208" s="72">
        <v>63822747</v>
      </c>
    </row>
    <row r="2209" spans="1:5" ht="30">
      <c r="A2209" s="66" t="s">
        <v>2088</v>
      </c>
      <c r="B2209" s="42"/>
      <c r="C2209" s="63" t="s">
        <v>2227</v>
      </c>
      <c r="D2209" s="62"/>
      <c r="E2209" s="64">
        <v>65254082</v>
      </c>
    </row>
    <row r="2210" spans="1:5" ht="30">
      <c r="A2210" s="68" t="s">
        <v>2088</v>
      </c>
      <c r="B2210" s="69"/>
      <c r="C2210" s="70" t="s">
        <v>2228</v>
      </c>
      <c r="D2210" s="71"/>
      <c r="E2210" s="72">
        <v>63152433</v>
      </c>
    </row>
    <row r="2211" spans="1:5" ht="30">
      <c r="A2211" s="66" t="s">
        <v>2088</v>
      </c>
      <c r="B2211" s="42"/>
      <c r="C2211" s="63" t="s">
        <v>2229</v>
      </c>
      <c r="D2211" s="62"/>
      <c r="E2211" s="64">
        <v>69063571</v>
      </c>
    </row>
    <row r="2212" spans="1:5" ht="30">
      <c r="A2212" s="68" t="s">
        <v>2088</v>
      </c>
      <c r="B2212" s="69"/>
      <c r="C2212" s="70" t="s">
        <v>2230</v>
      </c>
      <c r="D2212" s="71"/>
      <c r="E2212" s="72">
        <v>63887912</v>
      </c>
    </row>
    <row r="2213" spans="1:5" ht="30">
      <c r="A2213" s="66" t="s">
        <v>2088</v>
      </c>
      <c r="B2213" s="42"/>
      <c r="C2213" s="63" t="s">
        <v>2231</v>
      </c>
      <c r="D2213" s="62"/>
      <c r="E2213" s="64">
        <v>65459117</v>
      </c>
    </row>
    <row r="2214" spans="1:5" ht="30">
      <c r="A2214" s="68" t="s">
        <v>2088</v>
      </c>
      <c r="B2214" s="69"/>
      <c r="C2214" s="70" t="s">
        <v>2232</v>
      </c>
      <c r="D2214" s="71"/>
      <c r="E2214" s="72">
        <v>65494876</v>
      </c>
    </row>
    <row r="2215" spans="1:5" ht="30">
      <c r="A2215" s="66" t="s">
        <v>2088</v>
      </c>
      <c r="B2215" s="42"/>
      <c r="C2215" s="63" t="s">
        <v>2233</v>
      </c>
      <c r="D2215" s="62"/>
      <c r="E2215" s="64">
        <v>64614249</v>
      </c>
    </row>
    <row r="2216" spans="1:5" ht="30">
      <c r="A2216" s="68" t="s">
        <v>2088</v>
      </c>
      <c r="B2216" s="69"/>
      <c r="C2216" s="70" t="s">
        <v>2234</v>
      </c>
      <c r="D2216" s="71"/>
      <c r="E2216" s="72">
        <v>64466292</v>
      </c>
    </row>
    <row r="2217" spans="1:5" ht="30">
      <c r="A2217" s="66" t="s">
        <v>2088</v>
      </c>
      <c r="B2217" s="42"/>
      <c r="C2217" s="63" t="s">
        <v>2235</v>
      </c>
      <c r="D2217" s="62"/>
      <c r="E2217" s="64">
        <v>7755137</v>
      </c>
    </row>
    <row r="2218" spans="1:5" ht="30">
      <c r="A2218" s="68" t="s">
        <v>2088</v>
      </c>
      <c r="B2218" s="69"/>
      <c r="C2218" s="70" t="s">
        <v>2236</v>
      </c>
      <c r="D2218" s="71"/>
      <c r="E2218" s="72">
        <v>65974494</v>
      </c>
    </row>
    <row r="2219" spans="1:5" ht="30">
      <c r="A2219" s="66" t="s">
        <v>2088</v>
      </c>
      <c r="B2219" s="42"/>
      <c r="C2219" s="63" t="s">
        <v>2237</v>
      </c>
      <c r="D2219" s="62"/>
      <c r="E2219" s="64">
        <v>7097080</v>
      </c>
    </row>
    <row r="2220" spans="1:5" ht="30">
      <c r="A2220" s="68" t="s">
        <v>2088</v>
      </c>
      <c r="B2220" s="69"/>
      <c r="C2220" s="70" t="s">
        <v>2238</v>
      </c>
      <c r="D2220" s="71"/>
      <c r="E2220" s="72">
        <v>69323878</v>
      </c>
    </row>
    <row r="2221" spans="1:5" ht="30">
      <c r="A2221" s="66" t="s">
        <v>2088</v>
      </c>
      <c r="B2221" s="42"/>
      <c r="C2221" s="63" t="s">
        <v>2239</v>
      </c>
      <c r="D2221" s="62"/>
      <c r="E2221" s="64">
        <v>62322705</v>
      </c>
    </row>
    <row r="2222" spans="1:5" ht="30">
      <c r="A2222" s="68" t="s">
        <v>2088</v>
      </c>
      <c r="B2222" s="69"/>
      <c r="C2222" s="70" t="s">
        <v>2240</v>
      </c>
      <c r="D2222" s="71"/>
      <c r="E2222" s="72">
        <v>65887797</v>
      </c>
    </row>
    <row r="2223" spans="1:5" ht="30">
      <c r="A2223" s="66" t="s">
        <v>2088</v>
      </c>
      <c r="B2223" s="42"/>
      <c r="C2223" s="63" t="s">
        <v>2241</v>
      </c>
      <c r="D2223" s="62"/>
      <c r="E2223" s="64">
        <v>7302250</v>
      </c>
    </row>
    <row r="2224" spans="1:5" ht="30">
      <c r="A2224" s="68" t="s">
        <v>2088</v>
      </c>
      <c r="B2224" s="69"/>
      <c r="C2224" s="70" t="s">
        <v>2242</v>
      </c>
      <c r="D2224" s="71"/>
      <c r="E2224" s="72">
        <v>67863448</v>
      </c>
    </row>
    <row r="2225" spans="1:5" ht="30">
      <c r="A2225" s="66" t="s">
        <v>2088</v>
      </c>
      <c r="B2225" s="42"/>
      <c r="C2225" s="63" t="s">
        <v>2243</v>
      </c>
      <c r="D2225" s="62"/>
      <c r="E2225" s="64">
        <v>64457608</v>
      </c>
    </row>
    <row r="2226" spans="1:5" ht="30">
      <c r="A2226" s="68" t="s">
        <v>2088</v>
      </c>
      <c r="B2226" s="69"/>
      <c r="C2226" s="70" t="s">
        <v>2244</v>
      </c>
      <c r="D2226" s="71"/>
      <c r="E2226" s="72">
        <v>64923939</v>
      </c>
    </row>
    <row r="2227" spans="1:5" ht="30">
      <c r="A2227" s="66" t="s">
        <v>2088</v>
      </c>
      <c r="B2227" s="42"/>
      <c r="C2227" s="63" t="s">
        <v>2245</v>
      </c>
      <c r="D2227" s="62"/>
      <c r="E2227" s="64">
        <v>68047894</v>
      </c>
    </row>
    <row r="2228" spans="1:5" ht="30">
      <c r="A2228" s="68" t="s">
        <v>2088</v>
      </c>
      <c r="B2228" s="69"/>
      <c r="C2228" s="70" t="s">
        <v>2246</v>
      </c>
      <c r="D2228" s="71"/>
      <c r="E2228" s="72">
        <v>68992803</v>
      </c>
    </row>
    <row r="2229" spans="1:5" ht="30">
      <c r="A2229" s="66" t="s">
        <v>2088</v>
      </c>
      <c r="B2229" s="42"/>
      <c r="C2229" s="63" t="s">
        <v>2247</v>
      </c>
      <c r="D2229" s="62"/>
      <c r="E2229" s="64">
        <v>61708226</v>
      </c>
    </row>
    <row r="2230" spans="1:5" ht="30">
      <c r="A2230" s="68" t="s">
        <v>2088</v>
      </c>
      <c r="B2230" s="69"/>
      <c r="C2230" s="70" t="s">
        <v>2248</v>
      </c>
      <c r="D2230" s="71"/>
      <c r="E2230" s="72">
        <v>68410523</v>
      </c>
    </row>
    <row r="2231" spans="1:5" ht="30">
      <c r="A2231" s="66" t="s">
        <v>2088</v>
      </c>
      <c r="B2231" s="42"/>
      <c r="C2231" s="63" t="s">
        <v>2249</v>
      </c>
      <c r="D2231" s="62"/>
      <c r="E2231" s="64">
        <v>68789854</v>
      </c>
    </row>
    <row r="2232" spans="1:5" ht="30">
      <c r="A2232" s="68" t="s">
        <v>2088</v>
      </c>
      <c r="B2232" s="69"/>
      <c r="C2232" s="70" t="s">
        <v>2250</v>
      </c>
      <c r="D2232" s="71"/>
      <c r="E2232" s="72">
        <v>69018600</v>
      </c>
    </row>
    <row r="2233" spans="1:5" ht="30">
      <c r="A2233" s="66" t="s">
        <v>2088</v>
      </c>
      <c r="B2233" s="42"/>
      <c r="C2233" s="63" t="s">
        <v>2251</v>
      </c>
      <c r="D2233" s="62"/>
      <c r="E2233" s="64">
        <v>67875684</v>
      </c>
    </row>
    <row r="2234" spans="1:5" ht="30">
      <c r="A2234" s="68" t="s">
        <v>2088</v>
      </c>
      <c r="B2234" s="69"/>
      <c r="C2234" s="70" t="s">
        <v>2252</v>
      </c>
      <c r="D2234" s="71"/>
      <c r="E2234" s="72">
        <v>7715256</v>
      </c>
    </row>
    <row r="2235" spans="1:5" ht="30">
      <c r="A2235" s="66" t="s">
        <v>2088</v>
      </c>
      <c r="B2235" s="42"/>
      <c r="C2235" s="63" t="s">
        <v>2253</v>
      </c>
      <c r="D2235" s="62"/>
      <c r="E2235" s="64">
        <v>62131560</v>
      </c>
    </row>
    <row r="2236" spans="1:5" ht="30">
      <c r="A2236" s="68" t="s">
        <v>2088</v>
      </c>
      <c r="B2236" s="69"/>
      <c r="C2236" s="70" t="s">
        <v>2254</v>
      </c>
      <c r="D2236" s="71"/>
      <c r="E2236" s="72">
        <v>68350609</v>
      </c>
    </row>
    <row r="2237" spans="1:5" ht="30">
      <c r="A2237" s="66" t="s">
        <v>2088</v>
      </c>
      <c r="B2237" s="42"/>
      <c r="C2237" s="63" t="s">
        <v>2255</v>
      </c>
      <c r="D2237" s="62"/>
      <c r="E2237" s="64">
        <v>67893465</v>
      </c>
    </row>
    <row r="2238" spans="1:5" ht="30">
      <c r="A2238" s="68" t="s">
        <v>2088</v>
      </c>
      <c r="B2238" s="69"/>
      <c r="C2238" s="70" t="s">
        <v>2256</v>
      </c>
      <c r="D2238" s="71"/>
      <c r="E2238" s="72">
        <v>61054905</v>
      </c>
    </row>
    <row r="2239" spans="1:5" ht="30">
      <c r="A2239" s="66" t="s">
        <v>2088</v>
      </c>
      <c r="B2239" s="42"/>
      <c r="C2239" s="63" t="s">
        <v>2257</v>
      </c>
      <c r="D2239" s="62"/>
      <c r="E2239" s="64">
        <v>64029235</v>
      </c>
    </row>
    <row r="2240" spans="1:5" ht="30">
      <c r="A2240" s="68" t="s">
        <v>2088</v>
      </c>
      <c r="B2240" s="69"/>
      <c r="C2240" s="70" t="s">
        <v>2258</v>
      </c>
      <c r="D2240" s="71"/>
      <c r="E2240" s="72">
        <v>69923545</v>
      </c>
    </row>
    <row r="2241" spans="1:5" ht="30">
      <c r="A2241" s="66" t="s">
        <v>2088</v>
      </c>
      <c r="B2241" s="42"/>
      <c r="C2241" s="63" t="s">
        <v>2259</v>
      </c>
      <c r="D2241" s="62"/>
      <c r="E2241" s="64">
        <v>64496420</v>
      </c>
    </row>
    <row r="2242" spans="1:5" ht="30">
      <c r="A2242" s="68" t="s">
        <v>2088</v>
      </c>
      <c r="B2242" s="69"/>
      <c r="C2242" s="70" t="s">
        <v>2260</v>
      </c>
      <c r="D2242" s="71"/>
      <c r="E2242" s="72">
        <v>7211219</v>
      </c>
    </row>
    <row r="2243" spans="1:5" ht="30">
      <c r="A2243" s="66" t="s">
        <v>2088</v>
      </c>
      <c r="B2243" s="42"/>
      <c r="C2243" s="63" t="s">
        <v>2261</v>
      </c>
      <c r="D2243" s="62"/>
      <c r="E2243" s="64">
        <v>63630100</v>
      </c>
    </row>
    <row r="2244" spans="1:5" ht="30">
      <c r="A2244" s="68" t="s">
        <v>2088</v>
      </c>
      <c r="B2244" s="69"/>
      <c r="C2244" s="70" t="s">
        <v>2262</v>
      </c>
      <c r="D2244" s="71"/>
      <c r="E2244" s="72">
        <v>61747201</v>
      </c>
    </row>
    <row r="2245" spans="1:5" ht="30">
      <c r="A2245" s="66" t="s">
        <v>2088</v>
      </c>
      <c r="B2245" s="42"/>
      <c r="C2245" s="63" t="s">
        <v>2263</v>
      </c>
      <c r="D2245" s="62"/>
      <c r="E2245" s="64">
        <v>7304092</v>
      </c>
    </row>
    <row r="2246" spans="1:5" ht="30">
      <c r="A2246" s="68" t="s">
        <v>2088</v>
      </c>
      <c r="B2246" s="69"/>
      <c r="C2246" s="70" t="s">
        <v>2264</v>
      </c>
      <c r="D2246" s="71"/>
      <c r="E2246" s="72">
        <v>64464968</v>
      </c>
    </row>
    <row r="2247" spans="1:5" ht="30">
      <c r="A2247" s="66" t="s">
        <v>2088</v>
      </c>
      <c r="B2247" s="42"/>
      <c r="C2247" s="63" t="s">
        <v>2265</v>
      </c>
      <c r="D2247" s="62"/>
      <c r="E2247" s="64">
        <v>62113572</v>
      </c>
    </row>
    <row r="2248" spans="1:5" ht="30">
      <c r="A2248" s="68" t="s">
        <v>2088</v>
      </c>
      <c r="B2248" s="69"/>
      <c r="C2248" s="70" t="s">
        <v>2266</v>
      </c>
      <c r="D2248" s="71"/>
      <c r="E2248" s="72">
        <v>64713707</v>
      </c>
    </row>
    <row r="2249" spans="1:5" ht="30">
      <c r="A2249" s="66" t="s">
        <v>2088</v>
      </c>
      <c r="B2249" s="42"/>
      <c r="C2249" s="63" t="s">
        <v>2267</v>
      </c>
      <c r="D2249" s="62"/>
      <c r="E2249" s="64">
        <v>67657603</v>
      </c>
    </row>
    <row r="2250" spans="1:5" ht="30">
      <c r="A2250" s="68" t="s">
        <v>2088</v>
      </c>
      <c r="B2250" s="69"/>
      <c r="C2250" s="70" t="s">
        <v>2268</v>
      </c>
      <c r="D2250" s="71"/>
      <c r="E2250" s="72">
        <v>60042998</v>
      </c>
    </row>
    <row r="2251" spans="1:5" ht="30">
      <c r="A2251" s="66" t="s">
        <v>2088</v>
      </c>
      <c r="B2251" s="42"/>
      <c r="C2251" s="63" t="s">
        <v>2269</v>
      </c>
      <c r="D2251" s="62"/>
      <c r="E2251" s="64">
        <v>69555030</v>
      </c>
    </row>
    <row r="2252" spans="1:5" ht="30">
      <c r="A2252" s="68" t="s">
        <v>2088</v>
      </c>
      <c r="B2252" s="69"/>
      <c r="C2252" s="70" t="s">
        <v>2270</v>
      </c>
      <c r="D2252" s="71"/>
      <c r="E2252" s="72">
        <v>65954856</v>
      </c>
    </row>
    <row r="2253" spans="1:5" ht="30">
      <c r="A2253" s="66" t="s">
        <v>2088</v>
      </c>
      <c r="B2253" s="42"/>
      <c r="C2253" s="63" t="s">
        <v>2271</v>
      </c>
      <c r="D2253" s="62"/>
      <c r="E2253" s="64">
        <v>69612545</v>
      </c>
    </row>
    <row r="2254" spans="1:5" ht="30">
      <c r="A2254" s="68" t="s">
        <v>2088</v>
      </c>
      <c r="B2254" s="69"/>
      <c r="C2254" s="70" t="s">
        <v>2272</v>
      </c>
      <c r="D2254" s="71"/>
      <c r="E2254" s="72">
        <v>65844472</v>
      </c>
    </row>
    <row r="2255" spans="1:5" ht="30">
      <c r="A2255" s="66" t="s">
        <v>2088</v>
      </c>
      <c r="B2255" s="42"/>
      <c r="C2255" s="63" t="s">
        <v>2273</v>
      </c>
      <c r="D2255" s="62"/>
      <c r="E2255" s="64">
        <v>63858243</v>
      </c>
    </row>
    <row r="2256" spans="1:5" ht="30">
      <c r="A2256" s="68" t="s">
        <v>2088</v>
      </c>
      <c r="B2256" s="69"/>
      <c r="C2256" s="70" t="s">
        <v>2274</v>
      </c>
      <c r="D2256" s="71"/>
      <c r="E2256" s="72">
        <v>67912933</v>
      </c>
    </row>
    <row r="2257" spans="1:5" ht="30">
      <c r="A2257" s="66" t="s">
        <v>2088</v>
      </c>
      <c r="B2257" s="42"/>
      <c r="C2257" s="63" t="s">
        <v>2275</v>
      </c>
      <c r="D2257" s="62"/>
      <c r="E2257" s="64">
        <v>63055230</v>
      </c>
    </row>
    <row r="2258" spans="1:5" ht="30">
      <c r="A2258" s="68" t="s">
        <v>2088</v>
      </c>
      <c r="B2258" s="69"/>
      <c r="C2258" s="70" t="s">
        <v>2276</v>
      </c>
      <c r="D2258" s="71"/>
      <c r="E2258" s="72">
        <v>64543715</v>
      </c>
    </row>
    <row r="2259" spans="1:5" ht="30">
      <c r="A2259" s="66" t="s">
        <v>2088</v>
      </c>
      <c r="B2259" s="42"/>
      <c r="C2259" s="63" t="s">
        <v>2277</v>
      </c>
      <c r="D2259" s="62"/>
      <c r="E2259" s="64">
        <v>69603563</v>
      </c>
    </row>
    <row r="2260" spans="1:5" ht="30">
      <c r="A2260" s="68" t="s">
        <v>2088</v>
      </c>
      <c r="B2260" s="69"/>
      <c r="C2260" s="70" t="s">
        <v>2278</v>
      </c>
      <c r="D2260" s="71"/>
      <c r="E2260" s="72">
        <v>62262641</v>
      </c>
    </row>
    <row r="2261" spans="1:5" ht="30">
      <c r="A2261" s="66" t="s">
        <v>2088</v>
      </c>
      <c r="B2261" s="42"/>
      <c r="C2261" s="63" t="s">
        <v>2279</v>
      </c>
      <c r="D2261" s="62"/>
      <c r="E2261" s="64">
        <v>66058659</v>
      </c>
    </row>
    <row r="2262" spans="1:5" ht="30">
      <c r="A2262" s="68" t="s">
        <v>2088</v>
      </c>
      <c r="B2262" s="69"/>
      <c r="C2262" s="70" t="s">
        <v>2280</v>
      </c>
      <c r="D2262" s="71"/>
      <c r="E2262" s="72">
        <v>66899954</v>
      </c>
    </row>
    <row r="2263" spans="1:5" ht="30">
      <c r="A2263" s="66" t="s">
        <v>2088</v>
      </c>
      <c r="B2263" s="42"/>
      <c r="C2263" s="63" t="s">
        <v>2281</v>
      </c>
      <c r="D2263" s="62"/>
      <c r="E2263" s="64">
        <v>68904792</v>
      </c>
    </row>
    <row r="2264" spans="1:5" ht="30">
      <c r="A2264" s="68" t="s">
        <v>2088</v>
      </c>
      <c r="B2264" s="69"/>
      <c r="C2264" s="70" t="s">
        <v>2282</v>
      </c>
      <c r="D2264" s="71"/>
      <c r="E2264" s="72">
        <v>66200089</v>
      </c>
    </row>
    <row r="2265" spans="1:5" ht="30">
      <c r="A2265" s="66" t="s">
        <v>2088</v>
      </c>
      <c r="B2265" s="42"/>
      <c r="C2265" s="63" t="s">
        <v>2283</v>
      </c>
      <c r="D2265" s="62"/>
      <c r="E2265" s="64">
        <v>66453186</v>
      </c>
    </row>
    <row r="2266" spans="1:5" ht="30">
      <c r="A2266" s="68" t="s">
        <v>2088</v>
      </c>
      <c r="B2266" s="69"/>
      <c r="C2266" s="70" t="s">
        <v>2284</v>
      </c>
      <c r="D2266" s="71"/>
      <c r="E2266" s="72">
        <v>7714555</v>
      </c>
    </row>
    <row r="2267" spans="1:5" ht="30">
      <c r="A2267" s="66" t="s">
        <v>2088</v>
      </c>
      <c r="B2267" s="42"/>
      <c r="C2267" s="63" t="s">
        <v>2285</v>
      </c>
      <c r="D2267" s="62"/>
      <c r="E2267" s="64">
        <v>63630800</v>
      </c>
    </row>
    <row r="2268" spans="1:5" ht="30">
      <c r="A2268" s="68" t="s">
        <v>2088</v>
      </c>
      <c r="B2268" s="69"/>
      <c r="C2268" s="70" t="s">
        <v>2286</v>
      </c>
      <c r="D2268" s="71"/>
      <c r="E2268" s="72">
        <v>62339002</v>
      </c>
    </row>
    <row r="2269" spans="1:5" ht="30">
      <c r="A2269" s="66" t="s">
        <v>2088</v>
      </c>
      <c r="B2269" s="42"/>
      <c r="C2269" s="63" t="s">
        <v>2287</v>
      </c>
      <c r="D2269" s="62"/>
      <c r="E2269" s="64">
        <v>65794871</v>
      </c>
    </row>
    <row r="2270" spans="1:5" ht="30">
      <c r="A2270" s="68" t="s">
        <v>2088</v>
      </c>
      <c r="B2270" s="69"/>
      <c r="C2270" s="70" t="s">
        <v>2288</v>
      </c>
      <c r="D2270" s="71"/>
      <c r="E2270" s="72">
        <v>6513327</v>
      </c>
    </row>
    <row r="2271" spans="1:5" ht="30">
      <c r="A2271" s="66" t="s">
        <v>2088</v>
      </c>
      <c r="B2271" s="42"/>
      <c r="C2271" s="63" t="s">
        <v>2289</v>
      </c>
      <c r="D2271" s="62"/>
      <c r="E2271" s="64">
        <v>67145429</v>
      </c>
    </row>
    <row r="2272" spans="1:5" ht="30">
      <c r="A2272" s="68" t="s">
        <v>2088</v>
      </c>
      <c r="B2272" s="69"/>
      <c r="C2272" s="70" t="s">
        <v>2290</v>
      </c>
      <c r="D2272" s="71"/>
      <c r="E2272" s="72">
        <v>7203407</v>
      </c>
    </row>
    <row r="2273" spans="1:5" ht="30">
      <c r="A2273" s="66" t="s">
        <v>2088</v>
      </c>
      <c r="B2273" s="42"/>
      <c r="C2273" s="63" t="s">
        <v>2291</v>
      </c>
      <c r="D2273" s="62"/>
      <c r="E2273" s="64">
        <v>7706499</v>
      </c>
    </row>
    <row r="2274" spans="1:5" ht="30">
      <c r="A2274" s="68" t="s">
        <v>2088</v>
      </c>
      <c r="B2274" s="69"/>
      <c r="C2274" s="70" t="s">
        <v>2292</v>
      </c>
      <c r="D2274" s="71"/>
      <c r="E2274" s="72">
        <v>7201711</v>
      </c>
    </row>
    <row r="2275" spans="1:5" ht="30">
      <c r="A2275" s="66" t="s">
        <v>2088</v>
      </c>
      <c r="B2275" s="42"/>
      <c r="C2275" s="63" t="s">
        <v>2293</v>
      </c>
      <c r="D2275" s="62"/>
      <c r="E2275" s="64">
        <v>64257777</v>
      </c>
    </row>
    <row r="2276" spans="1:5" ht="30">
      <c r="A2276" s="68" t="s">
        <v>2088</v>
      </c>
      <c r="B2276" s="69"/>
      <c r="C2276" s="70" t="s">
        <v>2294</v>
      </c>
      <c r="D2276" s="71"/>
      <c r="E2276" s="72">
        <v>62177409</v>
      </c>
    </row>
    <row r="2277" spans="1:5" ht="30">
      <c r="A2277" s="66" t="s">
        <v>2088</v>
      </c>
      <c r="B2277" s="42"/>
      <c r="C2277" s="63" t="s">
        <v>2295</v>
      </c>
      <c r="D2277" s="62"/>
      <c r="E2277" s="64">
        <v>69231356</v>
      </c>
    </row>
    <row r="2278" spans="1:5" ht="30">
      <c r="A2278" s="68" t="s">
        <v>2088</v>
      </c>
      <c r="B2278" s="69"/>
      <c r="C2278" s="70" t="s">
        <v>2296</v>
      </c>
      <c r="D2278" s="71"/>
      <c r="E2278" s="72">
        <v>65709020</v>
      </c>
    </row>
    <row r="2279" spans="1:5" ht="30">
      <c r="A2279" s="66" t="s">
        <v>2088</v>
      </c>
      <c r="B2279" s="42"/>
      <c r="C2279" s="63" t="s">
        <v>2297</v>
      </c>
      <c r="D2279" s="62"/>
      <c r="E2279" s="64">
        <v>7755485</v>
      </c>
    </row>
    <row r="2280" spans="1:5" ht="30">
      <c r="A2280" s="68" t="s">
        <v>2088</v>
      </c>
      <c r="B2280" s="69"/>
      <c r="C2280" s="70" t="s">
        <v>2298</v>
      </c>
      <c r="D2280" s="71"/>
      <c r="E2280" s="72">
        <v>64352664</v>
      </c>
    </row>
    <row r="2281" spans="1:5" ht="30">
      <c r="A2281" s="66" t="s">
        <v>2088</v>
      </c>
      <c r="B2281" s="42"/>
      <c r="C2281" s="63" t="s">
        <v>2299</v>
      </c>
      <c r="D2281" s="62"/>
      <c r="E2281" s="64">
        <v>69573753</v>
      </c>
    </row>
    <row r="2282" spans="1:5" ht="30">
      <c r="A2282" s="68" t="s">
        <v>2088</v>
      </c>
      <c r="B2282" s="69"/>
      <c r="C2282" s="70" t="s">
        <v>2300</v>
      </c>
      <c r="D2282" s="71"/>
      <c r="E2282" s="72">
        <v>66455921</v>
      </c>
    </row>
    <row r="2283" spans="1:5" ht="30">
      <c r="A2283" s="66" t="s">
        <v>2088</v>
      </c>
      <c r="B2283" s="42"/>
      <c r="C2283" s="63" t="s">
        <v>2301</v>
      </c>
      <c r="D2283" s="62"/>
      <c r="E2283" s="64">
        <v>61508079</v>
      </c>
    </row>
    <row r="2284" spans="1:5" ht="30">
      <c r="A2284" s="68" t="s">
        <v>2088</v>
      </c>
      <c r="B2284" s="69"/>
      <c r="C2284" s="70" t="s">
        <v>2302</v>
      </c>
      <c r="D2284" s="71"/>
      <c r="E2284" s="72">
        <v>7270013</v>
      </c>
    </row>
    <row r="2285" spans="1:5" ht="30">
      <c r="A2285" s="66" t="s">
        <v>2088</v>
      </c>
      <c r="B2285" s="42"/>
      <c r="C2285" s="63" t="s">
        <v>2303</v>
      </c>
      <c r="D2285" s="62"/>
      <c r="E2285" s="64">
        <v>68336581</v>
      </c>
    </row>
    <row r="2286" spans="1:5" ht="30">
      <c r="A2286" s="68" t="s">
        <v>2088</v>
      </c>
      <c r="B2286" s="69"/>
      <c r="C2286" s="70" t="s">
        <v>2304</v>
      </c>
      <c r="D2286" s="71"/>
      <c r="E2286" s="72">
        <v>65921466</v>
      </c>
    </row>
    <row r="2287" spans="1:5" ht="30">
      <c r="A2287" s="66" t="s">
        <v>2088</v>
      </c>
      <c r="B2287" s="42"/>
      <c r="C2287" s="63" t="s">
        <v>2305</v>
      </c>
      <c r="D2287" s="62"/>
      <c r="E2287" s="64">
        <v>67954914</v>
      </c>
    </row>
    <row r="2288" spans="1:5" ht="30">
      <c r="A2288" s="68" t="s">
        <v>2088</v>
      </c>
      <c r="B2288" s="69"/>
      <c r="C2288" s="70" t="s">
        <v>2306</v>
      </c>
      <c r="D2288" s="71"/>
      <c r="E2288" s="72">
        <v>63175050</v>
      </c>
    </row>
    <row r="2289" spans="1:5" ht="30">
      <c r="A2289" s="66" t="s">
        <v>2088</v>
      </c>
      <c r="B2289" s="42"/>
      <c r="C2289" s="63" t="s">
        <v>2307</v>
      </c>
      <c r="D2289" s="62"/>
      <c r="E2289" s="64">
        <v>68833518</v>
      </c>
    </row>
    <row r="2290" spans="1:5" ht="30">
      <c r="A2290" s="68" t="s">
        <v>2088</v>
      </c>
      <c r="B2290" s="69"/>
      <c r="C2290" s="70" t="s">
        <v>2308</v>
      </c>
      <c r="D2290" s="71"/>
      <c r="E2290" s="72">
        <v>65156750</v>
      </c>
    </row>
    <row r="2291" spans="1:5" ht="30">
      <c r="A2291" s="66" t="s">
        <v>2088</v>
      </c>
      <c r="B2291" s="42"/>
      <c r="C2291" s="63" t="s">
        <v>2309</v>
      </c>
      <c r="D2291" s="62"/>
      <c r="E2291" s="64">
        <v>65216132</v>
      </c>
    </row>
    <row r="2292" spans="1:5" ht="30">
      <c r="A2292" s="68" t="s">
        <v>2088</v>
      </c>
      <c r="B2292" s="69"/>
      <c r="C2292" s="70" t="s">
        <v>2310</v>
      </c>
      <c r="D2292" s="71"/>
      <c r="E2292" s="72">
        <v>66015793</v>
      </c>
    </row>
    <row r="2293" spans="1:5" ht="30">
      <c r="A2293" s="66" t="s">
        <v>2088</v>
      </c>
      <c r="B2293" s="42"/>
      <c r="C2293" s="63" t="s">
        <v>2311</v>
      </c>
      <c r="D2293" s="62"/>
      <c r="E2293" s="64">
        <v>7752053</v>
      </c>
    </row>
    <row r="2294" spans="1:5" ht="30">
      <c r="A2294" s="68" t="s">
        <v>2088</v>
      </c>
      <c r="B2294" s="69"/>
      <c r="C2294" s="70" t="s">
        <v>2312</v>
      </c>
      <c r="D2294" s="71"/>
      <c r="E2294" s="72">
        <v>65430451</v>
      </c>
    </row>
    <row r="2295" spans="1:5" ht="30">
      <c r="A2295" s="66" t="s">
        <v>2088</v>
      </c>
      <c r="B2295" s="42"/>
      <c r="C2295" s="63" t="s">
        <v>2313</v>
      </c>
      <c r="D2295" s="62"/>
      <c r="E2295" s="64">
        <v>69576349</v>
      </c>
    </row>
    <row r="2296" spans="1:5" ht="30">
      <c r="A2296" s="68" t="s">
        <v>2088</v>
      </c>
      <c r="B2296" s="69"/>
      <c r="C2296" s="70" t="s">
        <v>2314</v>
      </c>
      <c r="D2296" s="71"/>
      <c r="E2296" s="72">
        <v>64317597</v>
      </c>
    </row>
    <row r="2297" spans="1:5" ht="30">
      <c r="A2297" s="66" t="s">
        <v>2088</v>
      </c>
      <c r="B2297" s="42"/>
      <c r="C2297" s="63" t="s">
        <v>2315</v>
      </c>
      <c r="D2297" s="62"/>
      <c r="E2297" s="64">
        <v>64080991</v>
      </c>
    </row>
    <row r="2298" spans="1:5" ht="30">
      <c r="A2298" s="68" t="s">
        <v>2088</v>
      </c>
      <c r="B2298" s="69"/>
      <c r="C2298" s="70" t="s">
        <v>2316</v>
      </c>
      <c r="D2298" s="71"/>
      <c r="E2298" s="72">
        <v>69854490</v>
      </c>
    </row>
    <row r="2299" spans="1:5" ht="30">
      <c r="A2299" s="66" t="s">
        <v>2088</v>
      </c>
      <c r="B2299" s="42"/>
      <c r="C2299" s="63" t="s">
        <v>2317</v>
      </c>
      <c r="D2299" s="62"/>
      <c r="E2299" s="64">
        <v>61615531</v>
      </c>
    </row>
    <row r="2300" spans="1:5" ht="30">
      <c r="A2300" s="68" t="s">
        <v>2088</v>
      </c>
      <c r="B2300" s="69"/>
      <c r="C2300" s="70" t="s">
        <v>784</v>
      </c>
      <c r="D2300" s="71"/>
      <c r="E2300" s="73">
        <v>67495272</v>
      </c>
    </row>
    <row r="2301" spans="1:5" ht="30">
      <c r="A2301" s="66" t="s">
        <v>2088</v>
      </c>
      <c r="B2301" s="42"/>
      <c r="C2301" s="63" t="s">
        <v>2318</v>
      </c>
      <c r="D2301" s="62"/>
      <c r="E2301" s="67">
        <v>7707662</v>
      </c>
    </row>
    <row r="2302" spans="1:5" ht="30">
      <c r="A2302" s="68" t="s">
        <v>2088</v>
      </c>
      <c r="B2302" s="69"/>
      <c r="C2302" s="70" t="s">
        <v>2319</v>
      </c>
      <c r="D2302" s="71"/>
      <c r="E2302" s="73">
        <v>68145918</v>
      </c>
    </row>
    <row r="2303" spans="1:5" ht="30">
      <c r="A2303" s="66" t="s">
        <v>2088</v>
      </c>
      <c r="B2303" s="42"/>
      <c r="C2303" s="63" t="s">
        <v>2320</v>
      </c>
      <c r="D2303" s="62"/>
      <c r="E2303" s="67">
        <v>68766292</v>
      </c>
    </row>
    <row r="2304" spans="1:5" ht="30">
      <c r="A2304" s="68" t="s">
        <v>2088</v>
      </c>
      <c r="B2304" s="69"/>
      <c r="C2304" s="70" t="s">
        <v>2321</v>
      </c>
      <c r="D2304" s="71"/>
      <c r="E2304" s="73">
        <v>68850164</v>
      </c>
    </row>
    <row r="2305" spans="1:5" ht="30">
      <c r="A2305" s="66" t="s">
        <v>2088</v>
      </c>
      <c r="B2305" s="42"/>
      <c r="C2305" s="63" t="s">
        <v>2322</v>
      </c>
      <c r="D2305" s="62"/>
      <c r="E2305" s="67">
        <v>63780917</v>
      </c>
    </row>
    <row r="2306" spans="1:5" ht="30">
      <c r="A2306" s="68" t="s">
        <v>2088</v>
      </c>
      <c r="B2306" s="69"/>
      <c r="C2306" s="70" t="s">
        <v>2323</v>
      </c>
      <c r="D2306" s="71"/>
      <c r="E2306" s="73">
        <v>62617677</v>
      </c>
    </row>
    <row r="2307" spans="1:5" ht="30">
      <c r="A2307" s="66" t="s">
        <v>2088</v>
      </c>
      <c r="B2307" s="42"/>
      <c r="C2307" s="63" t="s">
        <v>2324</v>
      </c>
      <c r="D2307" s="62"/>
      <c r="E2307" s="67">
        <v>7774887</v>
      </c>
    </row>
    <row r="2308" spans="1:5" ht="30">
      <c r="A2308" s="68" t="s">
        <v>2088</v>
      </c>
      <c r="B2308" s="69"/>
      <c r="C2308" s="70" t="s">
        <v>2325</v>
      </c>
      <c r="D2308" s="71"/>
      <c r="E2308" s="73">
        <v>65555519</v>
      </c>
    </row>
    <row r="2309" spans="1:5" ht="30">
      <c r="A2309" s="66" t="s">
        <v>2088</v>
      </c>
      <c r="B2309" s="42"/>
      <c r="C2309" s="63" t="s">
        <v>2326</v>
      </c>
      <c r="D2309" s="62"/>
      <c r="E2309" s="67">
        <v>69411522</v>
      </c>
    </row>
    <row r="2310" spans="1:5" ht="30">
      <c r="A2310" s="68" t="s">
        <v>2088</v>
      </c>
      <c r="B2310" s="69"/>
      <c r="C2310" s="70" t="s">
        <v>2327</v>
      </c>
      <c r="D2310" s="71"/>
      <c r="E2310" s="73">
        <v>63144922</v>
      </c>
    </row>
    <row r="2311" spans="1:5" ht="30">
      <c r="A2311" s="66" t="s">
        <v>2088</v>
      </c>
      <c r="B2311" s="42"/>
      <c r="C2311" s="63" t="s">
        <v>2328</v>
      </c>
      <c r="D2311" s="62"/>
      <c r="E2311" s="67">
        <v>66429916</v>
      </c>
    </row>
    <row r="2312" spans="1:5" ht="30">
      <c r="A2312" s="68" t="s">
        <v>2088</v>
      </c>
      <c r="B2312" s="69"/>
      <c r="C2312" s="70" t="s">
        <v>2329</v>
      </c>
      <c r="D2312" s="71"/>
      <c r="E2312" s="73">
        <v>66498040</v>
      </c>
    </row>
    <row r="2313" spans="1:5" ht="30">
      <c r="A2313" s="66" t="s">
        <v>2088</v>
      </c>
      <c r="B2313" s="42"/>
      <c r="C2313" s="63" t="s">
        <v>2330</v>
      </c>
      <c r="D2313" s="62"/>
      <c r="E2313" s="67">
        <v>64162718</v>
      </c>
    </row>
    <row r="2314" spans="1:5" ht="30">
      <c r="A2314" s="68" t="s">
        <v>2088</v>
      </c>
      <c r="B2314" s="69"/>
      <c r="C2314" s="70" t="s">
        <v>2331</v>
      </c>
      <c r="D2314" s="71"/>
      <c r="E2314" s="73">
        <v>7880173</v>
      </c>
    </row>
    <row r="2315" spans="1:5" ht="30">
      <c r="A2315" s="66" t="s">
        <v>2088</v>
      </c>
      <c r="B2315" s="42"/>
      <c r="C2315" s="63" t="s">
        <v>2332</v>
      </c>
      <c r="D2315" s="62"/>
      <c r="E2315" s="67">
        <v>7790474</v>
      </c>
    </row>
    <row r="2316" spans="1:5" ht="30">
      <c r="A2316" s="68" t="s">
        <v>2088</v>
      </c>
      <c r="B2316" s="69"/>
      <c r="C2316" s="70" t="s">
        <v>2333</v>
      </c>
      <c r="D2316" s="71"/>
      <c r="E2316" s="73">
        <v>66381257</v>
      </c>
    </row>
    <row r="2317" spans="1:5" ht="30">
      <c r="A2317" s="66" t="s">
        <v>2088</v>
      </c>
      <c r="B2317" s="42"/>
      <c r="C2317" s="63" t="s">
        <v>2334</v>
      </c>
      <c r="D2317" s="62"/>
      <c r="E2317" s="67">
        <v>67064577</v>
      </c>
    </row>
    <row r="2318" spans="1:5" ht="30">
      <c r="A2318" s="68" t="s">
        <v>2088</v>
      </c>
      <c r="B2318" s="69"/>
      <c r="C2318" s="70" t="s">
        <v>2335</v>
      </c>
      <c r="D2318" s="71"/>
      <c r="E2318" s="73">
        <v>7743627</v>
      </c>
    </row>
    <row r="2319" spans="1:5" ht="30">
      <c r="A2319" s="66" t="s">
        <v>2088</v>
      </c>
      <c r="B2319" s="42"/>
      <c r="C2319" s="63" t="s">
        <v>2336</v>
      </c>
      <c r="D2319" s="62"/>
      <c r="E2319" s="67">
        <v>7850191</v>
      </c>
    </row>
    <row r="2320" spans="1:5" ht="30">
      <c r="A2320" s="68" t="s">
        <v>2088</v>
      </c>
      <c r="B2320" s="69"/>
      <c r="C2320" s="70" t="s">
        <v>2337</v>
      </c>
      <c r="D2320" s="71"/>
      <c r="E2320" s="73">
        <v>68209621</v>
      </c>
    </row>
    <row r="2321" spans="1:5" ht="30">
      <c r="A2321" s="66" t="s">
        <v>2088</v>
      </c>
      <c r="B2321" s="42"/>
      <c r="C2321" s="63" t="s">
        <v>2338</v>
      </c>
      <c r="D2321" s="62"/>
      <c r="E2321" s="67">
        <v>69067632</v>
      </c>
    </row>
    <row r="2322" spans="1:5" ht="30">
      <c r="A2322" s="68" t="s">
        <v>2088</v>
      </c>
      <c r="B2322" s="69"/>
      <c r="C2322" s="70" t="s">
        <v>2339</v>
      </c>
      <c r="D2322" s="71"/>
      <c r="E2322" s="73">
        <v>63426728</v>
      </c>
    </row>
    <row r="2323" spans="1:5" ht="30">
      <c r="A2323" s="66" t="s">
        <v>2088</v>
      </c>
      <c r="B2323" s="42"/>
      <c r="C2323" s="63" t="s">
        <v>2340</v>
      </c>
      <c r="D2323" s="62"/>
      <c r="E2323" s="67">
        <v>67071844</v>
      </c>
    </row>
    <row r="2324" spans="1:5" ht="30">
      <c r="A2324" s="68" t="s">
        <v>2088</v>
      </c>
      <c r="B2324" s="69"/>
      <c r="C2324" s="70" t="s">
        <v>2341</v>
      </c>
      <c r="D2324" s="71"/>
      <c r="E2324" s="73">
        <v>64109088</v>
      </c>
    </row>
    <row r="2325" spans="1:5" ht="30">
      <c r="A2325" s="66" t="s">
        <v>2088</v>
      </c>
      <c r="B2325" s="42"/>
      <c r="C2325" s="63" t="s">
        <v>2342</v>
      </c>
      <c r="D2325" s="62"/>
      <c r="E2325" s="67">
        <v>68559338</v>
      </c>
    </row>
    <row r="2326" spans="1:5" ht="30">
      <c r="A2326" s="68" t="s">
        <v>2088</v>
      </c>
      <c r="B2326" s="69"/>
      <c r="C2326" s="70" t="s">
        <v>2343</v>
      </c>
      <c r="D2326" s="71"/>
      <c r="E2326" s="73">
        <v>7751060</v>
      </c>
    </row>
    <row r="2327" spans="1:5" ht="30">
      <c r="A2327" s="66" t="s">
        <v>2088</v>
      </c>
      <c r="B2327" s="42"/>
      <c r="C2327" s="63" t="s">
        <v>2344</v>
      </c>
      <c r="D2327" s="62"/>
      <c r="E2327" s="67">
        <v>69310880</v>
      </c>
    </row>
    <row r="2328" spans="1:5" ht="30">
      <c r="A2328" s="68" t="s">
        <v>2088</v>
      </c>
      <c r="B2328" s="69"/>
      <c r="C2328" s="70" t="s">
        <v>2345</v>
      </c>
      <c r="D2328" s="71"/>
      <c r="E2328" s="73">
        <v>7740892</v>
      </c>
    </row>
    <row r="2329" spans="1:5" ht="30">
      <c r="A2329" s="66" t="s">
        <v>2088</v>
      </c>
      <c r="B2329" s="42"/>
      <c r="C2329" s="63" t="s">
        <v>2346</v>
      </c>
      <c r="D2329" s="62"/>
      <c r="E2329" s="67">
        <v>63824751</v>
      </c>
    </row>
    <row r="2330" spans="1:5" ht="30">
      <c r="A2330" s="68" t="s">
        <v>2088</v>
      </c>
      <c r="B2330" s="69"/>
      <c r="C2330" s="70" t="s">
        <v>2347</v>
      </c>
      <c r="D2330" s="71"/>
      <c r="E2330" s="73">
        <v>64316264</v>
      </c>
    </row>
    <row r="2331" spans="1:5" ht="30">
      <c r="A2331" s="66" t="s">
        <v>2088</v>
      </c>
      <c r="B2331" s="42"/>
      <c r="C2331" s="63" t="s">
        <v>2348</v>
      </c>
      <c r="D2331" s="62"/>
      <c r="E2331" s="67">
        <v>7715680</v>
      </c>
    </row>
    <row r="2332" spans="1:5" ht="30">
      <c r="A2332" s="68" t="s">
        <v>2088</v>
      </c>
      <c r="B2332" s="69"/>
      <c r="C2332" s="70" t="s">
        <v>2349</v>
      </c>
      <c r="D2332" s="71"/>
      <c r="E2332" s="73">
        <v>7755678</v>
      </c>
    </row>
    <row r="2333" spans="1:5" ht="30">
      <c r="A2333" s="66" t="s">
        <v>2088</v>
      </c>
      <c r="B2333" s="42"/>
      <c r="C2333" s="63" t="s">
        <v>2350</v>
      </c>
      <c r="D2333" s="62"/>
      <c r="E2333" s="67">
        <v>66709720</v>
      </c>
    </row>
    <row r="2334" spans="1:5" ht="30">
      <c r="A2334" s="68" t="s">
        <v>2088</v>
      </c>
      <c r="B2334" s="69"/>
      <c r="C2334" s="70" t="s">
        <v>2351</v>
      </c>
      <c r="D2334" s="71"/>
      <c r="E2334" s="73">
        <v>64410869</v>
      </c>
    </row>
    <row r="2335" spans="1:5" ht="30">
      <c r="A2335" s="66" t="s">
        <v>2088</v>
      </c>
      <c r="B2335" s="42"/>
      <c r="C2335" s="63" t="s">
        <v>2352</v>
      </c>
      <c r="D2335" s="62"/>
      <c r="E2335" s="67">
        <v>7758960</v>
      </c>
    </row>
    <row r="2336" spans="1:5" ht="30">
      <c r="A2336" s="68" t="s">
        <v>2088</v>
      </c>
      <c r="B2336" s="69"/>
      <c r="C2336" s="70" t="s">
        <v>2353</v>
      </c>
      <c r="D2336" s="71"/>
      <c r="E2336" s="73">
        <v>62578309</v>
      </c>
    </row>
    <row r="2337" spans="1:5" ht="30">
      <c r="A2337" s="66" t="s">
        <v>2088</v>
      </c>
      <c r="B2337" s="42"/>
      <c r="C2337" s="63" t="s">
        <v>2354</v>
      </c>
      <c r="D2337" s="62"/>
      <c r="E2337" s="67">
        <v>64081376</v>
      </c>
    </row>
    <row r="2338" spans="1:5" ht="30">
      <c r="A2338" s="68" t="s">
        <v>2088</v>
      </c>
      <c r="B2338" s="69"/>
      <c r="C2338" s="70" t="s">
        <v>2355</v>
      </c>
      <c r="D2338" s="71"/>
      <c r="E2338" s="73">
        <v>67375409</v>
      </c>
    </row>
    <row r="2339" spans="1:5" ht="30">
      <c r="A2339" s="66" t="s">
        <v>2088</v>
      </c>
      <c r="B2339" s="42"/>
      <c r="C2339" s="63" t="s">
        <v>2356</v>
      </c>
      <c r="D2339" s="62"/>
      <c r="E2339" s="67">
        <v>62639674</v>
      </c>
    </row>
    <row r="2340" spans="1:5" ht="30">
      <c r="A2340" s="68" t="s">
        <v>2088</v>
      </c>
      <c r="B2340" s="69"/>
      <c r="C2340" s="70" t="s">
        <v>2357</v>
      </c>
      <c r="D2340" s="71"/>
      <c r="E2340" s="73">
        <v>65702544</v>
      </c>
    </row>
    <row r="2341" spans="1:5" ht="30">
      <c r="A2341" s="66" t="s">
        <v>2088</v>
      </c>
      <c r="B2341" s="42"/>
      <c r="C2341" s="63" t="s">
        <v>2358</v>
      </c>
      <c r="D2341" s="62"/>
      <c r="E2341" s="67">
        <v>64793990</v>
      </c>
    </row>
    <row r="2342" spans="1:5" ht="30">
      <c r="A2342" s="68" t="s">
        <v>2088</v>
      </c>
      <c r="B2342" s="69"/>
      <c r="C2342" s="70" t="s">
        <v>2359</v>
      </c>
      <c r="D2342" s="71"/>
      <c r="E2342" s="73">
        <v>66775816</v>
      </c>
    </row>
    <row r="2343" spans="1:5" ht="30">
      <c r="A2343" s="66" t="s">
        <v>2088</v>
      </c>
      <c r="B2343" s="42"/>
      <c r="C2343" s="63" t="s">
        <v>2360</v>
      </c>
      <c r="D2343" s="62"/>
      <c r="E2343" s="67">
        <v>66615377</v>
      </c>
    </row>
    <row r="2344" spans="1:5" ht="30">
      <c r="A2344" s="68" t="s">
        <v>2088</v>
      </c>
      <c r="B2344" s="69"/>
      <c r="C2344" s="70" t="s">
        <v>2361</v>
      </c>
      <c r="D2344" s="71"/>
      <c r="E2344" s="73">
        <v>69201635</v>
      </c>
    </row>
    <row r="2345" spans="1:5" ht="30">
      <c r="A2345" s="66" t="s">
        <v>2088</v>
      </c>
      <c r="B2345" s="42"/>
      <c r="C2345" s="63" t="s">
        <v>2362</v>
      </c>
      <c r="D2345" s="62"/>
      <c r="E2345" s="67">
        <v>65066929</v>
      </c>
    </row>
    <row r="2346" spans="1:5" ht="30">
      <c r="A2346" s="68" t="s">
        <v>2088</v>
      </c>
      <c r="B2346" s="69"/>
      <c r="C2346" s="70" t="s">
        <v>2363</v>
      </c>
      <c r="D2346" s="71"/>
      <c r="E2346" s="73">
        <v>69181696</v>
      </c>
    </row>
    <row r="2347" spans="1:5" ht="30">
      <c r="A2347" s="66" t="s">
        <v>2088</v>
      </c>
      <c r="B2347" s="42"/>
      <c r="C2347" s="63" t="s">
        <v>2364</v>
      </c>
      <c r="D2347" s="62"/>
      <c r="E2347" s="67">
        <v>66284890</v>
      </c>
    </row>
    <row r="2348" spans="1:5" ht="30">
      <c r="A2348" s="68" t="s">
        <v>2088</v>
      </c>
      <c r="B2348" s="69"/>
      <c r="C2348" s="70" t="s">
        <v>2365</v>
      </c>
      <c r="D2348" s="71"/>
      <c r="E2348" s="73">
        <v>67305238</v>
      </c>
    </row>
    <row r="2349" spans="1:5" ht="30">
      <c r="A2349" s="66" t="s">
        <v>2088</v>
      </c>
      <c r="B2349" s="42"/>
      <c r="C2349" s="63" t="s">
        <v>2366</v>
      </c>
      <c r="D2349" s="62"/>
      <c r="E2349" s="67">
        <v>64154437</v>
      </c>
    </row>
    <row r="2350" spans="1:5" ht="30">
      <c r="A2350" s="68" t="s">
        <v>2088</v>
      </c>
      <c r="B2350" s="69"/>
      <c r="C2350" s="70" t="s">
        <v>2367</v>
      </c>
      <c r="D2350" s="71"/>
      <c r="E2350" s="73">
        <v>66400252</v>
      </c>
    </row>
    <row r="2351" spans="1:5" ht="30">
      <c r="A2351" s="66" t="s">
        <v>2088</v>
      </c>
      <c r="B2351" s="42"/>
      <c r="C2351" s="63" t="s">
        <v>2368</v>
      </c>
      <c r="D2351" s="62"/>
      <c r="E2351" s="67">
        <v>66887466</v>
      </c>
    </row>
    <row r="2352" spans="1:5" ht="30">
      <c r="A2352" s="68" t="s">
        <v>2088</v>
      </c>
      <c r="B2352" s="69"/>
      <c r="C2352" s="70" t="s">
        <v>2369</v>
      </c>
      <c r="D2352" s="71"/>
      <c r="E2352" s="73">
        <v>67446529</v>
      </c>
    </row>
    <row r="2353" spans="1:5" ht="30">
      <c r="A2353" s="66" t="s">
        <v>2088</v>
      </c>
      <c r="B2353" s="42"/>
      <c r="C2353" s="63" t="s">
        <v>2370</v>
      </c>
      <c r="D2353" s="62"/>
      <c r="E2353" s="67">
        <v>65775682</v>
      </c>
    </row>
    <row r="2354" spans="1:5" ht="30">
      <c r="A2354" s="68" t="s">
        <v>2088</v>
      </c>
      <c r="B2354" s="69"/>
      <c r="C2354" s="70" t="s">
        <v>2371</v>
      </c>
      <c r="D2354" s="71"/>
      <c r="E2354" s="73">
        <v>63529763</v>
      </c>
    </row>
    <row r="2355" spans="1:5" ht="30">
      <c r="A2355" s="66" t="s">
        <v>2088</v>
      </c>
      <c r="B2355" s="42"/>
      <c r="C2355" s="63" t="s">
        <v>2372</v>
      </c>
      <c r="D2355" s="62"/>
      <c r="E2355" s="67">
        <v>7748645</v>
      </c>
    </row>
    <row r="2356" spans="1:5" ht="30">
      <c r="A2356" s="68" t="s">
        <v>2088</v>
      </c>
      <c r="B2356" s="69"/>
      <c r="C2356" s="70" t="s">
        <v>2373</v>
      </c>
      <c r="D2356" s="71"/>
      <c r="E2356" s="73">
        <v>66122653</v>
      </c>
    </row>
    <row r="2357" spans="1:5" ht="30">
      <c r="A2357" s="66" t="s">
        <v>2088</v>
      </c>
      <c r="B2357" s="42"/>
      <c r="C2357" s="63" t="s">
        <v>2374</v>
      </c>
      <c r="D2357" s="62"/>
      <c r="E2357" s="67">
        <v>62696160</v>
      </c>
    </row>
    <row r="2358" spans="1:5" ht="30">
      <c r="A2358" s="68" t="s">
        <v>2088</v>
      </c>
      <c r="B2358" s="69"/>
      <c r="C2358" s="70" t="s">
        <v>2375</v>
      </c>
      <c r="D2358" s="71"/>
      <c r="E2358" s="73">
        <v>65986890</v>
      </c>
    </row>
    <row r="2359" spans="1:5" ht="30">
      <c r="A2359" s="66" t="s">
        <v>2088</v>
      </c>
      <c r="B2359" s="42"/>
      <c r="C2359" s="63" t="s">
        <v>2376</v>
      </c>
      <c r="D2359" s="62"/>
      <c r="E2359" s="67">
        <v>62045638</v>
      </c>
    </row>
    <row r="2360" spans="1:5" ht="30">
      <c r="A2360" s="68" t="s">
        <v>2088</v>
      </c>
      <c r="B2360" s="69"/>
      <c r="C2360" s="70" t="s">
        <v>2377</v>
      </c>
      <c r="D2360" s="71"/>
      <c r="E2360" s="73">
        <v>69628613</v>
      </c>
    </row>
    <row r="2361" spans="1:5" ht="30">
      <c r="A2361" s="66" t="s">
        <v>2088</v>
      </c>
      <c r="B2361" s="42"/>
      <c r="C2361" s="63" t="s">
        <v>2378</v>
      </c>
      <c r="D2361" s="62"/>
      <c r="E2361" s="67">
        <v>65342417</v>
      </c>
    </row>
    <row r="2362" spans="1:5" ht="30">
      <c r="A2362" s="68" t="s">
        <v>2088</v>
      </c>
      <c r="B2362" s="69"/>
      <c r="C2362" s="70" t="s">
        <v>2379</v>
      </c>
      <c r="D2362" s="71"/>
      <c r="E2362" s="73">
        <v>65762562</v>
      </c>
    </row>
    <row r="2363" spans="1:5" ht="30">
      <c r="A2363" s="66" t="s">
        <v>2088</v>
      </c>
      <c r="B2363" s="42"/>
      <c r="C2363" s="63" t="s">
        <v>2380</v>
      </c>
      <c r="D2363" s="62"/>
      <c r="E2363" s="67">
        <v>65109521</v>
      </c>
    </row>
    <row r="2364" spans="1:5" ht="30">
      <c r="A2364" s="68" t="s">
        <v>2088</v>
      </c>
      <c r="B2364" s="69"/>
      <c r="C2364" s="70" t="s">
        <v>2381</v>
      </c>
      <c r="D2364" s="71"/>
      <c r="E2364" s="73">
        <v>67210793</v>
      </c>
    </row>
    <row r="2365" spans="1:5" ht="30">
      <c r="A2365" s="66" t="s">
        <v>2088</v>
      </c>
      <c r="B2365" s="42"/>
      <c r="C2365" s="63" t="s">
        <v>2382</v>
      </c>
      <c r="D2365" s="62"/>
      <c r="E2365" s="67">
        <v>67865399</v>
      </c>
    </row>
    <row r="2366" spans="1:5" ht="30">
      <c r="A2366" s="68" t="s">
        <v>2088</v>
      </c>
      <c r="B2366" s="69"/>
      <c r="C2366" s="70" t="s">
        <v>2383</v>
      </c>
      <c r="D2366" s="71"/>
      <c r="E2366" s="73">
        <v>67149135</v>
      </c>
    </row>
    <row r="2367" spans="1:5" ht="30">
      <c r="A2367" s="66" t="s">
        <v>2088</v>
      </c>
      <c r="B2367" s="42"/>
      <c r="C2367" s="63" t="s">
        <v>2384</v>
      </c>
      <c r="D2367" s="62"/>
      <c r="E2367" s="67">
        <v>63107041</v>
      </c>
    </row>
    <row r="2368" spans="1:5" ht="30">
      <c r="A2368" s="68" t="s">
        <v>2088</v>
      </c>
      <c r="B2368" s="69"/>
      <c r="C2368" s="70" t="s">
        <v>2385</v>
      </c>
      <c r="D2368" s="71"/>
      <c r="E2368" s="73">
        <v>69253106</v>
      </c>
    </row>
    <row r="2369" spans="1:5" ht="30">
      <c r="A2369" s="66" t="s">
        <v>2088</v>
      </c>
      <c r="B2369" s="42"/>
      <c r="C2369" s="63" t="s">
        <v>2386</v>
      </c>
      <c r="D2369" s="62"/>
      <c r="E2369" s="67">
        <v>64935109</v>
      </c>
    </row>
    <row r="2370" spans="1:5" ht="30">
      <c r="A2370" s="68" t="s">
        <v>2088</v>
      </c>
      <c r="B2370" s="69"/>
      <c r="C2370" s="70" t="s">
        <v>2387</v>
      </c>
      <c r="D2370" s="71"/>
      <c r="E2370" s="73">
        <v>7741077</v>
      </c>
    </row>
    <row r="2371" spans="1:5" ht="30">
      <c r="A2371" s="66" t="s">
        <v>2088</v>
      </c>
      <c r="B2371" s="42"/>
      <c r="C2371" s="63" t="s">
        <v>2388</v>
      </c>
      <c r="D2371" s="62"/>
      <c r="E2371" s="67">
        <v>66956816</v>
      </c>
    </row>
    <row r="2372" spans="1:5" ht="30">
      <c r="A2372" s="68" t="s">
        <v>2088</v>
      </c>
      <c r="B2372" s="69"/>
      <c r="C2372" s="70" t="s">
        <v>2389</v>
      </c>
      <c r="D2372" s="71"/>
      <c r="E2372" s="73">
        <v>7748830</v>
      </c>
    </row>
    <row r="2373" spans="1:5" ht="30">
      <c r="A2373" s="66" t="s">
        <v>2088</v>
      </c>
      <c r="B2373" s="42"/>
      <c r="C2373" s="63" t="s">
        <v>2390</v>
      </c>
      <c r="D2373" s="62"/>
      <c r="E2373" s="67">
        <v>7745521</v>
      </c>
    </row>
    <row r="2374" spans="1:5" ht="30">
      <c r="A2374" s="68" t="s">
        <v>2088</v>
      </c>
      <c r="B2374" s="69"/>
      <c r="C2374" s="70" t="s">
        <v>2391</v>
      </c>
      <c r="D2374" s="71"/>
      <c r="E2374" s="73">
        <v>68563326</v>
      </c>
    </row>
    <row r="2375" spans="1:5" ht="30">
      <c r="A2375" s="66" t="s">
        <v>2088</v>
      </c>
      <c r="B2375" s="42"/>
      <c r="C2375" s="63" t="s">
        <v>2392</v>
      </c>
      <c r="D2375" s="62"/>
      <c r="E2375" s="67">
        <v>7276205</v>
      </c>
    </row>
    <row r="2376" spans="1:5" ht="30">
      <c r="A2376" s="68" t="s">
        <v>2088</v>
      </c>
      <c r="B2376" s="69"/>
      <c r="C2376" s="70" t="s">
        <v>2393</v>
      </c>
      <c r="D2376" s="71"/>
      <c r="E2376" s="73">
        <v>7758960</v>
      </c>
    </row>
    <row r="2377" spans="1:5" ht="30">
      <c r="A2377" s="66" t="s">
        <v>2088</v>
      </c>
      <c r="B2377" s="42"/>
      <c r="C2377" s="63" t="s">
        <v>2394</v>
      </c>
      <c r="D2377" s="62"/>
      <c r="E2377" s="67">
        <v>61271932</v>
      </c>
    </row>
    <row r="2378" spans="1:5" ht="30">
      <c r="A2378" s="68" t="s">
        <v>2088</v>
      </c>
      <c r="B2378" s="69"/>
      <c r="C2378" s="70" t="s">
        <v>2395</v>
      </c>
      <c r="D2378" s="71"/>
      <c r="E2378" s="73">
        <v>62561651</v>
      </c>
    </row>
    <row r="2379" spans="1:5" ht="30">
      <c r="A2379" s="66" t="s">
        <v>2088</v>
      </c>
      <c r="B2379" s="42"/>
      <c r="C2379" s="63" t="s">
        <v>2396</v>
      </c>
      <c r="D2379" s="62"/>
      <c r="E2379" s="67">
        <v>66737225</v>
      </c>
    </row>
    <row r="2380" spans="1:5" ht="30">
      <c r="A2380" s="68" t="s">
        <v>2088</v>
      </c>
      <c r="B2380" s="69"/>
      <c r="C2380" s="70" t="s">
        <v>2397</v>
      </c>
      <c r="D2380" s="71"/>
      <c r="E2380" s="73">
        <v>6219405</v>
      </c>
    </row>
    <row r="2381" spans="1:5" ht="30">
      <c r="A2381" s="66" t="s">
        <v>2088</v>
      </c>
      <c r="B2381" s="42"/>
      <c r="C2381" s="63" t="s">
        <v>2398</v>
      </c>
      <c r="D2381" s="62"/>
      <c r="E2381" s="67">
        <v>7090188</v>
      </c>
    </row>
    <row r="2382" spans="1:5" ht="30">
      <c r="A2382" s="68" t="s">
        <v>2088</v>
      </c>
      <c r="B2382" s="69"/>
      <c r="C2382" s="70" t="s">
        <v>2399</v>
      </c>
      <c r="D2382" s="71"/>
      <c r="E2382" s="73">
        <v>69606762</v>
      </c>
    </row>
    <row r="2383" spans="1:5" ht="30">
      <c r="A2383" s="66" t="s">
        <v>2088</v>
      </c>
      <c r="B2383" s="42"/>
      <c r="C2383" s="63" t="s">
        <v>2400</v>
      </c>
      <c r="D2383" s="62"/>
      <c r="E2383" s="67">
        <v>65107547</v>
      </c>
    </row>
    <row r="2384" spans="1:5" ht="30">
      <c r="A2384" s="68" t="s">
        <v>2088</v>
      </c>
      <c r="B2384" s="69"/>
      <c r="C2384" s="70" t="s">
        <v>2401</v>
      </c>
      <c r="D2384" s="71"/>
      <c r="E2384" s="73">
        <v>62141627</v>
      </c>
    </row>
    <row r="2385" spans="1:5" ht="30">
      <c r="A2385" s="66" t="s">
        <v>2088</v>
      </c>
      <c r="B2385" s="42"/>
      <c r="C2385" s="63" t="s">
        <v>2402</v>
      </c>
      <c r="D2385" s="62"/>
      <c r="E2385" s="64">
        <v>64486777</v>
      </c>
    </row>
    <row r="2386" spans="1:5" ht="30">
      <c r="A2386" s="68" t="s">
        <v>2088</v>
      </c>
      <c r="B2386" s="69"/>
      <c r="C2386" s="70" t="s">
        <v>2403</v>
      </c>
      <c r="D2386" s="71"/>
      <c r="E2386" s="72">
        <v>63012865</v>
      </c>
    </row>
    <row r="2387" spans="1:5" ht="30">
      <c r="A2387" s="66" t="s">
        <v>2088</v>
      </c>
      <c r="B2387" s="42"/>
      <c r="C2387" s="63" t="s">
        <v>989</v>
      </c>
      <c r="D2387" s="62"/>
      <c r="E2387" s="64">
        <v>7304804</v>
      </c>
    </row>
    <row r="2388" spans="1:5" ht="30">
      <c r="A2388" s="68" t="s">
        <v>2088</v>
      </c>
      <c r="B2388" s="69"/>
      <c r="C2388" s="70" t="s">
        <v>2404</v>
      </c>
      <c r="D2388" s="71"/>
      <c r="E2388" s="72">
        <v>66277890</v>
      </c>
    </row>
    <row r="2389" spans="1:5" ht="30">
      <c r="A2389" s="66" t="s">
        <v>2088</v>
      </c>
      <c r="B2389" s="42"/>
      <c r="C2389" s="63" t="s">
        <v>2405</v>
      </c>
      <c r="D2389" s="62"/>
      <c r="E2389" s="64">
        <v>64099513</v>
      </c>
    </row>
    <row r="2390" spans="1:5" ht="30">
      <c r="A2390" s="68" t="s">
        <v>2088</v>
      </c>
      <c r="B2390" s="69"/>
      <c r="C2390" s="70" t="s">
        <v>2406</v>
      </c>
      <c r="D2390" s="71"/>
      <c r="E2390" s="72">
        <v>66383411</v>
      </c>
    </row>
    <row r="2391" spans="1:5" ht="30">
      <c r="A2391" s="66" t="s">
        <v>2088</v>
      </c>
      <c r="B2391" s="42"/>
      <c r="C2391" s="63" t="s">
        <v>2407</v>
      </c>
      <c r="D2391" s="62"/>
      <c r="E2391" s="64">
        <v>66440244</v>
      </c>
    </row>
    <row r="2392" spans="1:5" ht="30">
      <c r="A2392" s="68" t="s">
        <v>2088</v>
      </c>
      <c r="B2392" s="69"/>
      <c r="C2392" s="70" t="s">
        <v>2408</v>
      </c>
      <c r="D2392" s="71"/>
      <c r="E2392" s="72">
        <v>65772356</v>
      </c>
    </row>
    <row r="2393" spans="1:5" ht="30">
      <c r="A2393" s="66" t="s">
        <v>2088</v>
      </c>
      <c r="B2393" s="42"/>
      <c r="C2393" s="63" t="s">
        <v>2409</v>
      </c>
      <c r="D2393" s="62"/>
      <c r="E2393" s="64">
        <v>63632309</v>
      </c>
    </row>
    <row r="2394" spans="1:5" ht="30">
      <c r="A2394" s="68" t="s">
        <v>2088</v>
      </c>
      <c r="B2394" s="69"/>
      <c r="C2394" s="70" t="s">
        <v>2410</v>
      </c>
      <c r="D2394" s="71"/>
      <c r="E2394" s="72">
        <v>68111284</v>
      </c>
    </row>
    <row r="2395" spans="1:5" ht="30">
      <c r="A2395" s="66" t="s">
        <v>2088</v>
      </c>
      <c r="B2395" s="42"/>
      <c r="C2395" s="63" t="s">
        <v>2411</v>
      </c>
      <c r="D2395" s="62"/>
      <c r="E2395" s="64">
        <v>69789580</v>
      </c>
    </row>
    <row r="2396" spans="1:5" ht="30">
      <c r="A2396" s="68" t="s">
        <v>2088</v>
      </c>
      <c r="B2396" s="69"/>
      <c r="C2396" s="70" t="s">
        <v>2412</v>
      </c>
      <c r="D2396" s="71"/>
      <c r="E2396" s="72">
        <v>62002369</v>
      </c>
    </row>
    <row r="2397" spans="1:5" ht="30">
      <c r="A2397" s="66" t="s">
        <v>2088</v>
      </c>
      <c r="B2397" s="42"/>
      <c r="C2397" s="63" t="s">
        <v>2413</v>
      </c>
      <c r="D2397" s="62"/>
      <c r="E2397" s="64">
        <v>67105093</v>
      </c>
    </row>
    <row r="2398" spans="1:5" ht="30">
      <c r="A2398" s="68" t="s">
        <v>2088</v>
      </c>
      <c r="B2398" s="69"/>
      <c r="C2398" s="70" t="s">
        <v>2414</v>
      </c>
      <c r="D2398" s="71"/>
      <c r="E2398" s="72">
        <v>67841728</v>
      </c>
    </row>
    <row r="2399" spans="1:5" ht="30">
      <c r="A2399" s="66" t="s">
        <v>2088</v>
      </c>
      <c r="B2399" s="42"/>
      <c r="C2399" s="63" t="s">
        <v>2415</v>
      </c>
      <c r="D2399" s="62"/>
      <c r="E2399" s="64">
        <v>7745957</v>
      </c>
    </row>
    <row r="2400" spans="1:5" ht="30">
      <c r="A2400" s="68" t="s">
        <v>2088</v>
      </c>
      <c r="B2400" s="69"/>
      <c r="C2400" s="70" t="s">
        <v>2416</v>
      </c>
      <c r="D2400" s="71"/>
      <c r="E2400" s="72">
        <v>67808273</v>
      </c>
    </row>
    <row r="2401" spans="1:5" ht="30">
      <c r="A2401" s="66" t="s">
        <v>2088</v>
      </c>
      <c r="B2401" s="42"/>
      <c r="C2401" s="63" t="s">
        <v>2417</v>
      </c>
      <c r="D2401" s="62"/>
      <c r="E2401" s="64">
        <v>64664547</v>
      </c>
    </row>
    <row r="2402" spans="1:5" ht="30">
      <c r="A2402" s="68" t="s">
        <v>2088</v>
      </c>
      <c r="B2402" s="69"/>
      <c r="C2402" s="70" t="s">
        <v>2418</v>
      </c>
      <c r="D2402" s="71"/>
      <c r="E2402" s="72">
        <v>60454692</v>
      </c>
    </row>
    <row r="2403" spans="1:5" ht="30">
      <c r="A2403" s="66" t="s">
        <v>2088</v>
      </c>
      <c r="B2403" s="42"/>
      <c r="C2403" s="63" t="s">
        <v>2419</v>
      </c>
      <c r="D2403" s="62"/>
      <c r="E2403" s="64">
        <v>66197260</v>
      </c>
    </row>
    <row r="2404" spans="1:5" ht="30">
      <c r="A2404" s="68" t="s">
        <v>2088</v>
      </c>
      <c r="B2404" s="69"/>
      <c r="C2404" s="70" t="s">
        <v>2420</v>
      </c>
      <c r="D2404" s="71"/>
      <c r="E2404" s="72">
        <v>68371618</v>
      </c>
    </row>
    <row r="2405" spans="1:5" ht="30">
      <c r="A2405" s="66" t="s">
        <v>2088</v>
      </c>
      <c r="B2405" s="42"/>
      <c r="C2405" s="63" t="s">
        <v>2421</v>
      </c>
      <c r="D2405" s="62"/>
      <c r="E2405" s="64">
        <v>66239749</v>
      </c>
    </row>
    <row r="2406" spans="1:5" ht="30">
      <c r="A2406" s="68" t="s">
        <v>2088</v>
      </c>
      <c r="B2406" s="69"/>
      <c r="C2406" s="70" t="s">
        <v>2422</v>
      </c>
      <c r="D2406" s="71"/>
      <c r="E2406" s="72">
        <v>64020195</v>
      </c>
    </row>
    <row r="2407" spans="1:5" ht="30">
      <c r="A2407" s="66" t="s">
        <v>2088</v>
      </c>
      <c r="B2407" s="42"/>
      <c r="C2407" s="63" t="s">
        <v>2423</v>
      </c>
      <c r="D2407" s="62"/>
      <c r="E2407" s="64">
        <v>64267312</v>
      </c>
    </row>
    <row r="2408" spans="1:5" ht="30">
      <c r="A2408" s="68" t="s">
        <v>2088</v>
      </c>
      <c r="B2408" s="69"/>
      <c r="C2408" s="70" t="s">
        <v>2424</v>
      </c>
      <c r="D2408" s="71"/>
      <c r="E2408" s="72">
        <v>69372246</v>
      </c>
    </row>
    <row r="2409" spans="1:5" ht="30">
      <c r="A2409" s="66" t="s">
        <v>2088</v>
      </c>
      <c r="B2409" s="42"/>
      <c r="C2409" s="63" t="s">
        <v>2425</v>
      </c>
      <c r="D2409" s="62"/>
      <c r="E2409" s="64">
        <v>68054937</v>
      </c>
    </row>
    <row r="2410" spans="1:5" ht="30">
      <c r="A2410" s="68" t="s">
        <v>2088</v>
      </c>
      <c r="B2410" s="69"/>
      <c r="C2410" s="70" t="s">
        <v>2426</v>
      </c>
      <c r="D2410" s="71"/>
      <c r="E2410" s="72">
        <v>62760606</v>
      </c>
    </row>
    <row r="2411" spans="1:5" ht="30">
      <c r="A2411" s="66" t="s">
        <v>2088</v>
      </c>
      <c r="B2411" s="42"/>
      <c r="C2411" s="63" t="s">
        <v>2427</v>
      </c>
      <c r="D2411" s="62"/>
      <c r="E2411" s="64">
        <v>68075966</v>
      </c>
    </row>
    <row r="2412" spans="1:5" ht="30">
      <c r="A2412" s="68" t="s">
        <v>2088</v>
      </c>
      <c r="B2412" s="69"/>
      <c r="C2412" s="70" t="s">
        <v>2428</v>
      </c>
      <c r="D2412" s="71"/>
      <c r="E2412" s="72">
        <v>66923246</v>
      </c>
    </row>
    <row r="2413" spans="1:5" ht="30">
      <c r="A2413" s="66" t="s">
        <v>2088</v>
      </c>
      <c r="B2413" s="42"/>
      <c r="C2413" s="63" t="s">
        <v>2429</v>
      </c>
      <c r="D2413" s="62"/>
      <c r="E2413" s="64">
        <v>64672676</v>
      </c>
    </row>
    <row r="2414" spans="1:5" ht="30">
      <c r="A2414" s="68" t="s">
        <v>2088</v>
      </c>
      <c r="B2414" s="69"/>
      <c r="C2414" s="70" t="s">
        <v>2430</v>
      </c>
      <c r="D2414" s="71"/>
      <c r="E2414" s="72">
        <v>61833686</v>
      </c>
    </row>
    <row r="2415" spans="1:5" ht="30">
      <c r="A2415" s="66" t="s">
        <v>2088</v>
      </c>
      <c r="B2415" s="42"/>
      <c r="C2415" s="63" t="s">
        <v>2431</v>
      </c>
      <c r="D2415" s="62"/>
      <c r="E2415" s="64">
        <v>64365411</v>
      </c>
    </row>
    <row r="2416" spans="1:5" ht="30">
      <c r="A2416" s="68" t="s">
        <v>2088</v>
      </c>
      <c r="B2416" s="69"/>
      <c r="C2416" s="70" t="s">
        <v>2432</v>
      </c>
      <c r="D2416" s="71"/>
      <c r="E2416" s="72">
        <v>65265491</v>
      </c>
    </row>
    <row r="2417" spans="1:5" ht="30">
      <c r="A2417" s="66" t="s">
        <v>2088</v>
      </c>
      <c r="B2417" s="42"/>
      <c r="C2417" s="63" t="s">
        <v>2433</v>
      </c>
      <c r="D2417" s="62"/>
      <c r="E2417" s="64">
        <v>62762038</v>
      </c>
    </row>
    <row r="2418" spans="1:5" ht="30">
      <c r="A2418" s="68" t="s">
        <v>2088</v>
      </c>
      <c r="B2418" s="69"/>
      <c r="C2418" s="70" t="s">
        <v>2434</v>
      </c>
      <c r="D2418" s="71"/>
      <c r="E2418" s="72">
        <v>64022965</v>
      </c>
    </row>
    <row r="2419" spans="1:5" ht="30">
      <c r="A2419" s="66" t="s">
        <v>2088</v>
      </c>
      <c r="B2419" s="42"/>
      <c r="C2419" s="63" t="s">
        <v>2435</v>
      </c>
      <c r="D2419" s="62"/>
      <c r="E2419" s="64">
        <v>66209266</v>
      </c>
    </row>
    <row r="2420" spans="1:5" ht="30">
      <c r="A2420" s="68" t="s">
        <v>2088</v>
      </c>
      <c r="B2420" s="69"/>
      <c r="C2420" s="70" t="s">
        <v>2436</v>
      </c>
      <c r="D2420" s="71"/>
      <c r="E2420" s="72">
        <v>68990009</v>
      </c>
    </row>
    <row r="2421" spans="1:5" ht="30">
      <c r="A2421" s="66" t="s">
        <v>2088</v>
      </c>
      <c r="B2421" s="42"/>
      <c r="C2421" s="63" t="s">
        <v>2437</v>
      </c>
      <c r="D2421" s="62"/>
      <c r="E2421" s="64">
        <v>69876420</v>
      </c>
    </row>
    <row r="2422" spans="1:5" ht="30">
      <c r="A2422" s="68" t="s">
        <v>2088</v>
      </c>
      <c r="B2422" s="69"/>
      <c r="C2422" s="70" t="s">
        <v>2438</v>
      </c>
      <c r="D2422" s="71"/>
      <c r="E2422" s="72">
        <v>65371541</v>
      </c>
    </row>
    <row r="2423" spans="1:5" ht="30">
      <c r="A2423" s="66" t="s">
        <v>2088</v>
      </c>
      <c r="B2423" s="42"/>
      <c r="C2423" s="63" t="s">
        <v>2439</v>
      </c>
      <c r="D2423" s="62"/>
      <c r="E2423" s="64">
        <v>67701036</v>
      </c>
    </row>
    <row r="2424" spans="1:5" ht="30">
      <c r="A2424" s="68" t="s">
        <v>2088</v>
      </c>
      <c r="B2424" s="69"/>
      <c r="C2424" s="70" t="s">
        <v>2440</v>
      </c>
      <c r="D2424" s="71"/>
      <c r="E2424" s="72">
        <v>60421759</v>
      </c>
    </row>
    <row r="2425" spans="1:5" ht="30">
      <c r="A2425" s="66" t="s">
        <v>2088</v>
      </c>
      <c r="B2425" s="42"/>
      <c r="C2425" s="63" t="s">
        <v>2441</v>
      </c>
      <c r="D2425" s="62"/>
      <c r="E2425" s="64">
        <v>66071881</v>
      </c>
    </row>
    <row r="2426" spans="1:5" ht="30">
      <c r="A2426" s="68" t="s">
        <v>2088</v>
      </c>
      <c r="B2426" s="69"/>
      <c r="C2426" s="70" t="s">
        <v>2442</v>
      </c>
      <c r="D2426" s="71"/>
      <c r="E2426" s="72">
        <v>69377136</v>
      </c>
    </row>
    <row r="2427" spans="1:5" ht="30">
      <c r="A2427" s="66" t="s">
        <v>2088</v>
      </c>
      <c r="B2427" s="42"/>
      <c r="C2427" s="63" t="s">
        <v>2443</v>
      </c>
      <c r="D2427" s="62"/>
      <c r="E2427" s="64">
        <v>64251864</v>
      </c>
    </row>
    <row r="2428" spans="1:5" ht="30">
      <c r="A2428" s="68" t="s">
        <v>2088</v>
      </c>
      <c r="B2428" s="69"/>
      <c r="C2428" s="70" t="s">
        <v>2444</v>
      </c>
      <c r="D2428" s="71"/>
      <c r="E2428" s="72">
        <v>61009940</v>
      </c>
    </row>
    <row r="2429" spans="1:5" ht="30">
      <c r="A2429" s="66" t="s">
        <v>2088</v>
      </c>
      <c r="B2429" s="42"/>
      <c r="C2429" s="63" t="s">
        <v>2445</v>
      </c>
      <c r="D2429" s="62"/>
      <c r="E2429" s="64">
        <v>6158863</v>
      </c>
    </row>
    <row r="2430" spans="1:5" ht="30">
      <c r="A2430" s="68" t="s">
        <v>2088</v>
      </c>
      <c r="B2430" s="69"/>
      <c r="C2430" s="70" t="s">
        <v>2446</v>
      </c>
      <c r="D2430" s="71"/>
      <c r="E2430" s="72">
        <v>64572622</v>
      </c>
    </row>
    <row r="2431" spans="1:5" ht="30">
      <c r="A2431" s="66" t="s">
        <v>2088</v>
      </c>
      <c r="B2431" s="42"/>
      <c r="C2431" s="63" t="s">
        <v>2447</v>
      </c>
      <c r="D2431" s="62"/>
      <c r="E2431" s="64">
        <v>7093562</v>
      </c>
    </row>
    <row r="2432" spans="1:5" ht="30">
      <c r="A2432" s="68" t="s">
        <v>2088</v>
      </c>
      <c r="B2432" s="69"/>
      <c r="C2432" s="70" t="s">
        <v>2448</v>
      </c>
      <c r="D2432" s="71"/>
      <c r="E2432" s="72">
        <v>62309732</v>
      </c>
    </row>
    <row r="2433" spans="1:5" ht="30">
      <c r="A2433" s="66" t="s">
        <v>2088</v>
      </c>
      <c r="B2433" s="42"/>
      <c r="C2433" s="63" t="s">
        <v>2449</v>
      </c>
      <c r="D2433" s="62"/>
      <c r="E2433" s="64">
        <v>61670214</v>
      </c>
    </row>
    <row r="2434" spans="1:5" ht="30">
      <c r="A2434" s="68" t="s">
        <v>2088</v>
      </c>
      <c r="B2434" s="69"/>
      <c r="C2434" s="70" t="s">
        <v>2450</v>
      </c>
      <c r="D2434" s="71"/>
      <c r="E2434" s="72">
        <v>66835177</v>
      </c>
    </row>
    <row r="2435" spans="1:5" ht="30">
      <c r="A2435" s="66" t="s">
        <v>2088</v>
      </c>
      <c r="B2435" s="42"/>
      <c r="C2435" s="63" t="s">
        <v>2451</v>
      </c>
      <c r="D2435" s="62"/>
      <c r="E2435" s="64">
        <v>64264375</v>
      </c>
    </row>
    <row r="2436" spans="1:5" ht="30">
      <c r="A2436" s="68" t="s">
        <v>2088</v>
      </c>
      <c r="B2436" s="69"/>
      <c r="C2436" s="70" t="s">
        <v>2452</v>
      </c>
      <c r="D2436" s="71"/>
      <c r="E2436" s="72">
        <v>7744420</v>
      </c>
    </row>
    <row r="2437" spans="1:5" ht="30">
      <c r="A2437" s="66" t="s">
        <v>2088</v>
      </c>
      <c r="B2437" s="42"/>
      <c r="C2437" s="63" t="s">
        <v>2453</v>
      </c>
      <c r="D2437" s="62"/>
      <c r="E2437" s="64">
        <v>64218598</v>
      </c>
    </row>
    <row r="2438" spans="1:5" ht="30">
      <c r="A2438" s="68" t="s">
        <v>2088</v>
      </c>
      <c r="B2438" s="69"/>
      <c r="C2438" s="70" t="s">
        <v>2454</v>
      </c>
      <c r="D2438" s="71"/>
      <c r="E2438" s="72">
        <v>63542080</v>
      </c>
    </row>
    <row r="2439" spans="1:5" ht="30">
      <c r="A2439" s="66" t="s">
        <v>2088</v>
      </c>
      <c r="B2439" s="42"/>
      <c r="C2439" s="63" t="s">
        <v>2455</v>
      </c>
      <c r="D2439" s="62"/>
      <c r="E2439" s="64">
        <v>66239097</v>
      </c>
    </row>
    <row r="2440" spans="1:5" ht="30">
      <c r="A2440" s="68" t="s">
        <v>2088</v>
      </c>
      <c r="B2440" s="69"/>
      <c r="C2440" s="70" t="s">
        <v>2456</v>
      </c>
      <c r="D2440" s="71"/>
      <c r="E2440" s="72">
        <v>67424698</v>
      </c>
    </row>
    <row r="2441" spans="1:5" ht="30">
      <c r="A2441" s="66" t="s">
        <v>2088</v>
      </c>
      <c r="B2441" s="42"/>
      <c r="C2441" s="63" t="s">
        <v>2457</v>
      </c>
      <c r="D2441" s="62"/>
      <c r="E2441" s="64">
        <v>67062909</v>
      </c>
    </row>
    <row r="2442" spans="1:5" ht="30">
      <c r="A2442" s="68" t="s">
        <v>2088</v>
      </c>
      <c r="B2442" s="69"/>
      <c r="C2442" s="70" t="s">
        <v>2458</v>
      </c>
      <c r="D2442" s="71"/>
      <c r="E2442" s="72">
        <v>69183277</v>
      </c>
    </row>
    <row r="2443" spans="1:5" ht="30">
      <c r="A2443" s="66" t="s">
        <v>2088</v>
      </c>
      <c r="B2443" s="42"/>
      <c r="C2443" s="63" t="s">
        <v>2459</v>
      </c>
      <c r="D2443" s="62"/>
      <c r="E2443" s="64">
        <v>64776233</v>
      </c>
    </row>
    <row r="2444" spans="1:5" ht="30">
      <c r="A2444" s="68" t="s">
        <v>2088</v>
      </c>
      <c r="B2444" s="69"/>
      <c r="C2444" s="70" t="s">
        <v>2460</v>
      </c>
      <c r="D2444" s="71"/>
      <c r="E2444" s="72">
        <v>68556711</v>
      </c>
    </row>
    <row r="2445" spans="1:5" ht="30">
      <c r="A2445" s="66" t="s">
        <v>2088</v>
      </c>
      <c r="B2445" s="42"/>
      <c r="C2445" s="63" t="s">
        <v>2461</v>
      </c>
      <c r="D2445" s="62"/>
      <c r="E2445" s="64">
        <v>6801695</v>
      </c>
    </row>
    <row r="2446" spans="1:5" ht="30">
      <c r="A2446" s="68" t="s">
        <v>2088</v>
      </c>
      <c r="B2446" s="69"/>
      <c r="C2446" s="70" t="s">
        <v>2462</v>
      </c>
      <c r="D2446" s="71"/>
      <c r="E2446" s="72">
        <v>68623257</v>
      </c>
    </row>
    <row r="2447" spans="1:5" ht="30">
      <c r="A2447" s="66" t="s">
        <v>2088</v>
      </c>
      <c r="B2447" s="42"/>
      <c r="C2447" s="63" t="s">
        <v>2463</v>
      </c>
      <c r="D2447" s="62"/>
      <c r="E2447" s="64">
        <v>68357016</v>
      </c>
    </row>
    <row r="2448" spans="1:5" ht="30">
      <c r="A2448" s="68" t="s">
        <v>2088</v>
      </c>
      <c r="B2448" s="69"/>
      <c r="C2448" s="70" t="s">
        <v>2464</v>
      </c>
      <c r="D2448" s="71"/>
      <c r="E2448" s="72">
        <v>69455926</v>
      </c>
    </row>
    <row r="2449" spans="1:5" ht="30">
      <c r="A2449" s="66" t="s">
        <v>2088</v>
      </c>
      <c r="B2449" s="42"/>
      <c r="C2449" s="63" t="s">
        <v>2465</v>
      </c>
      <c r="D2449" s="62"/>
      <c r="E2449" s="64">
        <v>68759030</v>
      </c>
    </row>
    <row r="2450" spans="1:5" ht="30">
      <c r="A2450" s="68" t="s">
        <v>2088</v>
      </c>
      <c r="B2450" s="69"/>
      <c r="C2450" s="70" t="s">
        <v>2466</v>
      </c>
      <c r="D2450" s="71"/>
      <c r="E2450" s="72">
        <v>69691314</v>
      </c>
    </row>
    <row r="2451" spans="1:5" ht="30">
      <c r="A2451" s="66" t="s">
        <v>2088</v>
      </c>
      <c r="B2451" s="42"/>
      <c r="C2451" s="63" t="s">
        <v>2467</v>
      </c>
      <c r="D2451" s="62"/>
      <c r="E2451" s="64">
        <v>65652763</v>
      </c>
    </row>
    <row r="2452" spans="1:5" ht="30">
      <c r="A2452" s="68" t="s">
        <v>2088</v>
      </c>
      <c r="B2452" s="69"/>
      <c r="C2452" s="70" t="s">
        <v>2468</v>
      </c>
      <c r="D2452" s="71"/>
      <c r="E2452" s="72">
        <v>63823930</v>
      </c>
    </row>
    <row r="2453" spans="1:5" ht="30">
      <c r="A2453" s="66" t="s">
        <v>2088</v>
      </c>
      <c r="B2453" s="42"/>
      <c r="C2453" s="63" t="s">
        <v>2469</v>
      </c>
      <c r="D2453" s="62"/>
      <c r="E2453" s="64">
        <v>65806280</v>
      </c>
    </row>
    <row r="2454" spans="1:5" ht="30">
      <c r="A2454" s="68" t="s">
        <v>2088</v>
      </c>
      <c r="B2454" s="69"/>
      <c r="C2454" s="70" t="s">
        <v>2470</v>
      </c>
      <c r="D2454" s="71"/>
      <c r="E2454" s="72">
        <v>7758480</v>
      </c>
    </row>
    <row r="2455" spans="1:5" ht="30">
      <c r="A2455" s="66" t="s">
        <v>2088</v>
      </c>
      <c r="B2455" s="42"/>
      <c r="C2455" s="63" t="s">
        <v>2471</v>
      </c>
      <c r="D2455" s="62"/>
      <c r="E2455" s="64">
        <v>63898610</v>
      </c>
    </row>
    <row r="2456" spans="1:5" ht="30">
      <c r="A2456" s="68" t="s">
        <v>2088</v>
      </c>
      <c r="B2456" s="69"/>
      <c r="C2456" s="70" t="s">
        <v>2472</v>
      </c>
      <c r="D2456" s="71"/>
      <c r="E2456" s="72">
        <v>68909271</v>
      </c>
    </row>
    <row r="2457" spans="1:5" ht="30">
      <c r="A2457" s="66" t="s">
        <v>2088</v>
      </c>
      <c r="B2457" s="42"/>
      <c r="C2457" s="63" t="s">
        <v>2473</v>
      </c>
      <c r="D2457" s="62"/>
      <c r="E2457" s="64">
        <v>63419239</v>
      </c>
    </row>
    <row r="2458" spans="1:5" ht="30">
      <c r="A2458" s="68" t="s">
        <v>2088</v>
      </c>
      <c r="B2458" s="69"/>
      <c r="C2458" s="70" t="s">
        <v>2474</v>
      </c>
      <c r="D2458" s="71"/>
      <c r="E2458" s="72">
        <v>68845634</v>
      </c>
    </row>
    <row r="2459" spans="1:5" ht="30">
      <c r="A2459" s="66" t="s">
        <v>2088</v>
      </c>
      <c r="B2459" s="42"/>
      <c r="C2459" s="63" t="s">
        <v>2475</v>
      </c>
      <c r="D2459" s="62"/>
      <c r="E2459" s="64">
        <v>67622540</v>
      </c>
    </row>
    <row r="2460" spans="1:5" ht="30">
      <c r="A2460" s="68" t="s">
        <v>2088</v>
      </c>
      <c r="B2460" s="69"/>
      <c r="C2460" s="70" t="s">
        <v>2476</v>
      </c>
      <c r="D2460" s="71"/>
      <c r="E2460" s="72">
        <v>66882033</v>
      </c>
    </row>
    <row r="2461" spans="1:5" ht="30">
      <c r="A2461" s="66" t="s">
        <v>2088</v>
      </c>
      <c r="B2461" s="42"/>
      <c r="C2461" s="63" t="s">
        <v>2477</v>
      </c>
      <c r="D2461" s="62"/>
      <c r="E2461" s="64">
        <v>63292738</v>
      </c>
    </row>
    <row r="2462" spans="1:5" ht="30">
      <c r="A2462" s="68" t="s">
        <v>2088</v>
      </c>
      <c r="B2462" s="69"/>
      <c r="C2462" s="70" t="s">
        <v>2478</v>
      </c>
      <c r="D2462" s="71"/>
      <c r="E2462" s="72">
        <v>68703208</v>
      </c>
    </row>
    <row r="2463" spans="1:5" ht="30">
      <c r="A2463" s="66" t="s">
        <v>2088</v>
      </c>
      <c r="B2463" s="42"/>
      <c r="C2463" s="63" t="s">
        <v>2479</v>
      </c>
      <c r="D2463" s="62"/>
      <c r="E2463" s="64">
        <v>69823513</v>
      </c>
    </row>
    <row r="2464" spans="1:5" ht="30">
      <c r="A2464" s="68" t="s">
        <v>2088</v>
      </c>
      <c r="B2464" s="69"/>
      <c r="C2464" s="70" t="s">
        <v>2480</v>
      </c>
      <c r="D2464" s="71"/>
      <c r="E2464" s="72">
        <v>65337635</v>
      </c>
    </row>
    <row r="2465" spans="1:5" ht="30">
      <c r="A2465" s="66" t="s">
        <v>2088</v>
      </c>
      <c r="B2465" s="42"/>
      <c r="C2465" s="63" t="s">
        <v>2481</v>
      </c>
      <c r="D2465" s="62"/>
      <c r="E2465" s="64">
        <v>69589860</v>
      </c>
    </row>
    <row r="2466" spans="1:5" ht="30">
      <c r="A2466" s="68" t="s">
        <v>2088</v>
      </c>
      <c r="B2466" s="69"/>
      <c r="C2466" s="70" t="s">
        <v>2482</v>
      </c>
      <c r="D2466" s="71"/>
      <c r="E2466" s="72">
        <v>64018481</v>
      </c>
    </row>
    <row r="2467" spans="1:5" ht="30">
      <c r="A2467" s="66" t="s">
        <v>2088</v>
      </c>
      <c r="B2467" s="42"/>
      <c r="C2467" s="63" t="s">
        <v>2483</v>
      </c>
      <c r="D2467" s="62"/>
      <c r="E2467" s="64">
        <v>66230445</v>
      </c>
    </row>
    <row r="2468" spans="1:5" ht="30">
      <c r="A2468" s="68" t="s">
        <v>2088</v>
      </c>
      <c r="B2468" s="69"/>
      <c r="C2468" s="70" t="s">
        <v>2484</v>
      </c>
      <c r="D2468" s="71"/>
      <c r="E2468" s="72">
        <v>69028292</v>
      </c>
    </row>
    <row r="2469" spans="1:5" ht="30">
      <c r="A2469" s="66" t="s">
        <v>2088</v>
      </c>
      <c r="B2469" s="42"/>
      <c r="C2469" s="63" t="s">
        <v>2485</v>
      </c>
      <c r="D2469" s="62"/>
      <c r="E2469" s="64">
        <v>7307124</v>
      </c>
    </row>
    <row r="2470" spans="1:5" ht="30">
      <c r="A2470" s="68" t="s">
        <v>2088</v>
      </c>
      <c r="B2470" s="69"/>
      <c r="C2470" s="70" t="s">
        <v>2486</v>
      </c>
      <c r="D2470" s="71"/>
      <c r="E2470" s="72">
        <v>64065550</v>
      </c>
    </row>
    <row r="2471" spans="1:5" ht="30">
      <c r="A2471" s="66" t="s">
        <v>2088</v>
      </c>
      <c r="B2471" s="42"/>
      <c r="C2471" s="63" t="s">
        <v>2487</v>
      </c>
      <c r="D2471" s="62"/>
      <c r="E2471" s="64">
        <v>69223035</v>
      </c>
    </row>
    <row r="2472" spans="1:5" ht="30">
      <c r="A2472" s="68" t="s">
        <v>2088</v>
      </c>
      <c r="B2472" s="69"/>
      <c r="C2472" s="70" t="s">
        <v>2488</v>
      </c>
      <c r="D2472" s="71"/>
      <c r="E2472" s="72">
        <v>64991245</v>
      </c>
    </row>
    <row r="2473" spans="1:5" ht="30">
      <c r="A2473" s="66" t="s">
        <v>2088</v>
      </c>
      <c r="B2473" s="42"/>
      <c r="C2473" s="63" t="s">
        <v>2489</v>
      </c>
      <c r="D2473" s="62"/>
      <c r="E2473" s="64">
        <v>66945755</v>
      </c>
    </row>
    <row r="2474" spans="1:5" ht="30">
      <c r="A2474" s="68" t="s">
        <v>2088</v>
      </c>
      <c r="B2474" s="69"/>
      <c r="C2474" s="70" t="s">
        <v>2490</v>
      </c>
      <c r="D2474" s="71"/>
      <c r="E2474" s="72">
        <v>66042239</v>
      </c>
    </row>
    <row r="2475" spans="1:5" ht="30">
      <c r="A2475" s="66" t="s">
        <v>2088</v>
      </c>
      <c r="B2475" s="42"/>
      <c r="C2475" s="63" t="s">
        <v>2491</v>
      </c>
      <c r="D2475" s="62"/>
      <c r="E2475" s="64">
        <v>64995414</v>
      </c>
    </row>
    <row r="2476" spans="1:5" ht="30">
      <c r="A2476" s="68" t="s">
        <v>2088</v>
      </c>
      <c r="B2476" s="69"/>
      <c r="C2476" s="70" t="s">
        <v>2492</v>
      </c>
      <c r="D2476" s="71"/>
      <c r="E2476" s="72">
        <v>68351702</v>
      </c>
    </row>
    <row r="2477" spans="1:5" ht="30">
      <c r="A2477" s="66" t="s">
        <v>2088</v>
      </c>
      <c r="B2477" s="42"/>
      <c r="C2477" s="63" t="s">
        <v>2493</v>
      </c>
      <c r="D2477" s="62"/>
      <c r="E2477" s="64">
        <v>65689760</v>
      </c>
    </row>
    <row r="2478" spans="1:5" ht="30">
      <c r="A2478" s="68" t="s">
        <v>2088</v>
      </c>
      <c r="B2478" s="69"/>
      <c r="C2478" s="70" t="s">
        <v>2494</v>
      </c>
      <c r="D2478" s="71"/>
      <c r="E2478" s="72">
        <v>68487894</v>
      </c>
    </row>
    <row r="2479" spans="1:5" ht="30">
      <c r="A2479" s="66" t="s">
        <v>2088</v>
      </c>
      <c r="B2479" s="42"/>
      <c r="C2479" s="63" t="s">
        <v>2495</v>
      </c>
      <c r="D2479" s="62"/>
      <c r="E2479" s="64">
        <v>64558440</v>
      </c>
    </row>
    <row r="2480" spans="1:5" ht="30">
      <c r="A2480" s="68" t="s">
        <v>2088</v>
      </c>
      <c r="B2480" s="69"/>
      <c r="C2480" s="70" t="s">
        <v>2496</v>
      </c>
      <c r="D2480" s="71"/>
      <c r="E2480" s="72">
        <v>64779801</v>
      </c>
    </row>
    <row r="2481" spans="1:5" ht="30">
      <c r="A2481" s="66" t="s">
        <v>2088</v>
      </c>
      <c r="B2481" s="42"/>
      <c r="C2481" s="63" t="s">
        <v>2497</v>
      </c>
      <c r="D2481" s="62"/>
      <c r="E2481" s="64">
        <v>66772661</v>
      </c>
    </row>
    <row r="2482" spans="1:5" ht="30">
      <c r="A2482" s="68" t="s">
        <v>2088</v>
      </c>
      <c r="B2482" s="69"/>
      <c r="C2482" s="70" t="s">
        <v>2498</v>
      </c>
      <c r="D2482" s="71"/>
      <c r="E2482" s="72">
        <v>64543698</v>
      </c>
    </row>
    <row r="2483" spans="1:5" ht="30">
      <c r="A2483" s="66" t="s">
        <v>2088</v>
      </c>
      <c r="B2483" s="42"/>
      <c r="C2483" s="63" t="s">
        <v>2499</v>
      </c>
      <c r="D2483" s="62"/>
      <c r="E2483" s="64">
        <v>6529139</v>
      </c>
    </row>
    <row r="2484" spans="1:5" ht="30">
      <c r="A2484" s="68" t="s">
        <v>2088</v>
      </c>
      <c r="B2484" s="69"/>
      <c r="C2484" s="70" t="s">
        <v>2500</v>
      </c>
      <c r="D2484" s="71"/>
      <c r="E2484" s="72">
        <v>65277056</v>
      </c>
    </row>
    <row r="2485" spans="1:5" ht="30">
      <c r="A2485" s="66" t="s">
        <v>2088</v>
      </c>
      <c r="B2485" s="42"/>
      <c r="C2485" s="63" t="s">
        <v>2501</v>
      </c>
      <c r="D2485" s="62"/>
      <c r="E2485" s="64">
        <v>5437872</v>
      </c>
    </row>
    <row r="2486" spans="1:5" ht="30">
      <c r="A2486" s="68" t="s">
        <v>2088</v>
      </c>
      <c r="B2486" s="69"/>
      <c r="C2486" s="70" t="s">
        <v>2502</v>
      </c>
      <c r="D2486" s="71"/>
      <c r="E2486" s="72">
        <v>62001874</v>
      </c>
    </row>
    <row r="2487" spans="1:5" ht="30">
      <c r="A2487" s="66" t="s">
        <v>2088</v>
      </c>
      <c r="B2487" s="42"/>
      <c r="C2487" s="63" t="s">
        <v>2503</v>
      </c>
      <c r="D2487" s="62"/>
      <c r="E2487" s="64">
        <v>69617136</v>
      </c>
    </row>
    <row r="2488" spans="1:5" ht="30">
      <c r="A2488" s="68" t="s">
        <v>2088</v>
      </c>
      <c r="B2488" s="69"/>
      <c r="C2488" s="70" t="s">
        <v>2504</v>
      </c>
      <c r="D2488" s="71"/>
      <c r="E2488" s="72">
        <v>68821290</v>
      </c>
    </row>
    <row r="2489" spans="1:5" ht="30">
      <c r="A2489" s="66" t="s">
        <v>2088</v>
      </c>
      <c r="B2489" s="42"/>
      <c r="C2489" s="63" t="s">
        <v>2505</v>
      </c>
      <c r="D2489" s="62"/>
      <c r="E2489" s="64">
        <v>61403208</v>
      </c>
    </row>
    <row r="2490" spans="1:5" ht="30">
      <c r="A2490" s="68" t="s">
        <v>2088</v>
      </c>
      <c r="B2490" s="69"/>
      <c r="C2490" s="70" t="s">
        <v>2506</v>
      </c>
      <c r="D2490" s="71"/>
      <c r="E2490" s="72">
        <v>65833701</v>
      </c>
    </row>
    <row r="2491" spans="1:5" ht="30">
      <c r="A2491" s="66" t="s">
        <v>2088</v>
      </c>
      <c r="B2491" s="42"/>
      <c r="C2491" s="63" t="s">
        <v>2507</v>
      </c>
      <c r="D2491" s="62"/>
      <c r="E2491" s="64">
        <v>63036772</v>
      </c>
    </row>
    <row r="2492" spans="1:5" ht="30">
      <c r="A2492" s="68" t="s">
        <v>2088</v>
      </c>
      <c r="B2492" s="69"/>
      <c r="C2492" s="70" t="s">
        <v>2508</v>
      </c>
      <c r="D2492" s="71"/>
      <c r="E2492" s="72">
        <v>67396164</v>
      </c>
    </row>
    <row r="2493" spans="1:5" ht="30">
      <c r="A2493" s="66" t="s">
        <v>2088</v>
      </c>
      <c r="B2493" s="42"/>
      <c r="C2493" s="63" t="s">
        <v>2509</v>
      </c>
      <c r="D2493" s="62"/>
      <c r="E2493" s="64">
        <v>7754626</v>
      </c>
    </row>
    <row r="2494" spans="1:5" ht="30">
      <c r="A2494" s="68" t="s">
        <v>2088</v>
      </c>
      <c r="B2494" s="69"/>
      <c r="C2494" s="70" t="s">
        <v>2510</v>
      </c>
      <c r="D2494" s="71"/>
      <c r="E2494" s="72">
        <v>65501047</v>
      </c>
    </row>
    <row r="2495" spans="1:5" ht="30">
      <c r="A2495" s="66" t="s">
        <v>2088</v>
      </c>
      <c r="B2495" s="42"/>
      <c r="C2495" s="63" t="s">
        <v>2511</v>
      </c>
      <c r="D2495" s="62"/>
      <c r="E2495" s="64">
        <v>68619758</v>
      </c>
    </row>
    <row r="2496" spans="1:5" ht="30">
      <c r="A2496" s="68" t="s">
        <v>2088</v>
      </c>
      <c r="B2496" s="69"/>
      <c r="C2496" s="70" t="s">
        <v>2512</v>
      </c>
      <c r="D2496" s="71"/>
      <c r="E2496" s="72">
        <v>67424952</v>
      </c>
    </row>
    <row r="2497" spans="1:5" ht="30">
      <c r="A2497" s="66" t="s">
        <v>2088</v>
      </c>
      <c r="B2497" s="42"/>
      <c r="C2497" s="63" t="s">
        <v>2513</v>
      </c>
      <c r="D2497" s="62"/>
      <c r="E2497" s="64">
        <v>67142461</v>
      </c>
    </row>
    <row r="2498" spans="1:5" ht="30">
      <c r="A2498" s="68" t="s">
        <v>2088</v>
      </c>
      <c r="B2498" s="69"/>
      <c r="C2498" s="70" t="s">
        <v>2514</v>
      </c>
      <c r="D2498" s="71"/>
      <c r="E2498" s="72">
        <v>64828797</v>
      </c>
    </row>
    <row r="2499" spans="1:5" ht="30">
      <c r="A2499" s="66" t="s">
        <v>2088</v>
      </c>
      <c r="B2499" s="42"/>
      <c r="C2499" s="63" t="s">
        <v>2515</v>
      </c>
      <c r="D2499" s="62"/>
      <c r="E2499" s="64">
        <v>7090279</v>
      </c>
    </row>
    <row r="2500" spans="1:5" ht="30">
      <c r="A2500" s="68" t="s">
        <v>2088</v>
      </c>
      <c r="B2500" s="69"/>
      <c r="C2500" s="70" t="s">
        <v>2516</v>
      </c>
      <c r="D2500" s="71"/>
      <c r="E2500" s="72">
        <v>65911660</v>
      </c>
    </row>
    <row r="2501" spans="1:5" ht="30">
      <c r="A2501" s="66" t="s">
        <v>2088</v>
      </c>
      <c r="B2501" s="42"/>
      <c r="C2501" s="63" t="s">
        <v>2517</v>
      </c>
      <c r="D2501" s="62"/>
      <c r="E2501" s="64">
        <v>62848258</v>
      </c>
    </row>
    <row r="2502" spans="1:5" ht="30">
      <c r="A2502" s="68" t="s">
        <v>2088</v>
      </c>
      <c r="B2502" s="69"/>
      <c r="C2502" s="70" t="s">
        <v>2518</v>
      </c>
      <c r="D2502" s="71"/>
      <c r="E2502" s="72">
        <v>67452267</v>
      </c>
    </row>
    <row r="2503" spans="1:5" ht="30">
      <c r="A2503" s="66" t="s">
        <v>2088</v>
      </c>
      <c r="B2503" s="42"/>
      <c r="C2503" s="63" t="s">
        <v>2519</v>
      </c>
      <c r="D2503" s="62"/>
      <c r="E2503" s="64">
        <v>7759327</v>
      </c>
    </row>
    <row r="2504" spans="1:5" ht="30">
      <c r="A2504" s="68" t="s">
        <v>2088</v>
      </c>
      <c r="B2504" s="69"/>
      <c r="C2504" s="70" t="s">
        <v>2520</v>
      </c>
      <c r="D2504" s="71"/>
      <c r="E2504" s="72">
        <v>63573985</v>
      </c>
    </row>
    <row r="2505" spans="1:5" ht="30">
      <c r="A2505" s="66" t="s">
        <v>2088</v>
      </c>
      <c r="B2505" s="42"/>
      <c r="C2505" s="63" t="s">
        <v>2521</v>
      </c>
      <c r="D2505" s="62"/>
      <c r="E2505" s="64">
        <v>65595610</v>
      </c>
    </row>
    <row r="2506" spans="1:5" ht="30">
      <c r="A2506" s="68" t="s">
        <v>2088</v>
      </c>
      <c r="B2506" s="69"/>
      <c r="C2506" s="70" t="s">
        <v>2522</v>
      </c>
      <c r="D2506" s="71"/>
      <c r="E2506" s="72">
        <v>67374728</v>
      </c>
    </row>
    <row r="2507" spans="1:5" ht="30">
      <c r="A2507" s="66" t="s">
        <v>2088</v>
      </c>
      <c r="B2507" s="42"/>
      <c r="C2507" s="63" t="s">
        <v>2523</v>
      </c>
      <c r="D2507" s="62"/>
      <c r="E2507" s="64">
        <v>61619391</v>
      </c>
    </row>
    <row r="2508" spans="1:5" ht="30">
      <c r="A2508" s="68" t="s">
        <v>2088</v>
      </c>
      <c r="B2508" s="69"/>
      <c r="C2508" s="70" t="s">
        <v>2524</v>
      </c>
      <c r="D2508" s="71"/>
      <c r="E2508" s="72">
        <v>68646651</v>
      </c>
    </row>
    <row r="2509" spans="1:5" ht="30">
      <c r="A2509" s="66" t="s">
        <v>2088</v>
      </c>
      <c r="B2509" s="42"/>
      <c r="C2509" s="63" t="s">
        <v>2525</v>
      </c>
      <c r="D2509" s="62"/>
      <c r="E2509" s="64">
        <v>62204564</v>
      </c>
    </row>
    <row r="2510" spans="1:5" ht="30">
      <c r="A2510" s="68" t="s">
        <v>2088</v>
      </c>
      <c r="B2510" s="69"/>
      <c r="C2510" s="70" t="s">
        <v>2526</v>
      </c>
      <c r="D2510" s="71"/>
      <c r="E2510" s="72">
        <v>65747366</v>
      </c>
    </row>
    <row r="2511" spans="1:5" ht="30">
      <c r="A2511" s="66" t="s">
        <v>2088</v>
      </c>
      <c r="B2511" s="42"/>
      <c r="C2511" s="63" t="s">
        <v>2527</v>
      </c>
      <c r="D2511" s="62"/>
      <c r="E2511" s="64">
        <v>67261573</v>
      </c>
    </row>
    <row r="2512" spans="1:5" ht="30">
      <c r="A2512" s="68" t="s">
        <v>2088</v>
      </c>
      <c r="B2512" s="69"/>
      <c r="C2512" s="70" t="s">
        <v>2528</v>
      </c>
      <c r="D2512" s="71"/>
      <c r="E2512" s="72">
        <v>67602911</v>
      </c>
    </row>
    <row r="2513" spans="1:5" ht="30">
      <c r="A2513" s="66" t="s">
        <v>2088</v>
      </c>
      <c r="B2513" s="42"/>
      <c r="C2513" s="63" t="s">
        <v>2529</v>
      </c>
      <c r="D2513" s="62"/>
      <c r="E2513" s="64">
        <v>68456947</v>
      </c>
    </row>
    <row r="2514" spans="1:5" ht="30">
      <c r="A2514" s="68" t="s">
        <v>2088</v>
      </c>
      <c r="B2514" s="69"/>
      <c r="C2514" s="70" t="s">
        <v>2530</v>
      </c>
      <c r="D2514" s="71"/>
      <c r="E2514" s="72">
        <v>66987920</v>
      </c>
    </row>
    <row r="2515" spans="1:5" ht="30">
      <c r="A2515" s="66" t="s">
        <v>2088</v>
      </c>
      <c r="B2515" s="42"/>
      <c r="C2515" s="63" t="s">
        <v>2531</v>
      </c>
      <c r="D2515" s="62"/>
      <c r="E2515" s="64">
        <v>64980564</v>
      </c>
    </row>
    <row r="2516" spans="1:5" ht="30">
      <c r="A2516" s="68" t="s">
        <v>2088</v>
      </c>
      <c r="B2516" s="69"/>
      <c r="C2516" s="70" t="s">
        <v>2532</v>
      </c>
      <c r="D2516" s="71"/>
      <c r="E2516" s="72">
        <v>63563075</v>
      </c>
    </row>
    <row r="2517" spans="1:5" ht="30">
      <c r="A2517" s="66" t="s">
        <v>2088</v>
      </c>
      <c r="B2517" s="42"/>
      <c r="C2517" s="63" t="s">
        <v>2533</v>
      </c>
      <c r="D2517" s="62"/>
      <c r="E2517" s="64">
        <v>66483219</v>
      </c>
    </row>
    <row r="2518" spans="1:5" ht="30">
      <c r="A2518" s="68" t="s">
        <v>2088</v>
      </c>
      <c r="B2518" s="69"/>
      <c r="C2518" s="70" t="s">
        <v>2534</v>
      </c>
      <c r="D2518" s="71"/>
      <c r="E2518" s="72">
        <v>69592410</v>
      </c>
    </row>
    <row r="2519" spans="1:5">
      <c r="A2519" s="66" t="s">
        <v>2535</v>
      </c>
      <c r="B2519" s="42"/>
      <c r="C2519" s="63" t="s">
        <v>2536</v>
      </c>
      <c r="D2519" s="62"/>
      <c r="E2519" s="64">
        <v>62985028</v>
      </c>
    </row>
    <row r="2520" spans="1:5">
      <c r="A2520" s="68" t="s">
        <v>2535</v>
      </c>
      <c r="B2520" s="69"/>
      <c r="C2520" s="70" t="s">
        <v>2537</v>
      </c>
      <c r="D2520" s="71"/>
      <c r="E2520" s="72">
        <v>64841888</v>
      </c>
    </row>
    <row r="2521" spans="1:5">
      <c r="A2521" s="66" t="s">
        <v>2535</v>
      </c>
      <c r="B2521" s="42"/>
      <c r="C2521" s="63" t="s">
        <v>2538</v>
      </c>
      <c r="D2521" s="62"/>
      <c r="E2521" s="64">
        <v>7741832</v>
      </c>
    </row>
    <row r="2522" spans="1:5">
      <c r="A2522" s="68" t="s">
        <v>2535</v>
      </c>
      <c r="B2522" s="69"/>
      <c r="C2522" s="70" t="s">
        <v>2539</v>
      </c>
      <c r="D2522" s="71"/>
      <c r="E2522" s="72">
        <v>67968895</v>
      </c>
    </row>
    <row r="2523" spans="1:5">
      <c r="A2523" s="66" t="s">
        <v>2535</v>
      </c>
      <c r="B2523" s="42"/>
      <c r="C2523" s="63" t="s">
        <v>2540</v>
      </c>
      <c r="D2523" s="62"/>
      <c r="E2523" s="64">
        <v>61652511</v>
      </c>
    </row>
    <row r="2524" spans="1:5">
      <c r="A2524" s="68" t="s">
        <v>2535</v>
      </c>
      <c r="B2524" s="69"/>
      <c r="C2524" s="70" t="s">
        <v>2541</v>
      </c>
      <c r="D2524" s="71"/>
      <c r="E2524" s="72">
        <v>6819709</v>
      </c>
    </row>
    <row r="2525" spans="1:5">
      <c r="A2525" s="66" t="s">
        <v>2535</v>
      </c>
      <c r="B2525" s="42"/>
      <c r="C2525" s="63" t="s">
        <v>2542</v>
      </c>
      <c r="D2525" s="62"/>
      <c r="E2525" s="64">
        <v>7889888</v>
      </c>
    </row>
    <row r="2526" spans="1:5">
      <c r="A2526" s="68" t="s">
        <v>2535</v>
      </c>
      <c r="B2526" s="69"/>
      <c r="C2526" s="70" t="s">
        <v>2543</v>
      </c>
      <c r="D2526" s="71"/>
      <c r="E2526" s="72">
        <v>6231347</v>
      </c>
    </row>
    <row r="2527" spans="1:5">
      <c r="A2527" s="66" t="s">
        <v>2535</v>
      </c>
      <c r="B2527" s="42"/>
      <c r="C2527" s="63" t="s">
        <v>2544</v>
      </c>
      <c r="D2527" s="62"/>
      <c r="E2527" s="64">
        <v>64787262</v>
      </c>
    </row>
    <row r="2528" spans="1:5">
      <c r="A2528" s="68" t="s">
        <v>2535</v>
      </c>
      <c r="B2528" s="69"/>
      <c r="C2528" s="70" t="s">
        <v>2545</v>
      </c>
      <c r="D2528" s="71"/>
      <c r="E2528" s="72">
        <v>63642814</v>
      </c>
    </row>
    <row r="2529" spans="1:5">
      <c r="A2529" s="66" t="s">
        <v>2535</v>
      </c>
      <c r="B2529" s="42"/>
      <c r="C2529" s="63" t="s">
        <v>2546</v>
      </c>
      <c r="D2529" s="62"/>
      <c r="E2529" s="64">
        <v>68589240</v>
      </c>
    </row>
    <row r="2530" spans="1:5">
      <c r="A2530" s="68" t="s">
        <v>2535</v>
      </c>
      <c r="B2530" s="69"/>
      <c r="C2530" s="70" t="s">
        <v>2547</v>
      </c>
      <c r="D2530" s="71"/>
      <c r="E2530" s="72">
        <v>62163988</v>
      </c>
    </row>
    <row r="2531" spans="1:5">
      <c r="A2531" s="66" t="s">
        <v>2535</v>
      </c>
      <c r="B2531" s="42"/>
      <c r="C2531" s="63" t="s">
        <v>2548</v>
      </c>
      <c r="D2531" s="62"/>
      <c r="E2531" s="64">
        <v>64888474</v>
      </c>
    </row>
    <row r="2532" spans="1:5">
      <c r="A2532" s="68" t="s">
        <v>2535</v>
      </c>
      <c r="B2532" s="69"/>
      <c r="C2532" s="70" t="s">
        <v>2549</v>
      </c>
      <c r="D2532" s="71"/>
      <c r="E2532" s="72">
        <v>7741458</v>
      </c>
    </row>
    <row r="2533" spans="1:5">
      <c r="A2533" s="66" t="s">
        <v>2535</v>
      </c>
      <c r="B2533" s="42"/>
      <c r="C2533" s="63" t="s">
        <v>2550</v>
      </c>
      <c r="D2533" s="62"/>
      <c r="E2533" s="64">
        <v>65159309</v>
      </c>
    </row>
    <row r="2534" spans="1:5">
      <c r="A2534" s="68" t="s">
        <v>2535</v>
      </c>
      <c r="B2534" s="69"/>
      <c r="C2534" s="70" t="s">
        <v>2551</v>
      </c>
      <c r="D2534" s="71"/>
      <c r="E2534" s="72">
        <v>66092912</v>
      </c>
    </row>
    <row r="2535" spans="1:5">
      <c r="A2535" s="66" t="s">
        <v>2535</v>
      </c>
      <c r="B2535" s="42"/>
      <c r="C2535" s="63" t="s">
        <v>2552</v>
      </c>
      <c r="D2535" s="62"/>
      <c r="E2535" s="64">
        <v>66161619</v>
      </c>
    </row>
    <row r="2536" spans="1:5">
      <c r="A2536" s="68" t="s">
        <v>2535</v>
      </c>
      <c r="B2536" s="69"/>
      <c r="C2536" s="70" t="s">
        <v>2553</v>
      </c>
      <c r="D2536" s="71"/>
      <c r="E2536" s="72">
        <v>66752054</v>
      </c>
    </row>
    <row r="2537" spans="1:5">
      <c r="A2537" s="66" t="s">
        <v>2535</v>
      </c>
      <c r="B2537" s="42"/>
      <c r="C2537" s="63" t="s">
        <v>2554</v>
      </c>
      <c r="D2537" s="62"/>
      <c r="E2537" s="64">
        <v>64407567</v>
      </c>
    </row>
    <row r="2538" spans="1:5">
      <c r="A2538" s="68" t="s">
        <v>2535</v>
      </c>
      <c r="B2538" s="69"/>
      <c r="C2538" s="70" t="s">
        <v>2555</v>
      </c>
      <c r="D2538" s="71"/>
      <c r="E2538" s="72">
        <v>66096294</v>
      </c>
    </row>
    <row r="2539" spans="1:5">
      <c r="A2539" s="66" t="s">
        <v>2535</v>
      </c>
      <c r="B2539" s="42"/>
      <c r="C2539" s="63" t="s">
        <v>2556</v>
      </c>
      <c r="D2539" s="62"/>
      <c r="E2539" s="64">
        <v>62293703</v>
      </c>
    </row>
    <row r="2540" spans="1:5">
      <c r="A2540" s="68" t="s">
        <v>2535</v>
      </c>
      <c r="B2540" s="69"/>
      <c r="C2540" s="70" t="s">
        <v>2557</v>
      </c>
      <c r="D2540" s="71"/>
      <c r="E2540" s="72">
        <v>68836225</v>
      </c>
    </row>
    <row r="2541" spans="1:5">
      <c r="A2541" s="66" t="s">
        <v>2535</v>
      </c>
      <c r="B2541" s="42"/>
      <c r="C2541" s="63" t="s">
        <v>2558</v>
      </c>
      <c r="D2541" s="62"/>
      <c r="E2541" s="64">
        <v>69776863</v>
      </c>
    </row>
    <row r="2542" spans="1:5">
      <c r="A2542" s="68" t="s">
        <v>2535</v>
      </c>
      <c r="B2542" s="69"/>
      <c r="C2542" s="70" t="s">
        <v>2559</v>
      </c>
      <c r="D2542" s="71"/>
      <c r="E2542" s="72">
        <v>65414840</v>
      </c>
    </row>
    <row r="2543" spans="1:5">
      <c r="A2543" s="66" t="s">
        <v>2535</v>
      </c>
      <c r="B2543" s="42"/>
      <c r="C2543" s="63" t="s">
        <v>2560</v>
      </c>
      <c r="D2543" s="62"/>
      <c r="E2543" s="64">
        <v>67349527</v>
      </c>
    </row>
    <row r="2544" spans="1:5">
      <c r="A2544" s="68" t="s">
        <v>2535</v>
      </c>
      <c r="B2544" s="69"/>
      <c r="C2544" s="70" t="s">
        <v>2561</v>
      </c>
      <c r="D2544" s="71"/>
      <c r="E2544" s="72">
        <v>66043354</v>
      </c>
    </row>
    <row r="2545" spans="1:5">
      <c r="A2545" s="66" t="s">
        <v>2535</v>
      </c>
      <c r="B2545" s="42"/>
      <c r="C2545" s="63" t="s">
        <v>2562</v>
      </c>
      <c r="D2545" s="62"/>
      <c r="E2545" s="64">
        <v>64309340</v>
      </c>
    </row>
    <row r="2546" spans="1:5">
      <c r="A2546" s="68" t="s">
        <v>2535</v>
      </c>
      <c r="B2546" s="69"/>
      <c r="C2546" s="70" t="s">
        <v>2563</v>
      </c>
      <c r="D2546" s="71"/>
      <c r="E2546" s="72">
        <v>67103739</v>
      </c>
    </row>
    <row r="2547" spans="1:5">
      <c r="A2547" s="66" t="s">
        <v>2535</v>
      </c>
      <c r="B2547" s="42"/>
      <c r="C2547" s="63" t="s">
        <v>2564</v>
      </c>
      <c r="D2547" s="62"/>
      <c r="E2547" s="64">
        <v>67327346</v>
      </c>
    </row>
    <row r="2548" spans="1:5">
      <c r="A2548" s="68" t="s">
        <v>2535</v>
      </c>
      <c r="B2548" s="69"/>
      <c r="C2548" s="70" t="s">
        <v>2565</v>
      </c>
      <c r="D2548" s="71"/>
      <c r="E2548" s="72">
        <v>2648861</v>
      </c>
    </row>
    <row r="2549" spans="1:5">
      <c r="A2549" s="66" t="s">
        <v>2535</v>
      </c>
      <c r="B2549" s="42"/>
      <c r="C2549" s="63" t="s">
        <v>2566</v>
      </c>
      <c r="D2549" s="62"/>
      <c r="E2549" s="64">
        <v>65030260</v>
      </c>
    </row>
    <row r="2550" spans="1:5">
      <c r="A2550" s="68" t="s">
        <v>2535</v>
      </c>
      <c r="B2550" s="69"/>
      <c r="C2550" s="70" t="s">
        <v>2567</v>
      </c>
      <c r="D2550" s="71"/>
      <c r="E2550" s="72">
        <v>60715615</v>
      </c>
    </row>
    <row r="2551" spans="1:5">
      <c r="A2551" s="66" t="s">
        <v>2535</v>
      </c>
      <c r="B2551" s="42"/>
      <c r="C2551" s="63" t="s">
        <v>2568</v>
      </c>
      <c r="D2551" s="62"/>
      <c r="E2551" s="64">
        <v>66018046</v>
      </c>
    </row>
    <row r="2552" spans="1:5">
      <c r="A2552" s="68" t="s">
        <v>2535</v>
      </c>
      <c r="B2552" s="69"/>
      <c r="C2552" s="70" t="s">
        <v>2569</v>
      </c>
      <c r="D2552" s="71"/>
      <c r="E2552" s="72">
        <v>67272708</v>
      </c>
    </row>
    <row r="2553" spans="1:5">
      <c r="A2553" s="66" t="s">
        <v>2535</v>
      </c>
      <c r="B2553" s="42"/>
      <c r="C2553" s="63" t="s">
        <v>2570</v>
      </c>
      <c r="D2553" s="62"/>
      <c r="E2553" s="64">
        <v>66812196</v>
      </c>
    </row>
    <row r="2554" spans="1:5">
      <c r="A2554" s="68" t="s">
        <v>2535</v>
      </c>
      <c r="B2554" s="69"/>
      <c r="C2554" s="70" t="s">
        <v>2571</v>
      </c>
      <c r="D2554" s="71"/>
      <c r="E2554" s="72">
        <v>67010395</v>
      </c>
    </row>
    <row r="2555" spans="1:5">
      <c r="A2555" s="66" t="s">
        <v>2535</v>
      </c>
      <c r="B2555" s="42"/>
      <c r="C2555" s="63" t="s">
        <v>2572</v>
      </c>
      <c r="D2555" s="62"/>
      <c r="E2555" s="64">
        <v>66925909</v>
      </c>
    </row>
    <row r="2556" spans="1:5">
      <c r="A2556" s="68" t="s">
        <v>2535</v>
      </c>
      <c r="B2556" s="69"/>
      <c r="C2556" s="70" t="s">
        <v>2573</v>
      </c>
      <c r="D2556" s="71"/>
      <c r="E2556" s="72">
        <v>68141922</v>
      </c>
    </row>
    <row r="2557" spans="1:5">
      <c r="A2557" s="66" t="s">
        <v>2535</v>
      </c>
      <c r="B2557" s="42"/>
      <c r="C2557" s="63" t="s">
        <v>2574</v>
      </c>
      <c r="D2557" s="62"/>
      <c r="E2557" s="64">
        <v>65203678</v>
      </c>
    </row>
    <row r="2558" spans="1:5">
      <c r="A2558" s="68" t="s">
        <v>2535</v>
      </c>
      <c r="B2558" s="69"/>
      <c r="C2558" s="70" t="s">
        <v>2575</v>
      </c>
      <c r="D2558" s="71"/>
      <c r="E2558" s="72">
        <v>67291533</v>
      </c>
    </row>
    <row r="2559" spans="1:5">
      <c r="A2559" s="66" t="s">
        <v>2535</v>
      </c>
      <c r="B2559" s="42"/>
      <c r="C2559" s="63" t="s">
        <v>2576</v>
      </c>
      <c r="D2559" s="62"/>
      <c r="E2559" s="64">
        <v>62968480</v>
      </c>
    </row>
    <row r="2560" spans="1:5">
      <c r="A2560" s="68" t="s">
        <v>2535</v>
      </c>
      <c r="B2560" s="69"/>
      <c r="C2560" s="70" t="s">
        <v>2577</v>
      </c>
      <c r="D2560" s="71"/>
      <c r="E2560" s="72">
        <v>65973123</v>
      </c>
    </row>
    <row r="2561" spans="1:5">
      <c r="A2561" s="66" t="s">
        <v>2535</v>
      </c>
      <c r="B2561" s="42"/>
      <c r="C2561" s="63" t="s">
        <v>2578</v>
      </c>
      <c r="D2561" s="62"/>
      <c r="E2561" s="64">
        <v>2123938</v>
      </c>
    </row>
    <row r="2562" spans="1:5">
      <c r="A2562" s="68" t="s">
        <v>2535</v>
      </c>
      <c r="B2562" s="69"/>
      <c r="C2562" s="70" t="s">
        <v>2579</v>
      </c>
      <c r="D2562" s="71"/>
      <c r="E2562" s="72">
        <v>67814245</v>
      </c>
    </row>
    <row r="2563" spans="1:5">
      <c r="A2563" s="66" t="s">
        <v>2535</v>
      </c>
      <c r="B2563" s="42"/>
      <c r="C2563" s="63" t="s">
        <v>2580</v>
      </c>
      <c r="D2563" s="62"/>
      <c r="E2563" s="64">
        <v>7753326</v>
      </c>
    </row>
    <row r="2564" spans="1:5">
      <c r="A2564" s="68" t="s">
        <v>2535</v>
      </c>
      <c r="B2564" s="69"/>
      <c r="C2564" s="70" t="s">
        <v>2581</v>
      </c>
      <c r="D2564" s="71"/>
      <c r="E2564" s="72">
        <v>69776897</v>
      </c>
    </row>
    <row r="2565" spans="1:5">
      <c r="A2565" s="66" t="s">
        <v>2535</v>
      </c>
      <c r="B2565" s="42"/>
      <c r="C2565" s="63" t="s">
        <v>2582</v>
      </c>
      <c r="D2565" s="62"/>
      <c r="E2565" s="64">
        <v>67078166</v>
      </c>
    </row>
    <row r="2566" spans="1:5">
      <c r="A2566" s="68" t="s">
        <v>2535</v>
      </c>
      <c r="B2566" s="69"/>
      <c r="C2566" s="70" t="s">
        <v>2583</v>
      </c>
      <c r="D2566" s="71"/>
      <c r="E2566" s="72">
        <v>7201334</v>
      </c>
    </row>
    <row r="2567" spans="1:5">
      <c r="A2567" s="66" t="s">
        <v>2535</v>
      </c>
      <c r="B2567" s="42"/>
      <c r="C2567" s="63" t="s">
        <v>2584</v>
      </c>
      <c r="D2567" s="62"/>
      <c r="E2567" s="64">
        <v>66243153</v>
      </c>
    </row>
    <row r="2568" spans="1:5">
      <c r="A2568" s="68" t="s">
        <v>2535</v>
      </c>
      <c r="B2568" s="69"/>
      <c r="C2568" s="70" t="s">
        <v>2585</v>
      </c>
      <c r="D2568" s="71"/>
      <c r="E2568" s="72">
        <v>62909120</v>
      </c>
    </row>
    <row r="2569" spans="1:5">
      <c r="A2569" s="66" t="s">
        <v>2535</v>
      </c>
      <c r="B2569" s="42"/>
      <c r="C2569" s="63" t="s">
        <v>2586</v>
      </c>
      <c r="D2569" s="62"/>
      <c r="E2569" s="64">
        <v>64312903</v>
      </c>
    </row>
    <row r="2570" spans="1:5">
      <c r="A2570" s="68" t="s">
        <v>2535</v>
      </c>
      <c r="B2570" s="69"/>
      <c r="C2570" s="70" t="s">
        <v>2587</v>
      </c>
      <c r="D2570" s="71"/>
      <c r="E2570" s="72">
        <v>62656262</v>
      </c>
    </row>
    <row r="2571" spans="1:5">
      <c r="A2571" s="66" t="s">
        <v>2535</v>
      </c>
      <c r="B2571" s="42"/>
      <c r="C2571" s="63" t="s">
        <v>2588</v>
      </c>
      <c r="D2571" s="62"/>
      <c r="E2571" s="64">
        <v>64979986</v>
      </c>
    </row>
    <row r="2572" spans="1:5">
      <c r="A2572" s="68" t="s">
        <v>2535</v>
      </c>
      <c r="B2572" s="69"/>
      <c r="C2572" s="70" t="s">
        <v>2589</v>
      </c>
      <c r="D2572" s="71"/>
      <c r="E2572" s="72">
        <v>63707106</v>
      </c>
    </row>
    <row r="2573" spans="1:5">
      <c r="A2573" s="66" t="s">
        <v>2535</v>
      </c>
      <c r="B2573" s="42"/>
      <c r="C2573" s="63" t="s">
        <v>2590</v>
      </c>
      <c r="D2573" s="62"/>
      <c r="E2573" s="64">
        <v>62664875</v>
      </c>
    </row>
    <row r="2574" spans="1:5">
      <c r="A2574" s="68" t="s">
        <v>2535</v>
      </c>
      <c r="B2574" s="69"/>
      <c r="C2574" s="70" t="s">
        <v>2591</v>
      </c>
      <c r="D2574" s="71"/>
      <c r="E2574" s="72">
        <v>62389256</v>
      </c>
    </row>
    <row r="2575" spans="1:5">
      <c r="A2575" s="66" t="s">
        <v>2535</v>
      </c>
      <c r="B2575" s="42"/>
      <c r="C2575" s="63" t="s">
        <v>2592</v>
      </c>
      <c r="D2575" s="62"/>
      <c r="E2575" s="64">
        <v>66913432</v>
      </c>
    </row>
    <row r="2576" spans="1:5">
      <c r="A2576" s="68" t="s">
        <v>2535</v>
      </c>
      <c r="B2576" s="69"/>
      <c r="C2576" s="70" t="s">
        <v>2593</v>
      </c>
      <c r="D2576" s="71"/>
      <c r="E2576" s="72">
        <v>65397177</v>
      </c>
    </row>
    <row r="2577" spans="1:5">
      <c r="A2577" s="66" t="s">
        <v>2535</v>
      </c>
      <c r="B2577" s="42"/>
      <c r="C2577" s="63" t="s">
        <v>2594</v>
      </c>
      <c r="D2577" s="62"/>
      <c r="E2577" s="64">
        <v>69062487</v>
      </c>
    </row>
    <row r="2578" spans="1:5">
      <c r="A2578" s="68" t="s">
        <v>2535</v>
      </c>
      <c r="B2578" s="69"/>
      <c r="C2578" s="70" t="s">
        <v>2595</v>
      </c>
      <c r="D2578" s="71"/>
      <c r="E2578" s="72">
        <v>65599781</v>
      </c>
    </row>
    <row r="2579" spans="1:5">
      <c r="A2579" s="66" t="s">
        <v>2535</v>
      </c>
      <c r="B2579" s="42"/>
      <c r="C2579" s="63" t="s">
        <v>2596</v>
      </c>
      <c r="D2579" s="62"/>
      <c r="E2579" s="64">
        <v>65089294</v>
      </c>
    </row>
    <row r="2580" spans="1:5">
      <c r="A2580" s="68" t="s">
        <v>2535</v>
      </c>
      <c r="B2580" s="69"/>
      <c r="C2580" s="70" t="s">
        <v>2597</v>
      </c>
      <c r="D2580" s="71"/>
      <c r="E2580" s="72">
        <v>65750291</v>
      </c>
    </row>
    <row r="2581" spans="1:5">
      <c r="A2581" s="66" t="s">
        <v>2535</v>
      </c>
      <c r="B2581" s="42"/>
      <c r="C2581" s="63" t="s">
        <v>2598</v>
      </c>
      <c r="D2581" s="62"/>
      <c r="E2581" s="64">
        <v>66805412</v>
      </c>
    </row>
    <row r="2582" spans="1:5">
      <c r="A2582" s="68" t="s">
        <v>2535</v>
      </c>
      <c r="B2582" s="69"/>
      <c r="C2582" s="70" t="s">
        <v>2599</v>
      </c>
      <c r="D2582" s="71"/>
      <c r="E2582" s="72">
        <v>66703613</v>
      </c>
    </row>
    <row r="2583" spans="1:5">
      <c r="A2583" s="66" t="s">
        <v>2535</v>
      </c>
      <c r="B2583" s="42"/>
      <c r="C2583" s="63" t="s">
        <v>2600</v>
      </c>
      <c r="D2583" s="62"/>
      <c r="E2583" s="64">
        <v>68915999</v>
      </c>
    </row>
    <row r="2584" spans="1:5">
      <c r="A2584" s="68" t="s">
        <v>2535</v>
      </c>
      <c r="B2584" s="69"/>
      <c r="C2584" s="70" t="s">
        <v>2601</v>
      </c>
      <c r="D2584" s="71"/>
      <c r="E2584" s="72">
        <v>67437968</v>
      </c>
    </row>
    <row r="2585" spans="1:5">
      <c r="A2585" s="66" t="s">
        <v>2535</v>
      </c>
      <c r="B2585" s="42"/>
      <c r="C2585" s="63" t="s">
        <v>2602</v>
      </c>
      <c r="D2585" s="62"/>
      <c r="E2585" s="64">
        <v>64025220</v>
      </c>
    </row>
    <row r="2586" spans="1:5">
      <c r="A2586" s="68" t="s">
        <v>2535</v>
      </c>
      <c r="B2586" s="69"/>
      <c r="C2586" s="70" t="s">
        <v>2603</v>
      </c>
      <c r="D2586" s="71"/>
      <c r="E2586" s="72">
        <v>60158613</v>
      </c>
    </row>
    <row r="2587" spans="1:5">
      <c r="A2587" s="66" t="s">
        <v>2535</v>
      </c>
      <c r="B2587" s="42"/>
      <c r="C2587" s="63" t="s">
        <v>2604</v>
      </c>
      <c r="D2587" s="62"/>
      <c r="E2587" s="64">
        <v>66472106</v>
      </c>
    </row>
    <row r="2588" spans="1:5">
      <c r="A2588" s="68" t="s">
        <v>2535</v>
      </c>
      <c r="B2588" s="69"/>
      <c r="C2588" s="70" t="s">
        <v>2605</v>
      </c>
      <c r="D2588" s="71"/>
      <c r="E2588" s="72">
        <v>65465663</v>
      </c>
    </row>
    <row r="2589" spans="1:5">
      <c r="A2589" s="66" t="s">
        <v>2535</v>
      </c>
      <c r="B2589" s="42"/>
      <c r="C2589" s="63" t="s">
        <v>2606</v>
      </c>
      <c r="D2589" s="62"/>
      <c r="E2589" s="64">
        <v>68967366</v>
      </c>
    </row>
    <row r="2590" spans="1:5">
      <c r="A2590" s="68" t="s">
        <v>2535</v>
      </c>
      <c r="B2590" s="69"/>
      <c r="C2590" s="70" t="s">
        <v>2607</v>
      </c>
      <c r="D2590" s="71"/>
      <c r="E2590" s="72">
        <v>68361933</v>
      </c>
    </row>
    <row r="2591" spans="1:5">
      <c r="A2591" s="66" t="s">
        <v>2535</v>
      </c>
      <c r="B2591" s="42"/>
      <c r="C2591" s="63" t="s">
        <v>2608</v>
      </c>
      <c r="D2591" s="62"/>
      <c r="E2591" s="64">
        <v>64965809</v>
      </c>
    </row>
    <row r="2592" spans="1:5">
      <c r="A2592" s="68" t="s">
        <v>2535</v>
      </c>
      <c r="B2592" s="69"/>
      <c r="C2592" s="70" t="s">
        <v>2609</v>
      </c>
      <c r="D2592" s="71"/>
      <c r="E2592" s="72">
        <v>64128666</v>
      </c>
    </row>
    <row r="2593" spans="1:5">
      <c r="A2593" s="66" t="s">
        <v>2535</v>
      </c>
      <c r="B2593" s="42"/>
      <c r="C2593" s="63" t="s">
        <v>2610</v>
      </c>
      <c r="D2593" s="62"/>
      <c r="E2593" s="64">
        <v>62542207</v>
      </c>
    </row>
    <row r="2594" spans="1:5">
      <c r="A2594" s="68" t="s">
        <v>2535</v>
      </c>
      <c r="B2594" s="69"/>
      <c r="C2594" s="70" t="s">
        <v>2611</v>
      </c>
      <c r="D2594" s="71"/>
      <c r="E2594" s="72">
        <v>63550411</v>
      </c>
    </row>
    <row r="2595" spans="1:5">
      <c r="A2595" s="66" t="s">
        <v>2535</v>
      </c>
      <c r="B2595" s="42"/>
      <c r="C2595" s="63" t="s">
        <v>2612</v>
      </c>
      <c r="D2595" s="62"/>
      <c r="E2595" s="64">
        <v>65989330</v>
      </c>
    </row>
    <row r="2596" spans="1:5">
      <c r="A2596" s="68" t="s">
        <v>2535</v>
      </c>
      <c r="B2596" s="69"/>
      <c r="C2596" s="70" t="s">
        <v>2613</v>
      </c>
      <c r="D2596" s="71"/>
      <c r="E2596" s="72">
        <v>69086846</v>
      </c>
    </row>
    <row r="2597" spans="1:5">
      <c r="A2597" s="66" t="s">
        <v>2535</v>
      </c>
      <c r="B2597" s="42"/>
      <c r="C2597" s="63" t="s">
        <v>2614</v>
      </c>
      <c r="D2597" s="62"/>
      <c r="E2597" s="64">
        <v>68772903</v>
      </c>
    </row>
    <row r="2598" spans="1:5">
      <c r="A2598" s="68" t="s">
        <v>2535</v>
      </c>
      <c r="B2598" s="69"/>
      <c r="C2598" s="70" t="s">
        <v>2615</v>
      </c>
      <c r="D2598" s="71"/>
      <c r="E2598" s="72">
        <v>63619146</v>
      </c>
    </row>
    <row r="2599" spans="1:5">
      <c r="A2599" s="66" t="s">
        <v>2535</v>
      </c>
      <c r="B2599" s="42"/>
      <c r="C2599" s="63" t="s">
        <v>2616</v>
      </c>
      <c r="D2599" s="62"/>
      <c r="E2599" s="64">
        <v>63006365</v>
      </c>
    </row>
    <row r="2600" spans="1:5">
      <c r="A2600" s="68" t="s">
        <v>2535</v>
      </c>
      <c r="B2600" s="69"/>
      <c r="C2600" s="70" t="s">
        <v>2617</v>
      </c>
      <c r="D2600" s="71"/>
      <c r="E2600" s="72">
        <v>63889734</v>
      </c>
    </row>
    <row r="2601" spans="1:5">
      <c r="A2601" s="66" t="s">
        <v>2535</v>
      </c>
      <c r="B2601" s="42"/>
      <c r="C2601" s="63" t="s">
        <v>2618</v>
      </c>
      <c r="D2601" s="62"/>
      <c r="E2601" s="64">
        <v>7202209</v>
      </c>
    </row>
    <row r="2602" spans="1:5">
      <c r="A2602" s="68" t="s">
        <v>2535</v>
      </c>
      <c r="B2602" s="69"/>
      <c r="C2602" s="70" t="s">
        <v>2619</v>
      </c>
      <c r="D2602" s="71"/>
      <c r="E2602" s="72">
        <v>69052462</v>
      </c>
    </row>
    <row r="2603" spans="1:5">
      <c r="A2603" s="66" t="s">
        <v>2535</v>
      </c>
      <c r="B2603" s="42"/>
      <c r="C2603" s="63" t="s">
        <v>2620</v>
      </c>
      <c r="D2603" s="62"/>
      <c r="E2603" s="64">
        <v>66405645</v>
      </c>
    </row>
    <row r="2604" spans="1:5">
      <c r="A2604" s="68" t="s">
        <v>2535</v>
      </c>
      <c r="B2604" s="69"/>
      <c r="C2604" s="70" t="s">
        <v>2621</v>
      </c>
      <c r="D2604" s="71"/>
      <c r="E2604" s="72">
        <v>62884317</v>
      </c>
    </row>
    <row r="2605" spans="1:5">
      <c r="A2605" s="66" t="s">
        <v>2535</v>
      </c>
      <c r="B2605" s="42"/>
      <c r="C2605" s="63" t="s">
        <v>2622</v>
      </c>
      <c r="D2605" s="62"/>
      <c r="E2605" s="64">
        <v>69526894</v>
      </c>
    </row>
    <row r="2606" spans="1:5">
      <c r="A2606" s="68" t="s">
        <v>2535</v>
      </c>
      <c r="B2606" s="69"/>
      <c r="C2606" s="70" t="s">
        <v>2623</v>
      </c>
      <c r="D2606" s="71"/>
      <c r="E2606" s="72">
        <v>68401158</v>
      </c>
    </row>
    <row r="2607" spans="1:5">
      <c r="A2607" s="66" t="s">
        <v>2535</v>
      </c>
      <c r="B2607" s="42"/>
      <c r="C2607" s="63" t="s">
        <v>2624</v>
      </c>
      <c r="D2607" s="62"/>
      <c r="E2607" s="64">
        <v>69119175</v>
      </c>
    </row>
    <row r="2608" spans="1:5">
      <c r="A2608" s="68" t="s">
        <v>2535</v>
      </c>
      <c r="B2608" s="69"/>
      <c r="C2608" s="70" t="s">
        <v>2625</v>
      </c>
      <c r="D2608" s="71"/>
      <c r="E2608" s="72">
        <v>7203573</v>
      </c>
    </row>
    <row r="2609" spans="1:5">
      <c r="A2609" s="66" t="s">
        <v>2535</v>
      </c>
      <c r="B2609" s="42"/>
      <c r="C2609" s="63" t="s">
        <v>2626</v>
      </c>
      <c r="D2609" s="62"/>
      <c r="E2609" s="64">
        <v>69439397</v>
      </c>
    </row>
    <row r="2610" spans="1:5">
      <c r="A2610" s="68" t="s">
        <v>2535</v>
      </c>
      <c r="B2610" s="69"/>
      <c r="C2610" s="70" t="s">
        <v>2627</v>
      </c>
      <c r="D2610" s="71"/>
      <c r="E2610" s="72">
        <v>60423309</v>
      </c>
    </row>
    <row r="2611" spans="1:5">
      <c r="A2611" s="66" t="s">
        <v>2535</v>
      </c>
      <c r="B2611" s="42"/>
      <c r="C2611" s="63" t="s">
        <v>2628</v>
      </c>
      <c r="D2611" s="62"/>
      <c r="E2611" s="64">
        <v>61615918</v>
      </c>
    </row>
    <row r="2612" spans="1:5">
      <c r="A2612" s="68" t="s">
        <v>2535</v>
      </c>
      <c r="B2612" s="69"/>
      <c r="C2612" s="70" t="s">
        <v>2629</v>
      </c>
      <c r="D2612" s="71"/>
      <c r="E2612" s="72">
        <v>62857528</v>
      </c>
    </row>
    <row r="2613" spans="1:5">
      <c r="A2613" s="66" t="s">
        <v>2535</v>
      </c>
      <c r="B2613" s="42"/>
      <c r="C2613" s="63" t="s">
        <v>2630</v>
      </c>
      <c r="D2613" s="62"/>
      <c r="E2613" s="64">
        <v>64414312</v>
      </c>
    </row>
    <row r="2614" spans="1:5">
      <c r="A2614" s="68" t="s">
        <v>2535</v>
      </c>
      <c r="B2614" s="69"/>
      <c r="C2614" s="70" t="s">
        <v>2631</v>
      </c>
      <c r="D2614" s="71"/>
      <c r="E2614" s="72">
        <v>68546775</v>
      </c>
    </row>
    <row r="2615" spans="1:5">
      <c r="A2615" s="66" t="s">
        <v>2535</v>
      </c>
      <c r="B2615" s="42"/>
      <c r="C2615" s="63" t="s">
        <v>2632</v>
      </c>
      <c r="D2615" s="62"/>
      <c r="E2615" s="64">
        <v>66762696</v>
      </c>
    </row>
    <row r="2616" spans="1:5">
      <c r="A2616" s="68" t="s">
        <v>2535</v>
      </c>
      <c r="B2616" s="69"/>
      <c r="C2616" s="70" t="s">
        <v>2633</v>
      </c>
      <c r="D2616" s="71"/>
      <c r="E2616" s="72">
        <v>65649809</v>
      </c>
    </row>
    <row r="2617" spans="1:5">
      <c r="A2617" s="66" t="s">
        <v>2535</v>
      </c>
      <c r="B2617" s="42"/>
      <c r="C2617" s="63" t="s">
        <v>2634</v>
      </c>
      <c r="D2617" s="62"/>
      <c r="E2617" s="64">
        <v>7708240</v>
      </c>
    </row>
    <row r="2618" spans="1:5">
      <c r="A2618" s="68" t="s">
        <v>2535</v>
      </c>
      <c r="B2618" s="69"/>
      <c r="C2618" s="70" t="s">
        <v>2635</v>
      </c>
      <c r="D2618" s="71"/>
      <c r="E2618" s="72">
        <v>66091836</v>
      </c>
    </row>
    <row r="2619" spans="1:5">
      <c r="A2619" s="66" t="s">
        <v>2535</v>
      </c>
      <c r="B2619" s="42"/>
      <c r="C2619" s="63" t="s">
        <v>2636</v>
      </c>
      <c r="D2619" s="62"/>
      <c r="E2619" s="64">
        <v>64840909</v>
      </c>
    </row>
    <row r="2620" spans="1:5">
      <c r="A2620" s="68" t="s">
        <v>2535</v>
      </c>
      <c r="B2620" s="69"/>
      <c r="C2620" s="70" t="s">
        <v>2637</v>
      </c>
      <c r="D2620" s="71"/>
      <c r="E2620" s="72">
        <v>61759116</v>
      </c>
    </row>
    <row r="2621" spans="1:5">
      <c r="A2621" s="66" t="s">
        <v>2535</v>
      </c>
      <c r="B2621" s="42"/>
      <c r="C2621" s="63" t="s">
        <v>2638</v>
      </c>
      <c r="D2621" s="62"/>
      <c r="E2621" s="64">
        <v>69684118</v>
      </c>
    </row>
    <row r="2622" spans="1:5">
      <c r="A2622" s="68" t="s">
        <v>2535</v>
      </c>
      <c r="B2622" s="69"/>
      <c r="C2622" s="70" t="s">
        <v>2639</v>
      </c>
      <c r="D2622" s="71"/>
      <c r="E2622" s="72">
        <v>66232232</v>
      </c>
    </row>
    <row r="2623" spans="1:5">
      <c r="A2623" s="66" t="s">
        <v>2535</v>
      </c>
      <c r="B2623" s="42"/>
      <c r="C2623" s="63" t="s">
        <v>2640</v>
      </c>
      <c r="D2623" s="62"/>
      <c r="E2623" s="64">
        <v>7715179</v>
      </c>
    </row>
    <row r="2624" spans="1:5">
      <c r="A2624" s="68" t="s">
        <v>2535</v>
      </c>
      <c r="B2624" s="69"/>
      <c r="C2624" s="70" t="s">
        <v>2641</v>
      </c>
      <c r="D2624" s="71"/>
      <c r="E2624" s="72">
        <v>64983554</v>
      </c>
    </row>
    <row r="2625" spans="1:5">
      <c r="A2625" s="66" t="s">
        <v>2535</v>
      </c>
      <c r="B2625" s="42"/>
      <c r="C2625" s="63" t="s">
        <v>2642</v>
      </c>
      <c r="D2625" s="62"/>
      <c r="E2625" s="65">
        <v>7730500</v>
      </c>
    </row>
    <row r="2626" spans="1:5">
      <c r="A2626" s="68" t="s">
        <v>2535</v>
      </c>
      <c r="B2626" s="69"/>
      <c r="C2626" s="70" t="s">
        <v>2643</v>
      </c>
      <c r="D2626" s="71"/>
      <c r="E2626" s="72">
        <v>68096251</v>
      </c>
    </row>
    <row r="2627" spans="1:5">
      <c r="A2627" s="66" t="s">
        <v>2535</v>
      </c>
      <c r="B2627" s="42"/>
      <c r="C2627" s="63" t="s">
        <v>2644</v>
      </c>
      <c r="D2627" s="62"/>
      <c r="E2627" s="64">
        <v>62257871</v>
      </c>
    </row>
    <row r="2628" spans="1:5">
      <c r="A2628" s="68" t="s">
        <v>2535</v>
      </c>
      <c r="B2628" s="69"/>
      <c r="C2628" s="70" t="s">
        <v>2645</v>
      </c>
      <c r="D2628" s="71"/>
      <c r="E2628" s="72">
        <v>67972877</v>
      </c>
    </row>
    <row r="2629" spans="1:5">
      <c r="A2629" s="66" t="s">
        <v>2535</v>
      </c>
      <c r="B2629" s="42"/>
      <c r="C2629" s="63" t="s">
        <v>2646</v>
      </c>
      <c r="D2629" s="62"/>
      <c r="E2629" s="64">
        <v>64157151</v>
      </c>
    </row>
    <row r="2630" spans="1:5">
      <c r="A2630" s="68" t="s">
        <v>2535</v>
      </c>
      <c r="B2630" s="69"/>
      <c r="C2630" s="70" t="s">
        <v>2647</v>
      </c>
      <c r="D2630" s="71"/>
      <c r="E2630" s="72">
        <v>65604336</v>
      </c>
    </row>
    <row r="2631" spans="1:5">
      <c r="A2631" s="66" t="s">
        <v>2535</v>
      </c>
      <c r="B2631" s="42"/>
      <c r="C2631" s="63" t="s">
        <v>2648</v>
      </c>
      <c r="D2631" s="62"/>
      <c r="E2631" s="64">
        <v>68332196</v>
      </c>
    </row>
    <row r="2632" spans="1:5">
      <c r="A2632" s="68" t="s">
        <v>2535</v>
      </c>
      <c r="B2632" s="69"/>
      <c r="C2632" s="70" t="s">
        <v>2649</v>
      </c>
      <c r="D2632" s="71"/>
      <c r="E2632" s="72">
        <v>68024745</v>
      </c>
    </row>
    <row r="2633" spans="1:5">
      <c r="A2633" s="66" t="s">
        <v>2535</v>
      </c>
      <c r="B2633" s="42"/>
      <c r="C2633" s="63" t="s">
        <v>2650</v>
      </c>
      <c r="D2633" s="62"/>
      <c r="E2633" s="64">
        <v>62814089</v>
      </c>
    </row>
    <row r="2634" spans="1:5">
      <c r="A2634" s="68" t="s">
        <v>2535</v>
      </c>
      <c r="B2634" s="69"/>
      <c r="C2634" s="70" t="s">
        <v>2651</v>
      </c>
      <c r="D2634" s="71"/>
      <c r="E2634" s="72">
        <v>63042768</v>
      </c>
    </row>
    <row r="2635" spans="1:5">
      <c r="A2635" s="66" t="s">
        <v>2535</v>
      </c>
      <c r="B2635" s="42"/>
      <c r="C2635" s="63" t="s">
        <v>2652</v>
      </c>
      <c r="D2635" s="62"/>
      <c r="E2635" s="64">
        <v>68251165</v>
      </c>
    </row>
    <row r="2636" spans="1:5">
      <c r="A2636" s="68" t="s">
        <v>2535</v>
      </c>
      <c r="B2636" s="69"/>
      <c r="C2636" s="70" t="s">
        <v>2653</v>
      </c>
      <c r="D2636" s="71"/>
      <c r="E2636" s="72">
        <v>7758845</v>
      </c>
    </row>
    <row r="2637" spans="1:5">
      <c r="A2637" s="66" t="s">
        <v>2535</v>
      </c>
      <c r="B2637" s="42"/>
      <c r="C2637" s="63" t="s">
        <v>2654</v>
      </c>
      <c r="D2637" s="62"/>
      <c r="E2637" s="64">
        <v>66436659</v>
      </c>
    </row>
    <row r="2638" spans="1:5">
      <c r="A2638" s="68" t="s">
        <v>2535</v>
      </c>
      <c r="B2638" s="69"/>
      <c r="C2638" s="70" t="s">
        <v>2655</v>
      </c>
      <c r="D2638" s="71"/>
      <c r="E2638" s="72">
        <v>67923347</v>
      </c>
    </row>
    <row r="2639" spans="1:5">
      <c r="A2639" s="66" t="s">
        <v>2535</v>
      </c>
      <c r="B2639" s="42"/>
      <c r="C2639" s="63" t="s">
        <v>2656</v>
      </c>
      <c r="D2639" s="62"/>
      <c r="E2639" s="64">
        <v>68168454</v>
      </c>
    </row>
    <row r="2640" spans="1:5">
      <c r="A2640" s="68" t="s">
        <v>2535</v>
      </c>
      <c r="B2640" s="69"/>
      <c r="C2640" s="70" t="s">
        <v>2657</v>
      </c>
      <c r="D2640" s="71"/>
      <c r="E2640" s="72">
        <v>68865930</v>
      </c>
    </row>
    <row r="2641" spans="1:5">
      <c r="A2641" s="66" t="s">
        <v>2535</v>
      </c>
      <c r="B2641" s="42"/>
      <c r="C2641" s="63" t="s">
        <v>2658</v>
      </c>
      <c r="D2641" s="62"/>
      <c r="E2641" s="64">
        <v>67245596</v>
      </c>
    </row>
    <row r="2642" spans="1:5">
      <c r="A2642" s="68" t="s">
        <v>2535</v>
      </c>
      <c r="B2642" s="69"/>
      <c r="C2642" s="70" t="s">
        <v>2659</v>
      </c>
      <c r="D2642" s="71"/>
      <c r="E2642" s="72">
        <v>68756868</v>
      </c>
    </row>
    <row r="2643" spans="1:5">
      <c r="A2643" s="66" t="s">
        <v>2535</v>
      </c>
      <c r="B2643" s="42"/>
      <c r="C2643" s="63" t="s">
        <v>2660</v>
      </c>
      <c r="D2643" s="62"/>
      <c r="E2643" s="64">
        <v>66912171</v>
      </c>
    </row>
    <row r="2644" spans="1:5">
      <c r="A2644" s="68" t="s">
        <v>2535</v>
      </c>
      <c r="B2644" s="69"/>
      <c r="C2644" s="70" t="s">
        <v>2661</v>
      </c>
      <c r="D2644" s="71"/>
      <c r="E2644" s="72">
        <v>66059097</v>
      </c>
    </row>
    <row r="2645" spans="1:5">
      <c r="A2645" s="66" t="s">
        <v>2535</v>
      </c>
      <c r="B2645" s="42"/>
      <c r="C2645" s="63" t="s">
        <v>2662</v>
      </c>
      <c r="D2645" s="62"/>
      <c r="E2645" s="64">
        <v>63206831</v>
      </c>
    </row>
    <row r="2646" spans="1:5">
      <c r="A2646" s="68" t="s">
        <v>2535</v>
      </c>
      <c r="B2646" s="69"/>
      <c r="C2646" s="70" t="s">
        <v>2663</v>
      </c>
      <c r="D2646" s="71"/>
      <c r="E2646" s="72">
        <v>68282568</v>
      </c>
    </row>
    <row r="2647" spans="1:5">
      <c r="A2647" s="66" t="s">
        <v>2535</v>
      </c>
      <c r="B2647" s="42"/>
      <c r="C2647" s="63" t="s">
        <v>2664</v>
      </c>
      <c r="D2647" s="62"/>
      <c r="E2647" s="64">
        <v>66324692</v>
      </c>
    </row>
    <row r="2648" spans="1:5">
      <c r="A2648" s="68" t="s">
        <v>2535</v>
      </c>
      <c r="B2648" s="69"/>
      <c r="C2648" s="70" t="s">
        <v>2665</v>
      </c>
      <c r="D2648" s="71"/>
      <c r="E2648" s="72">
        <v>64309142</v>
      </c>
    </row>
    <row r="2649" spans="1:5">
      <c r="A2649" s="66" t="s">
        <v>2535</v>
      </c>
      <c r="B2649" s="42"/>
      <c r="C2649" s="63" t="s">
        <v>2666</v>
      </c>
      <c r="D2649" s="62"/>
      <c r="E2649" s="64">
        <v>7224490</v>
      </c>
    </row>
    <row r="2650" spans="1:5">
      <c r="A2650" s="68" t="s">
        <v>2535</v>
      </c>
      <c r="B2650" s="69"/>
      <c r="C2650" s="70" t="s">
        <v>2667</v>
      </c>
      <c r="D2650" s="71"/>
      <c r="E2650" s="72">
        <v>64612970</v>
      </c>
    </row>
    <row r="2651" spans="1:5">
      <c r="A2651" s="66" t="s">
        <v>2535</v>
      </c>
      <c r="B2651" s="42"/>
      <c r="C2651" s="63" t="s">
        <v>2668</v>
      </c>
      <c r="D2651" s="62"/>
      <c r="E2651" s="64">
        <v>64077522</v>
      </c>
    </row>
    <row r="2652" spans="1:5">
      <c r="A2652" s="68" t="s">
        <v>2535</v>
      </c>
      <c r="B2652" s="69"/>
      <c r="C2652" s="70" t="s">
        <v>2669</v>
      </c>
      <c r="D2652" s="71"/>
      <c r="E2652" s="72">
        <v>69910605</v>
      </c>
    </row>
    <row r="2653" spans="1:5">
      <c r="A2653" s="66" t="s">
        <v>2535</v>
      </c>
      <c r="B2653" s="42"/>
      <c r="C2653" s="63" t="s">
        <v>2670</v>
      </c>
      <c r="D2653" s="62"/>
      <c r="E2653" s="64">
        <v>68689564</v>
      </c>
    </row>
    <row r="2654" spans="1:5">
      <c r="A2654" s="68" t="s">
        <v>2535</v>
      </c>
      <c r="B2654" s="69"/>
      <c r="C2654" s="70" t="s">
        <v>2671</v>
      </c>
      <c r="D2654" s="71"/>
      <c r="E2654" s="72">
        <v>63873280</v>
      </c>
    </row>
    <row r="2655" spans="1:5">
      <c r="A2655" s="66" t="s">
        <v>2535</v>
      </c>
      <c r="B2655" s="42"/>
      <c r="C2655" s="63" t="s">
        <v>2672</v>
      </c>
      <c r="D2655" s="62"/>
      <c r="E2655" s="64">
        <v>62323690</v>
      </c>
    </row>
    <row r="2656" spans="1:5">
      <c r="A2656" s="68" t="s">
        <v>2535</v>
      </c>
      <c r="B2656" s="69"/>
      <c r="C2656" s="70" t="s">
        <v>2673</v>
      </c>
      <c r="D2656" s="71"/>
      <c r="E2656" s="72">
        <v>68426148</v>
      </c>
    </row>
    <row r="2657" spans="1:5">
      <c r="A2657" s="66" t="s">
        <v>2535</v>
      </c>
      <c r="B2657" s="42"/>
      <c r="C2657" s="63" t="s">
        <v>2674</v>
      </c>
      <c r="D2657" s="62"/>
      <c r="E2657" s="64">
        <v>66243696</v>
      </c>
    </row>
    <row r="2658" spans="1:5">
      <c r="A2658" s="68" t="s">
        <v>2535</v>
      </c>
      <c r="B2658" s="69"/>
      <c r="C2658" s="70" t="s">
        <v>2675</v>
      </c>
      <c r="D2658" s="71"/>
      <c r="E2658" s="72">
        <v>68676948</v>
      </c>
    </row>
    <row r="2659" spans="1:5">
      <c r="A2659" s="66" t="s">
        <v>2535</v>
      </c>
      <c r="B2659" s="42"/>
      <c r="C2659" s="63" t="s">
        <v>2676</v>
      </c>
      <c r="D2659" s="62"/>
      <c r="E2659" s="64">
        <v>65809144</v>
      </c>
    </row>
    <row r="2660" spans="1:5">
      <c r="A2660" s="68" t="s">
        <v>2535</v>
      </c>
      <c r="B2660" s="69"/>
      <c r="C2660" s="70" t="s">
        <v>2677</v>
      </c>
      <c r="D2660" s="71"/>
      <c r="E2660" s="72">
        <v>69754512</v>
      </c>
    </row>
    <row r="2661" spans="1:5">
      <c r="A2661" s="66" t="s">
        <v>2535</v>
      </c>
      <c r="B2661" s="42"/>
      <c r="C2661" s="63" t="s">
        <v>2678</v>
      </c>
      <c r="D2661" s="62"/>
      <c r="E2661" s="64">
        <v>65837244</v>
      </c>
    </row>
    <row r="2662" spans="1:5">
      <c r="A2662" s="68" t="s">
        <v>2535</v>
      </c>
      <c r="B2662" s="69"/>
      <c r="C2662" s="70" t="s">
        <v>2679</v>
      </c>
      <c r="D2662" s="71"/>
      <c r="E2662" s="72">
        <v>7758960</v>
      </c>
    </row>
    <row r="2663" spans="1:5">
      <c r="A2663" s="66" t="s">
        <v>2535</v>
      </c>
      <c r="B2663" s="42"/>
      <c r="C2663" s="63" t="s">
        <v>2680</v>
      </c>
      <c r="D2663" s="62"/>
      <c r="E2663" s="64">
        <v>7703578</v>
      </c>
    </row>
    <row r="2664" spans="1:5">
      <c r="A2664" s="68" t="s">
        <v>2535</v>
      </c>
      <c r="B2664" s="69"/>
      <c r="C2664" s="70" t="s">
        <v>2681</v>
      </c>
      <c r="D2664" s="71"/>
      <c r="E2664" s="72">
        <v>69519171</v>
      </c>
    </row>
    <row r="2665" spans="1:5">
      <c r="A2665" s="66" t="s">
        <v>2535</v>
      </c>
      <c r="B2665" s="42"/>
      <c r="C2665" s="63" t="s">
        <v>2682</v>
      </c>
      <c r="D2665" s="62"/>
      <c r="E2665" s="64">
        <v>64034108</v>
      </c>
    </row>
    <row r="2666" spans="1:5">
      <c r="A2666" s="68" t="s">
        <v>2535</v>
      </c>
      <c r="B2666" s="69"/>
      <c r="C2666" s="70" t="s">
        <v>2683</v>
      </c>
      <c r="D2666" s="71"/>
      <c r="E2666" s="72">
        <v>66573405</v>
      </c>
    </row>
    <row r="2667" spans="1:5">
      <c r="A2667" s="66" t="s">
        <v>2535</v>
      </c>
      <c r="B2667" s="42"/>
      <c r="C2667" s="63" t="s">
        <v>2684</v>
      </c>
      <c r="D2667" s="62"/>
      <c r="E2667" s="64">
        <v>66352242</v>
      </c>
    </row>
    <row r="2668" spans="1:5">
      <c r="A2668" s="68" t="s">
        <v>2535</v>
      </c>
      <c r="B2668" s="69"/>
      <c r="C2668" s="70" t="s">
        <v>2685</v>
      </c>
      <c r="D2668" s="71"/>
      <c r="E2668" s="72">
        <v>65586804</v>
      </c>
    </row>
    <row r="2669" spans="1:5">
      <c r="A2669" s="66" t="s">
        <v>2535</v>
      </c>
      <c r="B2669" s="42"/>
      <c r="C2669" s="63" t="s">
        <v>2686</v>
      </c>
      <c r="D2669" s="62"/>
      <c r="E2669" s="64">
        <v>69110082</v>
      </c>
    </row>
    <row r="2670" spans="1:5">
      <c r="A2670" s="68" t="s">
        <v>2535</v>
      </c>
      <c r="B2670" s="69"/>
      <c r="C2670" s="70" t="s">
        <v>2687</v>
      </c>
      <c r="D2670" s="71"/>
      <c r="E2670" s="72">
        <v>61982498</v>
      </c>
    </row>
    <row r="2671" spans="1:5">
      <c r="A2671" s="66" t="s">
        <v>2535</v>
      </c>
      <c r="B2671" s="42"/>
      <c r="C2671" s="63" t="s">
        <v>2688</v>
      </c>
      <c r="D2671" s="62"/>
      <c r="E2671" s="64">
        <v>68850436</v>
      </c>
    </row>
    <row r="2672" spans="1:5">
      <c r="A2672" s="68" t="s">
        <v>2535</v>
      </c>
      <c r="B2672" s="69"/>
      <c r="C2672" s="70" t="s">
        <v>2689</v>
      </c>
      <c r="D2672" s="71"/>
      <c r="E2672" s="72">
        <v>65530040</v>
      </c>
    </row>
    <row r="2673" spans="1:5">
      <c r="A2673" s="66" t="s">
        <v>2535</v>
      </c>
      <c r="B2673" s="42"/>
      <c r="C2673" s="63" t="s">
        <v>2690</v>
      </c>
      <c r="D2673" s="62"/>
      <c r="E2673" s="64">
        <v>65802538</v>
      </c>
    </row>
    <row r="2674" spans="1:5">
      <c r="A2674" s="68" t="s">
        <v>2535</v>
      </c>
      <c r="B2674" s="69"/>
      <c r="C2674" s="70" t="s">
        <v>2691</v>
      </c>
      <c r="D2674" s="71"/>
      <c r="E2674" s="72">
        <v>67205298</v>
      </c>
    </row>
    <row r="2675" spans="1:5">
      <c r="A2675" s="66" t="s">
        <v>2535</v>
      </c>
      <c r="B2675" s="42"/>
      <c r="C2675" s="63" t="s">
        <v>2692</v>
      </c>
      <c r="D2675" s="62"/>
      <c r="E2675" s="64">
        <v>7746924</v>
      </c>
    </row>
    <row r="2676" spans="1:5">
      <c r="A2676" s="68" t="s">
        <v>2535</v>
      </c>
      <c r="B2676" s="69"/>
      <c r="C2676" s="70" t="s">
        <v>2693</v>
      </c>
      <c r="D2676" s="71"/>
      <c r="E2676" s="72">
        <v>64924696</v>
      </c>
    </row>
    <row r="2677" spans="1:5">
      <c r="A2677" s="66" t="s">
        <v>2535</v>
      </c>
      <c r="B2677" s="42"/>
      <c r="C2677" s="63" t="s">
        <v>2694</v>
      </c>
      <c r="D2677" s="62"/>
      <c r="E2677" s="64">
        <v>68642598</v>
      </c>
    </row>
    <row r="2678" spans="1:5">
      <c r="A2678" s="68" t="s">
        <v>2535</v>
      </c>
      <c r="B2678" s="69"/>
      <c r="C2678" s="70" t="s">
        <v>2695</v>
      </c>
      <c r="D2678" s="71"/>
      <c r="E2678" s="72">
        <v>6907170</v>
      </c>
    </row>
    <row r="2679" spans="1:5">
      <c r="A2679" s="66" t="s">
        <v>2535</v>
      </c>
      <c r="B2679" s="42"/>
      <c r="C2679" s="63" t="s">
        <v>2696</v>
      </c>
      <c r="D2679" s="62"/>
      <c r="E2679" s="64">
        <v>66019498</v>
      </c>
    </row>
    <row r="2680" spans="1:5">
      <c r="A2680" s="68" t="s">
        <v>2535</v>
      </c>
      <c r="B2680" s="69"/>
      <c r="C2680" s="70" t="s">
        <v>2697</v>
      </c>
      <c r="D2680" s="71"/>
      <c r="E2680" s="72">
        <v>64928082</v>
      </c>
    </row>
    <row r="2681" spans="1:5">
      <c r="A2681" s="66" t="s">
        <v>2535</v>
      </c>
      <c r="B2681" s="42"/>
      <c r="C2681" s="63" t="s">
        <v>2698</v>
      </c>
      <c r="D2681" s="62"/>
      <c r="E2681" s="64">
        <v>64098188</v>
      </c>
    </row>
    <row r="2682" spans="1:5">
      <c r="A2682" s="68" t="s">
        <v>2535</v>
      </c>
      <c r="B2682" s="69"/>
      <c r="C2682" s="70" t="s">
        <v>2699</v>
      </c>
      <c r="D2682" s="71"/>
      <c r="E2682" s="72">
        <v>63457985</v>
      </c>
    </row>
    <row r="2683" spans="1:5">
      <c r="A2683" s="66" t="s">
        <v>2535</v>
      </c>
      <c r="B2683" s="42"/>
      <c r="C2683" s="63" t="s">
        <v>2700</v>
      </c>
      <c r="D2683" s="62"/>
      <c r="E2683" s="64">
        <v>65963197</v>
      </c>
    </row>
    <row r="2684" spans="1:5">
      <c r="A2684" s="68" t="s">
        <v>2535</v>
      </c>
      <c r="B2684" s="69"/>
      <c r="C2684" s="70" t="s">
        <v>2701</v>
      </c>
      <c r="D2684" s="71"/>
      <c r="E2684" s="72">
        <v>69527459</v>
      </c>
    </row>
    <row r="2685" spans="1:5">
      <c r="A2685" s="66" t="s">
        <v>2535</v>
      </c>
      <c r="B2685" s="42"/>
      <c r="C2685" s="63" t="s">
        <v>2702</v>
      </c>
      <c r="D2685" s="62"/>
      <c r="E2685" s="64">
        <v>69043827</v>
      </c>
    </row>
    <row r="2686" spans="1:5">
      <c r="A2686" s="68" t="s">
        <v>2535</v>
      </c>
      <c r="B2686" s="69"/>
      <c r="C2686" s="70" t="s">
        <v>2703</v>
      </c>
      <c r="D2686" s="71"/>
      <c r="E2686" s="72">
        <v>69489271</v>
      </c>
    </row>
    <row r="2687" spans="1:5">
      <c r="A2687" s="66" t="s">
        <v>2535</v>
      </c>
      <c r="B2687" s="42"/>
      <c r="C2687" s="63" t="s">
        <v>2704</v>
      </c>
      <c r="D2687" s="62"/>
      <c r="E2687" s="64">
        <v>65314236</v>
      </c>
    </row>
    <row r="2688" spans="1:5">
      <c r="A2688" s="68" t="s">
        <v>2535</v>
      </c>
      <c r="B2688" s="69"/>
      <c r="C2688" s="70" t="s">
        <v>2705</v>
      </c>
      <c r="D2688" s="71"/>
      <c r="E2688" s="72">
        <v>66264052</v>
      </c>
    </row>
    <row r="2689" spans="1:5">
      <c r="A2689" s="66" t="s">
        <v>2535</v>
      </c>
      <c r="B2689" s="42"/>
      <c r="C2689" s="63" t="s">
        <v>2706</v>
      </c>
      <c r="D2689" s="62"/>
      <c r="E2689" s="64">
        <v>66861515</v>
      </c>
    </row>
    <row r="2690" spans="1:5">
      <c r="A2690" s="68" t="s">
        <v>2535</v>
      </c>
      <c r="B2690" s="69"/>
      <c r="C2690" s="70" t="s">
        <v>2707</v>
      </c>
      <c r="D2690" s="71"/>
      <c r="E2690" s="72">
        <v>67818129</v>
      </c>
    </row>
    <row r="2691" spans="1:5">
      <c r="A2691" s="66" t="s">
        <v>2535</v>
      </c>
      <c r="B2691" s="42"/>
      <c r="C2691" s="63" t="s">
        <v>2708</v>
      </c>
      <c r="D2691" s="62"/>
      <c r="E2691" s="64">
        <v>65095888</v>
      </c>
    </row>
    <row r="2692" spans="1:5">
      <c r="A2692" s="68" t="s">
        <v>2535</v>
      </c>
      <c r="B2692" s="69"/>
      <c r="C2692" s="70" t="s">
        <v>2709</v>
      </c>
      <c r="D2692" s="71"/>
      <c r="E2692" s="72">
        <v>64273817</v>
      </c>
    </row>
    <row r="2693" spans="1:5">
      <c r="A2693" s="66" t="s">
        <v>2535</v>
      </c>
      <c r="B2693" s="42"/>
      <c r="C2693" s="63" t="s">
        <v>2710</v>
      </c>
      <c r="D2693" s="62"/>
      <c r="E2693" s="64">
        <v>69663373</v>
      </c>
    </row>
    <row r="2694" spans="1:5">
      <c r="A2694" s="68" t="s">
        <v>2535</v>
      </c>
      <c r="B2694" s="69"/>
      <c r="C2694" s="70" t="s">
        <v>2711</v>
      </c>
      <c r="D2694" s="71"/>
      <c r="E2694" s="72">
        <v>66632421</v>
      </c>
    </row>
    <row r="2695" spans="1:5">
      <c r="A2695" s="66" t="s">
        <v>2535</v>
      </c>
      <c r="B2695" s="42"/>
      <c r="C2695" s="63" t="s">
        <v>2712</v>
      </c>
      <c r="D2695" s="62"/>
      <c r="E2695" s="64">
        <v>65115038</v>
      </c>
    </row>
    <row r="2696" spans="1:5">
      <c r="A2696" s="68" t="s">
        <v>2535</v>
      </c>
      <c r="B2696" s="69"/>
      <c r="C2696" s="70" t="s">
        <v>2713</v>
      </c>
      <c r="D2696" s="71"/>
      <c r="E2696" s="72">
        <v>66449056</v>
      </c>
    </row>
    <row r="2697" spans="1:5">
      <c r="A2697" s="66" t="s">
        <v>2535</v>
      </c>
      <c r="B2697" s="42"/>
      <c r="C2697" s="63" t="s">
        <v>2714</v>
      </c>
      <c r="D2697" s="62"/>
      <c r="E2697" s="64">
        <v>65348826</v>
      </c>
    </row>
    <row r="2698" spans="1:5">
      <c r="A2698" s="68" t="s">
        <v>2535</v>
      </c>
      <c r="B2698" s="69"/>
      <c r="C2698" s="70" t="s">
        <v>2715</v>
      </c>
      <c r="D2698" s="71"/>
      <c r="E2698" s="72">
        <v>65037127</v>
      </c>
    </row>
    <row r="2699" spans="1:5">
      <c r="A2699" s="66" t="s">
        <v>2535</v>
      </c>
      <c r="B2699" s="42"/>
      <c r="C2699" s="63" t="s">
        <v>2716</v>
      </c>
      <c r="D2699" s="62"/>
      <c r="E2699" s="64">
        <v>66927116</v>
      </c>
    </row>
    <row r="2700" spans="1:5">
      <c r="A2700" s="68" t="s">
        <v>2535</v>
      </c>
      <c r="B2700" s="69"/>
      <c r="C2700" s="70" t="s">
        <v>2717</v>
      </c>
      <c r="D2700" s="71"/>
      <c r="E2700" s="72">
        <v>61842452</v>
      </c>
    </row>
    <row r="2701" spans="1:5">
      <c r="A2701" s="66" t="s">
        <v>2535</v>
      </c>
      <c r="B2701" s="42"/>
      <c r="C2701" s="63" t="s">
        <v>2718</v>
      </c>
      <c r="D2701" s="62"/>
      <c r="E2701" s="64">
        <v>64499723</v>
      </c>
    </row>
    <row r="2702" spans="1:5">
      <c r="A2702" s="68" t="s">
        <v>2535</v>
      </c>
      <c r="B2702" s="69"/>
      <c r="C2702" s="70" t="s">
        <v>2719</v>
      </c>
      <c r="D2702" s="71"/>
      <c r="E2702" s="72">
        <v>66950940</v>
      </c>
    </row>
    <row r="2703" spans="1:5">
      <c r="A2703" s="66" t="s">
        <v>2535</v>
      </c>
      <c r="B2703" s="42"/>
      <c r="C2703" s="63" t="s">
        <v>2720</v>
      </c>
      <c r="D2703" s="62"/>
      <c r="E2703" s="64">
        <v>62399983</v>
      </c>
    </row>
    <row r="2704" spans="1:5">
      <c r="A2704" s="68" t="s">
        <v>2535</v>
      </c>
      <c r="B2704" s="69"/>
      <c r="C2704" s="70" t="s">
        <v>2721</v>
      </c>
      <c r="D2704" s="71"/>
      <c r="E2704" s="72">
        <v>7875803</v>
      </c>
    </row>
    <row r="2705" spans="1:5">
      <c r="A2705" s="66" t="s">
        <v>2535</v>
      </c>
      <c r="B2705" s="42"/>
      <c r="C2705" s="63" t="s">
        <v>2722</v>
      </c>
      <c r="D2705" s="62"/>
      <c r="E2705" s="64">
        <v>60300449</v>
      </c>
    </row>
    <row r="2706" spans="1:5">
      <c r="A2706" s="68" t="s">
        <v>2535</v>
      </c>
      <c r="B2706" s="69"/>
      <c r="C2706" s="70" t="s">
        <v>2723</v>
      </c>
      <c r="D2706" s="71"/>
      <c r="E2706" s="72">
        <v>66189840</v>
      </c>
    </row>
    <row r="2707" spans="1:5">
      <c r="A2707" s="66" t="s">
        <v>2535</v>
      </c>
      <c r="B2707" s="42"/>
      <c r="C2707" s="63" t="s">
        <v>2724</v>
      </c>
      <c r="D2707" s="62"/>
      <c r="E2707" s="64">
        <v>7754850</v>
      </c>
    </row>
    <row r="2708" spans="1:5">
      <c r="A2708" s="68" t="s">
        <v>2535</v>
      </c>
      <c r="B2708" s="69"/>
      <c r="C2708" s="70" t="s">
        <v>2725</v>
      </c>
      <c r="D2708" s="71"/>
      <c r="E2708" s="72">
        <v>69972320</v>
      </c>
    </row>
    <row r="2709" spans="1:5">
      <c r="A2709" s="66" t="s">
        <v>2535</v>
      </c>
      <c r="B2709" s="42"/>
      <c r="C2709" s="63" t="s">
        <v>2726</v>
      </c>
      <c r="D2709" s="62"/>
      <c r="E2709" s="64">
        <v>60426003</v>
      </c>
    </row>
    <row r="2710" spans="1:5">
      <c r="A2710" s="68" t="s">
        <v>2535</v>
      </c>
      <c r="B2710" s="69"/>
      <c r="C2710" s="70" t="s">
        <v>2727</v>
      </c>
      <c r="D2710" s="71"/>
      <c r="E2710" s="72">
        <v>61134120</v>
      </c>
    </row>
    <row r="2711" spans="1:5">
      <c r="A2711" s="66" t="s">
        <v>2535</v>
      </c>
      <c r="B2711" s="42"/>
      <c r="C2711" s="63" t="s">
        <v>2728</v>
      </c>
      <c r="D2711" s="62"/>
      <c r="E2711" s="64">
        <v>64606379</v>
      </c>
    </row>
    <row r="2712" spans="1:5">
      <c r="A2712" s="68" t="s">
        <v>2535</v>
      </c>
      <c r="B2712" s="69"/>
      <c r="C2712" s="70" t="s">
        <v>2729</v>
      </c>
      <c r="D2712" s="71"/>
      <c r="E2712" s="72">
        <v>66262359</v>
      </c>
    </row>
    <row r="2713" spans="1:5">
      <c r="A2713" s="66" t="s">
        <v>2535</v>
      </c>
      <c r="B2713" s="42"/>
      <c r="C2713" s="63" t="s">
        <v>2730</v>
      </c>
      <c r="D2713" s="62"/>
      <c r="E2713" s="64">
        <v>66265106</v>
      </c>
    </row>
    <row r="2714" spans="1:5">
      <c r="A2714" s="68" t="s">
        <v>2535</v>
      </c>
      <c r="B2714" s="69"/>
      <c r="C2714" s="70" t="s">
        <v>2731</v>
      </c>
      <c r="D2714" s="71"/>
      <c r="E2714" s="72">
        <v>67617926</v>
      </c>
    </row>
    <row r="2715" spans="1:5">
      <c r="A2715" s="66" t="s">
        <v>2535</v>
      </c>
      <c r="B2715" s="42"/>
      <c r="C2715" s="63" t="s">
        <v>2732</v>
      </c>
      <c r="D2715" s="62"/>
      <c r="E2715" s="64">
        <v>64442415</v>
      </c>
    </row>
    <row r="2716" spans="1:5">
      <c r="A2716" s="68" t="s">
        <v>2535</v>
      </c>
      <c r="B2716" s="69"/>
      <c r="C2716" s="70" t="s">
        <v>2733</v>
      </c>
      <c r="D2716" s="71"/>
      <c r="E2716" s="72">
        <v>7703011</v>
      </c>
    </row>
    <row r="2717" spans="1:5">
      <c r="A2717" s="66" t="s">
        <v>2535</v>
      </c>
      <c r="B2717" s="42"/>
      <c r="C2717" s="63" t="s">
        <v>2734</v>
      </c>
      <c r="D2717" s="62"/>
      <c r="E2717" s="64">
        <v>66563941</v>
      </c>
    </row>
    <row r="2718" spans="1:5">
      <c r="A2718" s="68" t="s">
        <v>2535</v>
      </c>
      <c r="B2718" s="69"/>
      <c r="C2718" s="70" t="s">
        <v>2735</v>
      </c>
      <c r="D2718" s="71"/>
      <c r="E2718" s="72">
        <v>67660867</v>
      </c>
    </row>
    <row r="2719" spans="1:5">
      <c r="A2719" s="66" t="s">
        <v>2535</v>
      </c>
      <c r="B2719" s="42"/>
      <c r="C2719" s="63" t="s">
        <v>2736</v>
      </c>
      <c r="D2719" s="62"/>
      <c r="E2719" s="64">
        <v>66262035</v>
      </c>
    </row>
    <row r="2720" spans="1:5">
      <c r="A2720" s="68" t="s">
        <v>2535</v>
      </c>
      <c r="B2720" s="69"/>
      <c r="C2720" s="70" t="s">
        <v>2737</v>
      </c>
      <c r="D2720" s="71"/>
      <c r="E2720" s="72">
        <v>64689653</v>
      </c>
    </row>
    <row r="2721" spans="1:5">
      <c r="A2721" s="66" t="s">
        <v>2535</v>
      </c>
      <c r="B2721" s="42"/>
      <c r="C2721" s="63" t="s">
        <v>2738</v>
      </c>
      <c r="D2721" s="62"/>
      <c r="E2721" s="64">
        <v>63989985</v>
      </c>
    </row>
    <row r="2722" spans="1:5">
      <c r="A2722" s="68" t="s">
        <v>2535</v>
      </c>
      <c r="B2722" s="69"/>
      <c r="C2722" s="70" t="s">
        <v>2739</v>
      </c>
      <c r="D2722" s="71"/>
      <c r="E2722" s="72">
        <v>61668344</v>
      </c>
    </row>
    <row r="2723" spans="1:5">
      <c r="A2723" s="66" t="s">
        <v>2535</v>
      </c>
      <c r="B2723" s="42"/>
      <c r="C2723" s="63" t="s">
        <v>2740</v>
      </c>
      <c r="D2723" s="62"/>
      <c r="E2723" s="64">
        <v>7303996</v>
      </c>
    </row>
    <row r="2724" spans="1:5">
      <c r="A2724" s="68" t="s">
        <v>2535</v>
      </c>
      <c r="B2724" s="69"/>
      <c r="C2724" s="70" t="s">
        <v>2741</v>
      </c>
      <c r="D2724" s="71"/>
      <c r="E2724" s="72">
        <v>67894590</v>
      </c>
    </row>
    <row r="2725" spans="1:5">
      <c r="A2725" s="66" t="s">
        <v>2535</v>
      </c>
      <c r="B2725" s="42"/>
      <c r="C2725" s="63" t="s">
        <v>2742</v>
      </c>
      <c r="D2725" s="62"/>
      <c r="E2725" s="64">
        <v>65834517</v>
      </c>
    </row>
    <row r="2726" spans="1:5">
      <c r="A2726" s="68" t="s">
        <v>2535</v>
      </c>
      <c r="B2726" s="69"/>
      <c r="C2726" s="70" t="s">
        <v>2743</v>
      </c>
      <c r="D2726" s="71"/>
      <c r="E2726" s="72">
        <v>62805309</v>
      </c>
    </row>
    <row r="2727" spans="1:5">
      <c r="A2727" s="66" t="s">
        <v>2535</v>
      </c>
      <c r="B2727" s="42"/>
      <c r="C2727" s="63" t="s">
        <v>2744</v>
      </c>
      <c r="D2727" s="62"/>
      <c r="E2727" s="64">
        <v>69454011</v>
      </c>
    </row>
    <row r="2728" spans="1:5">
      <c r="A2728" s="68" t="s">
        <v>2535</v>
      </c>
      <c r="B2728" s="69"/>
      <c r="C2728" s="70" t="s">
        <v>2745</v>
      </c>
      <c r="D2728" s="71"/>
      <c r="E2728" s="72">
        <v>62927711</v>
      </c>
    </row>
    <row r="2729" spans="1:5">
      <c r="A2729" s="66" t="s">
        <v>2535</v>
      </c>
      <c r="B2729" s="42"/>
      <c r="C2729" s="63" t="s">
        <v>2746</v>
      </c>
      <c r="D2729" s="62"/>
      <c r="E2729" s="65">
        <v>66234860</v>
      </c>
    </row>
    <row r="2730" spans="1:5">
      <c r="A2730" s="68" t="s">
        <v>2535</v>
      </c>
      <c r="B2730" s="69"/>
      <c r="C2730" s="70" t="s">
        <v>2747</v>
      </c>
      <c r="D2730" s="71"/>
      <c r="E2730" s="72">
        <v>65079662</v>
      </c>
    </row>
    <row r="2731" spans="1:5">
      <c r="A2731" s="66" t="s">
        <v>2535</v>
      </c>
      <c r="B2731" s="42"/>
      <c r="C2731" s="63" t="s">
        <v>2748</v>
      </c>
      <c r="D2731" s="62"/>
      <c r="E2731" s="64">
        <v>7729231</v>
      </c>
    </row>
    <row r="2732" spans="1:5">
      <c r="A2732" s="68" t="s">
        <v>2535</v>
      </c>
      <c r="B2732" s="69"/>
      <c r="C2732" s="70" t="s">
        <v>2749</v>
      </c>
      <c r="D2732" s="71"/>
      <c r="E2732" s="72">
        <v>67935104</v>
      </c>
    </row>
    <row r="2733" spans="1:5">
      <c r="A2733" s="66" t="s">
        <v>2535</v>
      </c>
      <c r="B2733" s="42"/>
      <c r="C2733" s="63" t="s">
        <v>2750</v>
      </c>
      <c r="D2733" s="62"/>
      <c r="E2733" s="64">
        <v>68550989</v>
      </c>
    </row>
    <row r="2734" spans="1:5">
      <c r="A2734" s="68" t="s">
        <v>2535</v>
      </c>
      <c r="B2734" s="69"/>
      <c r="C2734" s="70" t="s">
        <v>2751</v>
      </c>
      <c r="D2734" s="71"/>
      <c r="E2734" s="72">
        <v>66869567</v>
      </c>
    </row>
    <row r="2735" spans="1:5">
      <c r="A2735" s="66" t="s">
        <v>2535</v>
      </c>
      <c r="B2735" s="42"/>
      <c r="C2735" s="63" t="s">
        <v>2752</v>
      </c>
      <c r="D2735" s="62"/>
      <c r="E2735" s="64">
        <v>64315204</v>
      </c>
    </row>
    <row r="2736" spans="1:5">
      <c r="A2736" s="68" t="s">
        <v>2535</v>
      </c>
      <c r="B2736" s="69"/>
      <c r="C2736" s="70" t="s">
        <v>2753</v>
      </c>
      <c r="D2736" s="71"/>
      <c r="E2736" s="72">
        <v>62106130</v>
      </c>
    </row>
    <row r="2737" spans="1:5">
      <c r="A2737" s="66" t="s">
        <v>2535</v>
      </c>
      <c r="B2737" s="42"/>
      <c r="C2737" s="63" t="s">
        <v>2754</v>
      </c>
      <c r="D2737" s="62"/>
      <c r="E2737" s="64">
        <v>67654437</v>
      </c>
    </row>
    <row r="2738" spans="1:5">
      <c r="A2738" s="68" t="s">
        <v>2535</v>
      </c>
      <c r="B2738" s="69"/>
      <c r="C2738" s="70" t="s">
        <v>2755</v>
      </c>
      <c r="D2738" s="71"/>
      <c r="E2738" s="72">
        <v>7747957</v>
      </c>
    </row>
    <row r="2739" spans="1:5">
      <c r="A2739" s="66" t="s">
        <v>2535</v>
      </c>
      <c r="B2739" s="42"/>
      <c r="C2739" s="63" t="s">
        <v>2756</v>
      </c>
      <c r="D2739" s="62"/>
      <c r="E2739" s="64">
        <v>62683474</v>
      </c>
    </row>
    <row r="2740" spans="1:5">
      <c r="A2740" s="68" t="s">
        <v>2535</v>
      </c>
      <c r="B2740" s="69"/>
      <c r="C2740" s="70" t="s">
        <v>2757</v>
      </c>
      <c r="D2740" s="71"/>
      <c r="E2740" s="72">
        <v>65648259</v>
      </c>
    </row>
    <row r="2741" spans="1:5">
      <c r="A2741" s="66" t="s">
        <v>2535</v>
      </c>
      <c r="B2741" s="42"/>
      <c r="C2741" s="63" t="s">
        <v>2758</v>
      </c>
      <c r="D2741" s="62"/>
      <c r="E2741" s="64">
        <v>7748591</v>
      </c>
    </row>
    <row r="2742" spans="1:5">
      <c r="A2742" s="68" t="s">
        <v>2535</v>
      </c>
      <c r="B2742" s="69"/>
      <c r="C2742" s="70" t="s">
        <v>2759</v>
      </c>
      <c r="D2742" s="71"/>
      <c r="E2742" s="72">
        <v>64155476</v>
      </c>
    </row>
    <row r="2743" spans="1:5">
      <c r="A2743" s="66" t="s">
        <v>2535</v>
      </c>
      <c r="B2743" s="42"/>
      <c r="C2743" s="63" t="s">
        <v>2760</v>
      </c>
      <c r="D2743" s="62"/>
      <c r="E2743" s="64">
        <v>65579823</v>
      </c>
    </row>
    <row r="2744" spans="1:5">
      <c r="A2744" s="68" t="s">
        <v>2535</v>
      </c>
      <c r="B2744" s="69"/>
      <c r="C2744" s="70" t="s">
        <v>2761</v>
      </c>
      <c r="D2744" s="71"/>
      <c r="E2744" s="72">
        <v>64511407</v>
      </c>
    </row>
    <row r="2745" spans="1:5">
      <c r="A2745" s="66" t="s">
        <v>2535</v>
      </c>
      <c r="B2745" s="42"/>
      <c r="C2745" s="63" t="s">
        <v>2762</v>
      </c>
      <c r="D2745" s="62"/>
      <c r="E2745" s="64">
        <v>61111078</v>
      </c>
    </row>
    <row r="2746" spans="1:5">
      <c r="A2746" s="68" t="s">
        <v>2535</v>
      </c>
      <c r="B2746" s="69"/>
      <c r="C2746" s="70" t="s">
        <v>2763</v>
      </c>
      <c r="D2746" s="71"/>
      <c r="E2746" s="72">
        <v>64629908</v>
      </c>
    </row>
    <row r="2747" spans="1:5">
      <c r="A2747" s="66" t="s">
        <v>2535</v>
      </c>
      <c r="B2747" s="42"/>
      <c r="C2747" s="63" t="s">
        <v>2764</v>
      </c>
      <c r="D2747" s="62"/>
      <c r="E2747" s="64">
        <v>64697233</v>
      </c>
    </row>
    <row r="2748" spans="1:5">
      <c r="A2748" s="68" t="s">
        <v>2535</v>
      </c>
      <c r="B2748" s="69"/>
      <c r="C2748" s="70" t="s">
        <v>2765</v>
      </c>
      <c r="D2748" s="71"/>
      <c r="E2748" s="72">
        <v>62231028</v>
      </c>
    </row>
    <row r="2749" spans="1:5">
      <c r="A2749" s="66" t="s">
        <v>2535</v>
      </c>
      <c r="B2749" s="42"/>
      <c r="C2749" s="63" t="s">
        <v>2766</v>
      </c>
      <c r="D2749" s="62"/>
      <c r="E2749" s="64">
        <v>62951814</v>
      </c>
    </row>
    <row r="2750" spans="1:5">
      <c r="A2750" s="68" t="s">
        <v>2535</v>
      </c>
      <c r="B2750" s="69"/>
      <c r="C2750" s="70" t="s">
        <v>2767</v>
      </c>
      <c r="D2750" s="71"/>
      <c r="E2750" s="72">
        <v>68924792</v>
      </c>
    </row>
    <row r="2751" spans="1:5">
      <c r="A2751" s="66" t="s">
        <v>2535</v>
      </c>
      <c r="B2751" s="42"/>
      <c r="C2751" s="63" t="s">
        <v>2768</v>
      </c>
      <c r="D2751" s="62"/>
      <c r="E2751" s="64">
        <v>69214054</v>
      </c>
    </row>
    <row r="2752" spans="1:5">
      <c r="A2752" s="68" t="s">
        <v>2535</v>
      </c>
      <c r="B2752" s="69"/>
      <c r="C2752" s="70" t="s">
        <v>2769</v>
      </c>
      <c r="D2752" s="71"/>
      <c r="E2752" s="72">
        <v>62234037</v>
      </c>
    </row>
    <row r="2753" spans="1:5">
      <c r="A2753" s="66" t="s">
        <v>2535</v>
      </c>
      <c r="B2753" s="42"/>
      <c r="C2753" s="63" t="s">
        <v>2770</v>
      </c>
      <c r="D2753" s="62"/>
      <c r="E2753" s="64">
        <v>66016934</v>
      </c>
    </row>
    <row r="2754" spans="1:5">
      <c r="A2754" s="68" t="s">
        <v>2535</v>
      </c>
      <c r="B2754" s="69"/>
      <c r="C2754" s="70" t="s">
        <v>2771</v>
      </c>
      <c r="D2754" s="71"/>
      <c r="E2754" s="72">
        <v>68357313</v>
      </c>
    </row>
    <row r="2755" spans="1:5">
      <c r="A2755" s="66" t="s">
        <v>2535</v>
      </c>
      <c r="B2755" s="42"/>
      <c r="C2755" s="63" t="s">
        <v>2772</v>
      </c>
      <c r="D2755" s="62"/>
      <c r="E2755" s="64">
        <v>62375285</v>
      </c>
    </row>
    <row r="2756" spans="1:5">
      <c r="A2756" s="68" t="s">
        <v>2535</v>
      </c>
      <c r="B2756" s="69"/>
      <c r="C2756" s="70" t="s">
        <v>2773</v>
      </c>
      <c r="D2756" s="71"/>
      <c r="E2756" s="72">
        <v>66375065</v>
      </c>
    </row>
    <row r="2757" spans="1:5">
      <c r="A2757" s="66" t="s">
        <v>2535</v>
      </c>
      <c r="B2757" s="42"/>
      <c r="C2757" s="63" t="s">
        <v>2774</v>
      </c>
      <c r="D2757" s="62"/>
      <c r="E2757" s="64">
        <v>63794660</v>
      </c>
    </row>
    <row r="2758" spans="1:5">
      <c r="A2758" s="68" t="s">
        <v>2535</v>
      </c>
      <c r="B2758" s="69"/>
      <c r="C2758" s="70" t="s">
        <v>2775</v>
      </c>
      <c r="D2758" s="71"/>
      <c r="E2758" s="72">
        <v>64127909</v>
      </c>
    </row>
    <row r="2759" spans="1:5">
      <c r="A2759" s="66" t="s">
        <v>2535</v>
      </c>
      <c r="B2759" s="42"/>
      <c r="C2759" s="63" t="s">
        <v>2776</v>
      </c>
      <c r="D2759" s="62"/>
      <c r="E2759" s="64">
        <v>63981508</v>
      </c>
    </row>
    <row r="2760" spans="1:5">
      <c r="A2760" s="68" t="s">
        <v>2535</v>
      </c>
      <c r="B2760" s="69"/>
      <c r="C2760" s="70" t="s">
        <v>2777</v>
      </c>
      <c r="D2760" s="71"/>
      <c r="E2760" s="72">
        <v>66857281</v>
      </c>
    </row>
    <row r="2761" spans="1:5">
      <c r="A2761" s="66" t="s">
        <v>2535</v>
      </c>
      <c r="B2761" s="42"/>
      <c r="C2761" s="63" t="s">
        <v>2778</v>
      </c>
      <c r="D2761" s="62"/>
      <c r="E2761" s="64">
        <v>62459858</v>
      </c>
    </row>
    <row r="2762" spans="1:5">
      <c r="A2762" s="68" t="s">
        <v>2535</v>
      </c>
      <c r="B2762" s="69"/>
      <c r="C2762" s="70" t="s">
        <v>2779</v>
      </c>
      <c r="D2762" s="71"/>
      <c r="E2762" s="72">
        <v>64364319</v>
      </c>
    </row>
    <row r="2763" spans="1:5">
      <c r="A2763" s="66" t="s">
        <v>2535</v>
      </c>
      <c r="B2763" s="42"/>
      <c r="C2763" s="63" t="s">
        <v>2780</v>
      </c>
      <c r="D2763" s="62"/>
      <c r="E2763" s="64">
        <v>67961730</v>
      </c>
    </row>
    <row r="2764" spans="1:5">
      <c r="A2764" s="68" t="s">
        <v>2535</v>
      </c>
      <c r="B2764" s="69"/>
      <c r="C2764" s="70" t="s">
        <v>2781</v>
      </c>
      <c r="D2764" s="71"/>
      <c r="E2764" s="72">
        <v>7201630</v>
      </c>
    </row>
    <row r="2765" spans="1:5">
      <c r="A2765" s="66" t="s">
        <v>2535</v>
      </c>
      <c r="B2765" s="42"/>
      <c r="C2765" s="63" t="s">
        <v>2782</v>
      </c>
      <c r="D2765" s="62"/>
      <c r="E2765" s="64">
        <v>68974736</v>
      </c>
    </row>
    <row r="2766" spans="1:5">
      <c r="A2766" s="68" t="s">
        <v>2535</v>
      </c>
      <c r="B2766" s="69"/>
      <c r="C2766" s="70" t="s">
        <v>2783</v>
      </c>
      <c r="D2766" s="71"/>
      <c r="E2766" s="72">
        <v>62394657</v>
      </c>
    </row>
    <row r="2767" spans="1:5">
      <c r="A2767" s="66" t="s">
        <v>2535</v>
      </c>
      <c r="B2767" s="42"/>
      <c r="C2767" s="63" t="s">
        <v>2784</v>
      </c>
      <c r="D2767" s="62"/>
      <c r="E2767" s="64">
        <v>65773992</v>
      </c>
    </row>
    <row r="2768" spans="1:5">
      <c r="A2768" s="68" t="s">
        <v>2535</v>
      </c>
      <c r="B2768" s="69"/>
      <c r="C2768" s="70" t="s">
        <v>2785</v>
      </c>
      <c r="D2768" s="71"/>
      <c r="E2768" s="72">
        <v>67272971</v>
      </c>
    </row>
    <row r="2769" spans="1:5">
      <c r="A2769" s="66" t="s">
        <v>2535</v>
      </c>
      <c r="B2769" s="42"/>
      <c r="C2769" s="63" t="s">
        <v>2786</v>
      </c>
      <c r="D2769" s="62"/>
      <c r="E2769" s="64">
        <v>67973490</v>
      </c>
    </row>
    <row r="2770" spans="1:5">
      <c r="A2770" s="68" t="s">
        <v>2535</v>
      </c>
      <c r="B2770" s="69"/>
      <c r="C2770" s="70" t="s">
        <v>2787</v>
      </c>
      <c r="D2770" s="71"/>
      <c r="E2770" s="72">
        <v>69385899</v>
      </c>
    </row>
    <row r="2771" spans="1:5">
      <c r="A2771" s="66" t="s">
        <v>2535</v>
      </c>
      <c r="B2771" s="42"/>
      <c r="C2771" s="63" t="s">
        <v>2788</v>
      </c>
      <c r="D2771" s="62"/>
      <c r="E2771" s="64">
        <v>65208182</v>
      </c>
    </row>
    <row r="2772" spans="1:5">
      <c r="A2772" s="68" t="s">
        <v>2535</v>
      </c>
      <c r="B2772" s="69"/>
      <c r="C2772" s="70" t="s">
        <v>2789</v>
      </c>
      <c r="D2772" s="71"/>
      <c r="E2772" s="72">
        <v>63552945</v>
      </c>
    </row>
    <row r="2773" spans="1:5">
      <c r="A2773" s="66" t="s">
        <v>2535</v>
      </c>
      <c r="B2773" s="42"/>
      <c r="C2773" s="63" t="s">
        <v>2790</v>
      </c>
      <c r="D2773" s="62"/>
      <c r="E2773" s="64">
        <v>66279685</v>
      </c>
    </row>
    <row r="2774" spans="1:5">
      <c r="A2774" s="68" t="s">
        <v>2535</v>
      </c>
      <c r="B2774" s="69"/>
      <c r="C2774" s="70" t="s">
        <v>2791</v>
      </c>
      <c r="D2774" s="71"/>
      <c r="E2774" s="72">
        <v>64574553</v>
      </c>
    </row>
    <row r="2775" spans="1:5">
      <c r="A2775" s="66" t="s">
        <v>2535</v>
      </c>
      <c r="B2775" s="42"/>
      <c r="C2775" s="63" t="s">
        <v>2792</v>
      </c>
      <c r="D2775" s="62"/>
      <c r="E2775" s="64">
        <v>62261433</v>
      </c>
    </row>
    <row r="2776" spans="1:5">
      <c r="A2776" s="68" t="s">
        <v>2535</v>
      </c>
      <c r="B2776" s="69"/>
      <c r="C2776" s="70" t="s">
        <v>2793</v>
      </c>
      <c r="D2776" s="71"/>
      <c r="E2776" s="72">
        <v>68138275</v>
      </c>
    </row>
    <row r="2777" spans="1:5">
      <c r="A2777" s="66" t="s">
        <v>2535</v>
      </c>
      <c r="B2777" s="42"/>
      <c r="C2777" s="63" t="s">
        <v>2794</v>
      </c>
      <c r="D2777" s="62"/>
      <c r="E2777" s="64">
        <v>65234849</v>
      </c>
    </row>
    <row r="2778" spans="1:5">
      <c r="A2778" s="68" t="s">
        <v>2535</v>
      </c>
      <c r="B2778" s="69"/>
      <c r="C2778" s="70" t="s">
        <v>2795</v>
      </c>
      <c r="D2778" s="71"/>
      <c r="E2778" s="72">
        <v>66424198</v>
      </c>
    </row>
    <row r="2779" spans="1:5">
      <c r="A2779" s="66" t="s">
        <v>2535</v>
      </c>
      <c r="B2779" s="42"/>
      <c r="C2779" s="63" t="s">
        <v>2796</v>
      </c>
      <c r="D2779" s="62"/>
      <c r="E2779" s="64">
        <v>64892130</v>
      </c>
    </row>
    <row r="2780" spans="1:5">
      <c r="A2780" s="68" t="s">
        <v>2535</v>
      </c>
      <c r="B2780" s="69"/>
      <c r="C2780" s="70" t="s">
        <v>2797</v>
      </c>
      <c r="D2780" s="71"/>
      <c r="E2780" s="72">
        <v>63986568</v>
      </c>
    </row>
    <row r="2781" spans="1:5">
      <c r="A2781" s="66" t="s">
        <v>2535</v>
      </c>
      <c r="B2781" s="42"/>
      <c r="C2781" s="63" t="s">
        <v>2798</v>
      </c>
      <c r="D2781" s="62"/>
      <c r="E2781" s="64">
        <v>69551118</v>
      </c>
    </row>
    <row r="2782" spans="1:5">
      <c r="A2782" s="68" t="s">
        <v>2535</v>
      </c>
      <c r="B2782" s="69"/>
      <c r="C2782" s="70" t="s">
        <v>2799</v>
      </c>
      <c r="D2782" s="71"/>
      <c r="E2782" s="72">
        <v>65770496</v>
      </c>
    </row>
    <row r="2783" spans="1:5">
      <c r="A2783" s="66" t="s">
        <v>2535</v>
      </c>
      <c r="B2783" s="42"/>
      <c r="C2783" s="63" t="s">
        <v>2800</v>
      </c>
      <c r="D2783" s="62"/>
      <c r="E2783" s="64">
        <v>63544580</v>
      </c>
    </row>
    <row r="2784" spans="1:5">
      <c r="A2784" s="68" t="s">
        <v>2535</v>
      </c>
      <c r="B2784" s="69"/>
      <c r="C2784" s="70" t="s">
        <v>2801</v>
      </c>
      <c r="D2784" s="71"/>
      <c r="E2784" s="72">
        <v>64352014</v>
      </c>
    </row>
    <row r="2785" spans="1:5">
      <c r="A2785" s="66" t="s">
        <v>2535</v>
      </c>
      <c r="B2785" s="42"/>
      <c r="C2785" s="63" t="s">
        <v>2802</v>
      </c>
      <c r="D2785" s="62"/>
      <c r="E2785" s="64">
        <v>64030514</v>
      </c>
    </row>
    <row r="2786" spans="1:5">
      <c r="A2786" s="68" t="s">
        <v>2535</v>
      </c>
      <c r="B2786" s="69"/>
      <c r="C2786" s="70" t="s">
        <v>2803</v>
      </c>
      <c r="D2786" s="71"/>
      <c r="E2786" s="72">
        <v>65065651</v>
      </c>
    </row>
    <row r="2787" spans="1:5">
      <c r="A2787" s="66" t="s">
        <v>2535</v>
      </c>
      <c r="B2787" s="42"/>
      <c r="C2787" s="63" t="s">
        <v>2804</v>
      </c>
      <c r="D2787" s="62"/>
      <c r="E2787" s="64">
        <v>64061719</v>
      </c>
    </row>
    <row r="2788" spans="1:5">
      <c r="A2788" s="68" t="s">
        <v>2535</v>
      </c>
      <c r="B2788" s="69"/>
      <c r="C2788" s="70" t="s">
        <v>2805</v>
      </c>
      <c r="D2788" s="71"/>
      <c r="E2788" s="72">
        <v>2901467</v>
      </c>
    </row>
    <row r="2789" spans="1:5">
      <c r="A2789" s="66" t="s">
        <v>2535</v>
      </c>
      <c r="B2789" s="42"/>
      <c r="C2789" s="63" t="s">
        <v>2806</v>
      </c>
      <c r="D2789" s="62"/>
      <c r="E2789" s="64">
        <v>67718604</v>
      </c>
    </row>
    <row r="2790" spans="1:5">
      <c r="A2790" s="68" t="s">
        <v>2535</v>
      </c>
      <c r="B2790" s="69"/>
      <c r="C2790" s="70" t="s">
        <v>2807</v>
      </c>
      <c r="D2790" s="71"/>
      <c r="E2790" s="72">
        <v>7754848</v>
      </c>
    </row>
    <row r="2791" spans="1:5">
      <c r="A2791" s="66" t="s">
        <v>2535</v>
      </c>
      <c r="B2791" s="42"/>
      <c r="C2791" s="63" t="s">
        <v>2808</v>
      </c>
      <c r="D2791" s="62"/>
      <c r="E2791" s="64">
        <v>7888075</v>
      </c>
    </row>
    <row r="2792" spans="1:5">
      <c r="A2792" s="68" t="s">
        <v>2535</v>
      </c>
      <c r="B2792" s="69"/>
      <c r="C2792" s="70" t="s">
        <v>2809</v>
      </c>
      <c r="D2792" s="71"/>
      <c r="E2792" s="72">
        <v>62417421</v>
      </c>
    </row>
    <row r="2793" spans="1:5">
      <c r="A2793" s="66" t="s">
        <v>2535</v>
      </c>
      <c r="B2793" s="42"/>
      <c r="C2793" s="63" t="s">
        <v>2810</v>
      </c>
      <c r="D2793" s="62"/>
      <c r="E2793" s="64">
        <v>66957665</v>
      </c>
    </row>
    <row r="2794" spans="1:5">
      <c r="A2794" s="68" t="s">
        <v>2535</v>
      </c>
      <c r="B2794" s="69"/>
      <c r="C2794" s="70" t="s">
        <v>2811</v>
      </c>
      <c r="D2794" s="71"/>
      <c r="E2794" s="72">
        <v>62928239</v>
      </c>
    </row>
    <row r="2795" spans="1:5">
      <c r="A2795" s="66" t="s">
        <v>2535</v>
      </c>
      <c r="B2795" s="42"/>
      <c r="C2795" s="63" t="s">
        <v>2812</v>
      </c>
      <c r="D2795" s="62"/>
      <c r="E2795" s="64">
        <v>65355640</v>
      </c>
    </row>
    <row r="2796" spans="1:5">
      <c r="A2796" s="68" t="s">
        <v>2535</v>
      </c>
      <c r="B2796" s="69"/>
      <c r="C2796" s="70" t="s">
        <v>2813</v>
      </c>
      <c r="D2796" s="71"/>
      <c r="E2796" s="72">
        <v>66121661</v>
      </c>
    </row>
    <row r="2797" spans="1:5">
      <c r="A2797" s="66" t="s">
        <v>2535</v>
      </c>
      <c r="B2797" s="42"/>
      <c r="C2797" s="63" t="s">
        <v>2814</v>
      </c>
      <c r="D2797" s="62"/>
      <c r="E2797" s="64">
        <v>69773977</v>
      </c>
    </row>
    <row r="2798" spans="1:5">
      <c r="A2798" s="68" t="s">
        <v>2535</v>
      </c>
      <c r="B2798" s="69"/>
      <c r="C2798" s="70" t="s">
        <v>2815</v>
      </c>
      <c r="D2798" s="71"/>
      <c r="E2798" s="72">
        <v>67053419</v>
      </c>
    </row>
    <row r="2799" spans="1:5">
      <c r="A2799" s="66" t="s">
        <v>2535</v>
      </c>
      <c r="B2799" s="42"/>
      <c r="C2799" s="63" t="s">
        <v>2816</v>
      </c>
      <c r="D2799" s="62"/>
      <c r="E2799" s="64">
        <v>67429836</v>
      </c>
    </row>
    <row r="2800" spans="1:5">
      <c r="A2800" s="68" t="s">
        <v>2535</v>
      </c>
      <c r="B2800" s="69"/>
      <c r="C2800" s="70" t="s">
        <v>2817</v>
      </c>
      <c r="D2800" s="71"/>
      <c r="E2800" s="72">
        <v>65575636</v>
      </c>
    </row>
    <row r="2801" spans="1:5">
      <c r="A2801" s="66" t="s">
        <v>2535</v>
      </c>
      <c r="B2801" s="42"/>
      <c r="C2801" s="63" t="s">
        <v>2818</v>
      </c>
      <c r="D2801" s="62"/>
      <c r="E2801" s="64">
        <v>69891742</v>
      </c>
    </row>
    <row r="2802" spans="1:5">
      <c r="A2802" s="68" t="s">
        <v>2535</v>
      </c>
      <c r="B2802" s="69"/>
      <c r="C2802" s="70" t="s">
        <v>2819</v>
      </c>
      <c r="D2802" s="71"/>
      <c r="E2802" s="72">
        <v>7211254</v>
      </c>
    </row>
    <row r="2803" spans="1:5">
      <c r="A2803" s="66" t="s">
        <v>2535</v>
      </c>
      <c r="B2803" s="42"/>
      <c r="C2803" s="63" t="s">
        <v>2820</v>
      </c>
      <c r="D2803" s="62"/>
      <c r="E2803" s="64">
        <v>66357489</v>
      </c>
    </row>
    <row r="2804" spans="1:5">
      <c r="A2804" s="68" t="s">
        <v>2535</v>
      </c>
      <c r="B2804" s="69"/>
      <c r="C2804" s="70" t="s">
        <v>2821</v>
      </c>
      <c r="D2804" s="71"/>
      <c r="E2804" s="72">
        <v>65934969</v>
      </c>
    </row>
    <row r="2805" spans="1:5">
      <c r="A2805" s="66" t="s">
        <v>2535</v>
      </c>
      <c r="B2805" s="42"/>
      <c r="C2805" s="63" t="s">
        <v>2822</v>
      </c>
      <c r="D2805" s="62"/>
      <c r="E2805" s="64">
        <v>67084522</v>
      </c>
    </row>
    <row r="2806" spans="1:5">
      <c r="A2806" s="68" t="s">
        <v>2535</v>
      </c>
      <c r="B2806" s="69"/>
      <c r="C2806" s="70" t="s">
        <v>2823</v>
      </c>
      <c r="D2806" s="71"/>
      <c r="E2806" s="72">
        <v>68123269</v>
      </c>
    </row>
    <row r="2807" spans="1:5">
      <c r="A2807" s="66" t="s">
        <v>2535</v>
      </c>
      <c r="B2807" s="42"/>
      <c r="C2807" s="63" t="s">
        <v>2824</v>
      </c>
      <c r="D2807" s="62"/>
      <c r="E2807" s="64">
        <v>68010070</v>
      </c>
    </row>
    <row r="2808" spans="1:5">
      <c r="A2808" s="68" t="s">
        <v>2535</v>
      </c>
      <c r="B2808" s="69"/>
      <c r="C2808" s="70" t="s">
        <v>2825</v>
      </c>
      <c r="D2808" s="71"/>
      <c r="E2808" s="72">
        <v>64179170</v>
      </c>
    </row>
    <row r="2809" spans="1:5">
      <c r="A2809" s="66" t="s">
        <v>2535</v>
      </c>
      <c r="B2809" s="42"/>
      <c r="C2809" s="63" t="s">
        <v>2826</v>
      </c>
      <c r="D2809" s="62"/>
      <c r="E2809" s="64">
        <v>64465125</v>
      </c>
    </row>
    <row r="2810" spans="1:5">
      <c r="A2810" s="68" t="s">
        <v>2535</v>
      </c>
      <c r="B2810" s="69"/>
      <c r="C2810" s="70" t="s">
        <v>2827</v>
      </c>
      <c r="D2810" s="71"/>
      <c r="E2810" s="72">
        <v>68641658</v>
      </c>
    </row>
    <row r="2811" spans="1:5">
      <c r="A2811" s="66" t="s">
        <v>2535</v>
      </c>
      <c r="B2811" s="42"/>
      <c r="C2811" s="63" t="s">
        <v>2828</v>
      </c>
      <c r="D2811" s="62"/>
      <c r="E2811" s="64">
        <v>64352891</v>
      </c>
    </row>
    <row r="2812" spans="1:5">
      <c r="A2812" s="68" t="s">
        <v>2535</v>
      </c>
      <c r="B2812" s="69"/>
      <c r="C2812" s="70" t="s">
        <v>2829</v>
      </c>
      <c r="D2812" s="71"/>
      <c r="E2812" s="72">
        <v>65020904</v>
      </c>
    </row>
    <row r="2813" spans="1:5">
      <c r="A2813" s="66" t="s">
        <v>2535</v>
      </c>
      <c r="B2813" s="42"/>
      <c r="C2813" s="63" t="s">
        <v>2830</v>
      </c>
      <c r="D2813" s="62"/>
      <c r="E2813" s="64">
        <v>64123850</v>
      </c>
    </row>
    <row r="2814" spans="1:5">
      <c r="A2814" s="68" t="s">
        <v>2535</v>
      </c>
      <c r="B2814" s="69"/>
      <c r="C2814" s="70" t="s">
        <v>2831</v>
      </c>
      <c r="D2814" s="71"/>
      <c r="E2814" s="72">
        <v>66519657</v>
      </c>
    </row>
    <row r="2815" spans="1:5">
      <c r="A2815" s="66" t="s">
        <v>2535</v>
      </c>
      <c r="B2815" s="42"/>
      <c r="C2815" s="63" t="s">
        <v>2001</v>
      </c>
      <c r="D2815" s="62"/>
      <c r="E2815" s="64">
        <v>68346395</v>
      </c>
    </row>
    <row r="2816" spans="1:5">
      <c r="A2816" s="68" t="s">
        <v>2535</v>
      </c>
      <c r="B2816" s="69"/>
      <c r="C2816" s="70" t="s">
        <v>2832</v>
      </c>
      <c r="D2816" s="71"/>
      <c r="E2816" s="72">
        <v>7745995</v>
      </c>
    </row>
    <row r="2817" spans="1:5">
      <c r="A2817" s="66" t="s">
        <v>2535</v>
      </c>
      <c r="B2817" s="42"/>
      <c r="C2817" s="63" t="s">
        <v>2833</v>
      </c>
      <c r="D2817" s="62"/>
      <c r="E2817" s="64">
        <v>69557695</v>
      </c>
    </row>
    <row r="2818" spans="1:5">
      <c r="A2818" s="68" t="s">
        <v>2535</v>
      </c>
      <c r="B2818" s="69"/>
      <c r="C2818" s="70" t="s">
        <v>2834</v>
      </c>
      <c r="D2818" s="71"/>
      <c r="E2818" s="72">
        <v>69132974</v>
      </c>
    </row>
    <row r="2819" spans="1:5">
      <c r="A2819" s="66" t="s">
        <v>2535</v>
      </c>
      <c r="B2819" s="42"/>
      <c r="C2819" s="63" t="s">
        <v>2835</v>
      </c>
      <c r="D2819" s="62"/>
      <c r="E2819" s="64">
        <v>7715360</v>
      </c>
    </row>
    <row r="2820" spans="1:5">
      <c r="A2820" s="68" t="s">
        <v>2535</v>
      </c>
      <c r="B2820" s="69"/>
      <c r="C2820" s="70" t="s">
        <v>2836</v>
      </c>
      <c r="D2820" s="71"/>
      <c r="E2820" s="72">
        <v>64830776</v>
      </c>
    </row>
    <row r="2821" spans="1:5">
      <c r="A2821" s="66" t="s">
        <v>2535</v>
      </c>
      <c r="B2821" s="42"/>
      <c r="C2821" s="63" t="s">
        <v>2837</v>
      </c>
      <c r="D2821" s="62"/>
      <c r="E2821" s="64">
        <v>69663594</v>
      </c>
    </row>
    <row r="2822" spans="1:5">
      <c r="A2822" s="68" t="s">
        <v>2535</v>
      </c>
      <c r="B2822" s="69"/>
      <c r="C2822" s="70" t="s">
        <v>2838</v>
      </c>
      <c r="D2822" s="71"/>
      <c r="E2822" s="72">
        <v>65520365</v>
      </c>
    </row>
    <row r="2823" spans="1:5">
      <c r="A2823" s="66" t="s">
        <v>2535</v>
      </c>
      <c r="B2823" s="42"/>
      <c r="C2823" s="63" t="s">
        <v>2839</v>
      </c>
      <c r="D2823" s="62"/>
      <c r="E2823" s="64">
        <v>64785597</v>
      </c>
    </row>
    <row r="2824" spans="1:5">
      <c r="A2824" s="68" t="s">
        <v>2535</v>
      </c>
      <c r="B2824" s="69"/>
      <c r="C2824" s="70" t="s">
        <v>2840</v>
      </c>
      <c r="D2824" s="71"/>
      <c r="E2824" s="72">
        <v>7309491</v>
      </c>
    </row>
    <row r="2825" spans="1:5">
      <c r="A2825" s="66" t="s">
        <v>2535</v>
      </c>
      <c r="B2825" s="42"/>
      <c r="C2825" s="63" t="s">
        <v>2841</v>
      </c>
      <c r="D2825" s="62"/>
      <c r="E2825" s="64">
        <v>64623580</v>
      </c>
    </row>
    <row r="2826" spans="1:5">
      <c r="A2826" s="68" t="s">
        <v>2535</v>
      </c>
      <c r="B2826" s="69"/>
      <c r="C2826" s="70" t="s">
        <v>2842</v>
      </c>
      <c r="D2826" s="71"/>
      <c r="E2826" s="72">
        <v>67723909</v>
      </c>
    </row>
    <row r="2827" spans="1:5">
      <c r="A2827" s="66" t="s">
        <v>2535</v>
      </c>
      <c r="B2827" s="42"/>
      <c r="C2827" s="63" t="s">
        <v>2843</v>
      </c>
      <c r="D2827" s="62"/>
      <c r="E2827" s="64">
        <v>67974624</v>
      </c>
    </row>
    <row r="2828" spans="1:5">
      <c r="A2828" s="68" t="s">
        <v>2535</v>
      </c>
      <c r="B2828" s="69"/>
      <c r="C2828" s="70" t="s">
        <v>2844</v>
      </c>
      <c r="D2828" s="71"/>
      <c r="E2828" s="72">
        <v>64197957</v>
      </c>
    </row>
    <row r="2829" spans="1:5">
      <c r="A2829" s="66" t="s">
        <v>2535</v>
      </c>
      <c r="B2829" s="42"/>
      <c r="C2829" s="63" t="s">
        <v>2845</v>
      </c>
      <c r="D2829" s="62"/>
      <c r="E2829" s="64">
        <v>62103137</v>
      </c>
    </row>
    <row r="2830" spans="1:5">
      <c r="A2830" s="68" t="s">
        <v>2535</v>
      </c>
      <c r="B2830" s="69"/>
      <c r="C2830" s="70" t="s">
        <v>2846</v>
      </c>
      <c r="D2830" s="71"/>
      <c r="E2830" s="72">
        <v>7309251</v>
      </c>
    </row>
    <row r="2831" spans="1:5">
      <c r="A2831" s="66" t="s">
        <v>2535</v>
      </c>
      <c r="B2831" s="42"/>
      <c r="C2831" s="63" t="s">
        <v>2847</v>
      </c>
      <c r="D2831" s="62"/>
      <c r="E2831" s="64">
        <v>63220555</v>
      </c>
    </row>
    <row r="2832" spans="1:5">
      <c r="A2832" s="68" t="s">
        <v>2535</v>
      </c>
      <c r="B2832" s="69"/>
      <c r="C2832" s="70" t="s">
        <v>2848</v>
      </c>
      <c r="D2832" s="71"/>
      <c r="E2832" s="72">
        <v>64611475</v>
      </c>
    </row>
    <row r="2833" spans="1:5">
      <c r="A2833" s="66" t="s">
        <v>2535</v>
      </c>
      <c r="B2833" s="42"/>
      <c r="C2833" s="63" t="s">
        <v>2849</v>
      </c>
      <c r="D2833" s="62"/>
      <c r="E2833" s="64">
        <v>67978272</v>
      </c>
    </row>
    <row r="2834" spans="1:5">
      <c r="A2834" s="68" t="s">
        <v>2535</v>
      </c>
      <c r="B2834" s="69"/>
      <c r="C2834" s="70" t="s">
        <v>2850</v>
      </c>
      <c r="D2834" s="71"/>
      <c r="E2834" s="72">
        <v>67079382</v>
      </c>
    </row>
    <row r="2835" spans="1:5">
      <c r="A2835" s="66" t="s">
        <v>2535</v>
      </c>
      <c r="B2835" s="42"/>
      <c r="C2835" s="63" t="s">
        <v>2851</v>
      </c>
      <c r="D2835" s="62"/>
      <c r="E2835" s="64">
        <v>60673323</v>
      </c>
    </row>
    <row r="2836" spans="1:5">
      <c r="A2836" s="68" t="s">
        <v>2535</v>
      </c>
      <c r="B2836" s="69"/>
      <c r="C2836" s="70" t="s">
        <v>2852</v>
      </c>
      <c r="D2836" s="71"/>
      <c r="E2836" s="72">
        <v>64259183</v>
      </c>
    </row>
    <row r="2837" spans="1:5">
      <c r="A2837" s="66" t="s">
        <v>2535</v>
      </c>
      <c r="B2837" s="42"/>
      <c r="C2837" s="63" t="s">
        <v>2853</v>
      </c>
      <c r="D2837" s="62"/>
      <c r="E2837" s="64">
        <v>63567757</v>
      </c>
    </row>
    <row r="2838" spans="1:5">
      <c r="A2838" s="68" t="s">
        <v>2535</v>
      </c>
      <c r="B2838" s="69"/>
      <c r="C2838" s="70" t="s">
        <v>2854</v>
      </c>
      <c r="D2838" s="71"/>
      <c r="E2838" s="72">
        <v>63304420</v>
      </c>
    </row>
    <row r="2839" spans="1:5">
      <c r="A2839" s="66" t="s">
        <v>2535</v>
      </c>
      <c r="B2839" s="42"/>
      <c r="C2839" s="63" t="s">
        <v>2855</v>
      </c>
      <c r="D2839" s="62"/>
      <c r="E2839" s="64">
        <v>62283862</v>
      </c>
    </row>
    <row r="2840" spans="1:5">
      <c r="A2840" s="68" t="s">
        <v>2535</v>
      </c>
      <c r="B2840" s="69"/>
      <c r="C2840" s="70" t="s">
        <v>2856</v>
      </c>
      <c r="D2840" s="71"/>
      <c r="E2840" s="72">
        <v>66665426</v>
      </c>
    </row>
    <row r="2841" spans="1:5">
      <c r="A2841" s="66" t="s">
        <v>2535</v>
      </c>
      <c r="B2841" s="42"/>
      <c r="C2841" s="63" t="s">
        <v>2857</v>
      </c>
      <c r="D2841" s="62"/>
      <c r="E2841" s="64">
        <v>68519236</v>
      </c>
    </row>
    <row r="2842" spans="1:5">
      <c r="A2842" s="68" t="s">
        <v>2535</v>
      </c>
      <c r="B2842" s="69"/>
      <c r="C2842" s="70" t="s">
        <v>2858</v>
      </c>
      <c r="D2842" s="71"/>
      <c r="E2842" s="72">
        <v>67119132</v>
      </c>
    </row>
    <row r="2843" spans="1:5">
      <c r="A2843" s="66" t="s">
        <v>2535</v>
      </c>
      <c r="B2843" s="42"/>
      <c r="C2843" s="63" t="s">
        <v>2859</v>
      </c>
      <c r="D2843" s="62"/>
      <c r="E2843" s="64">
        <v>68256475</v>
      </c>
    </row>
    <row r="2844" spans="1:5">
      <c r="A2844" s="68" t="s">
        <v>2535</v>
      </c>
      <c r="B2844" s="69"/>
      <c r="C2844" s="70" t="s">
        <v>2860</v>
      </c>
      <c r="D2844" s="71"/>
      <c r="E2844" s="72">
        <v>60524400</v>
      </c>
    </row>
    <row r="2845" spans="1:5">
      <c r="A2845" s="66" t="s">
        <v>2535</v>
      </c>
      <c r="B2845" s="42"/>
      <c r="C2845" s="63" t="s">
        <v>2861</v>
      </c>
      <c r="D2845" s="62"/>
      <c r="E2845" s="64">
        <v>68462422</v>
      </c>
    </row>
    <row r="2846" spans="1:5">
      <c r="A2846" s="68" t="s">
        <v>2535</v>
      </c>
      <c r="B2846" s="69"/>
      <c r="C2846" s="70" t="s">
        <v>2862</v>
      </c>
      <c r="D2846" s="71"/>
      <c r="E2846" s="72">
        <v>64190849</v>
      </c>
    </row>
    <row r="2847" spans="1:5">
      <c r="A2847" s="66" t="s">
        <v>2535</v>
      </c>
      <c r="B2847" s="42"/>
      <c r="C2847" s="63" t="s">
        <v>2863</v>
      </c>
      <c r="D2847" s="62"/>
      <c r="E2847" s="64">
        <v>67135633</v>
      </c>
    </row>
    <row r="2848" spans="1:5">
      <c r="A2848" s="68" t="s">
        <v>2535</v>
      </c>
      <c r="B2848" s="69"/>
      <c r="C2848" s="70" t="s">
        <v>2864</v>
      </c>
      <c r="D2848" s="71"/>
      <c r="E2848" s="72">
        <v>69050654</v>
      </c>
    </row>
    <row r="2849" spans="1:5">
      <c r="A2849" s="66" t="s">
        <v>2535</v>
      </c>
      <c r="B2849" s="42"/>
      <c r="C2849" s="63" t="s">
        <v>2865</v>
      </c>
      <c r="D2849" s="62"/>
      <c r="E2849" s="64">
        <v>68682267</v>
      </c>
    </row>
    <row r="2850" spans="1:5">
      <c r="A2850" s="68" t="s">
        <v>2535</v>
      </c>
      <c r="B2850" s="69"/>
      <c r="C2850" s="70" t="s">
        <v>2866</v>
      </c>
      <c r="D2850" s="71"/>
      <c r="E2850" s="72">
        <v>66261822</v>
      </c>
    </row>
    <row r="2851" spans="1:5">
      <c r="A2851" s="66" t="s">
        <v>2535</v>
      </c>
      <c r="B2851" s="42"/>
      <c r="C2851" s="63" t="s">
        <v>2867</v>
      </c>
      <c r="D2851" s="62"/>
      <c r="E2851" s="64">
        <v>67418388</v>
      </c>
    </row>
    <row r="2852" spans="1:5">
      <c r="A2852" s="68" t="s">
        <v>2535</v>
      </c>
      <c r="B2852" s="69"/>
      <c r="C2852" s="70" t="s">
        <v>2868</v>
      </c>
      <c r="D2852" s="71"/>
      <c r="E2852" s="72">
        <v>69644488</v>
      </c>
    </row>
    <row r="2853" spans="1:5">
      <c r="A2853" s="66" t="s">
        <v>2535</v>
      </c>
      <c r="B2853" s="42"/>
      <c r="C2853" s="63" t="s">
        <v>2869</v>
      </c>
      <c r="D2853" s="62"/>
      <c r="E2853" s="64">
        <v>66270030</v>
      </c>
    </row>
    <row r="2854" spans="1:5">
      <c r="A2854" s="68" t="s">
        <v>2535</v>
      </c>
      <c r="B2854" s="69"/>
      <c r="C2854" s="70" t="s">
        <v>2870</v>
      </c>
      <c r="D2854" s="71"/>
      <c r="E2854" s="72">
        <v>64187118</v>
      </c>
    </row>
    <row r="2855" spans="1:5">
      <c r="A2855" s="66" t="s">
        <v>2535</v>
      </c>
      <c r="B2855" s="42"/>
      <c r="C2855" s="63" t="s">
        <v>2871</v>
      </c>
      <c r="D2855" s="62"/>
      <c r="E2855" s="64">
        <v>68335394</v>
      </c>
    </row>
    <row r="2856" spans="1:5">
      <c r="A2856" s="68" t="s">
        <v>2535</v>
      </c>
      <c r="B2856" s="69"/>
      <c r="C2856" s="70" t="s">
        <v>2872</v>
      </c>
      <c r="D2856" s="71"/>
      <c r="E2856" s="72">
        <v>66864620</v>
      </c>
    </row>
    <row r="2857" spans="1:5">
      <c r="A2857" s="66" t="s">
        <v>2535</v>
      </c>
      <c r="B2857" s="42"/>
      <c r="C2857" s="63" t="s">
        <v>2873</v>
      </c>
      <c r="D2857" s="62"/>
      <c r="E2857" s="64">
        <v>62728765</v>
      </c>
    </row>
    <row r="2858" spans="1:5">
      <c r="A2858" s="68" t="s">
        <v>2535</v>
      </c>
      <c r="B2858" s="69"/>
      <c r="C2858" s="70" t="s">
        <v>2874</v>
      </c>
      <c r="D2858" s="71"/>
      <c r="E2858" s="72">
        <v>7748678</v>
      </c>
    </row>
    <row r="2859" spans="1:5">
      <c r="A2859" s="66" t="s">
        <v>2535</v>
      </c>
      <c r="B2859" s="42"/>
      <c r="C2859" s="63" t="s">
        <v>2875</v>
      </c>
      <c r="D2859" s="62"/>
      <c r="E2859" s="64">
        <v>66264213</v>
      </c>
    </row>
    <row r="2860" spans="1:5">
      <c r="A2860" s="68" t="s">
        <v>2535</v>
      </c>
      <c r="B2860" s="69"/>
      <c r="C2860" s="70" t="s">
        <v>2876</v>
      </c>
      <c r="D2860" s="71"/>
      <c r="E2860" s="72">
        <v>64952219</v>
      </c>
    </row>
    <row r="2861" spans="1:5">
      <c r="A2861" s="66" t="s">
        <v>2535</v>
      </c>
      <c r="B2861" s="42"/>
      <c r="C2861" s="63" t="s">
        <v>2877</v>
      </c>
      <c r="D2861" s="62"/>
      <c r="E2861" s="64">
        <v>68585763</v>
      </c>
    </row>
    <row r="2862" spans="1:5">
      <c r="A2862" s="68" t="s">
        <v>2535</v>
      </c>
      <c r="B2862" s="69"/>
      <c r="C2862" s="70" t="s">
        <v>2878</v>
      </c>
      <c r="D2862" s="71"/>
      <c r="E2862" s="72">
        <v>67321160</v>
      </c>
    </row>
    <row r="2863" spans="1:5">
      <c r="A2863" s="66" t="s">
        <v>2535</v>
      </c>
      <c r="B2863" s="42"/>
      <c r="C2863" s="63" t="s">
        <v>2879</v>
      </c>
      <c r="D2863" s="62"/>
      <c r="E2863" s="64">
        <v>65730266</v>
      </c>
    </row>
    <row r="2864" spans="1:5">
      <c r="A2864" s="68" t="s">
        <v>2535</v>
      </c>
      <c r="B2864" s="69"/>
      <c r="C2864" s="70" t="s">
        <v>2880</v>
      </c>
      <c r="D2864" s="71"/>
      <c r="E2864" s="72">
        <v>66918840</v>
      </c>
    </row>
    <row r="2865" spans="1:5">
      <c r="A2865" s="66" t="s">
        <v>2535</v>
      </c>
      <c r="B2865" s="42"/>
      <c r="C2865" s="63" t="s">
        <v>2881</v>
      </c>
      <c r="D2865" s="62"/>
      <c r="E2865" s="64">
        <v>69933513</v>
      </c>
    </row>
    <row r="2866" spans="1:5">
      <c r="A2866" s="68" t="s">
        <v>2535</v>
      </c>
      <c r="B2866" s="69"/>
      <c r="C2866" s="70" t="s">
        <v>2882</v>
      </c>
      <c r="D2866" s="71"/>
      <c r="E2866" s="72">
        <v>64474797</v>
      </c>
    </row>
    <row r="2867" spans="1:5">
      <c r="A2867" s="66" t="s">
        <v>2535</v>
      </c>
      <c r="B2867" s="42"/>
      <c r="C2867" s="63" t="s">
        <v>2883</v>
      </c>
      <c r="D2867" s="62"/>
      <c r="E2867" s="64">
        <v>63383030</v>
      </c>
    </row>
    <row r="2868" spans="1:5">
      <c r="A2868" s="68" t="s">
        <v>2535</v>
      </c>
      <c r="B2868" s="69"/>
      <c r="C2868" s="70" t="s">
        <v>2884</v>
      </c>
      <c r="D2868" s="71"/>
      <c r="E2868" s="72">
        <v>66252119</v>
      </c>
    </row>
    <row r="2869" spans="1:5">
      <c r="A2869" s="66" t="s">
        <v>2535</v>
      </c>
      <c r="B2869" s="42"/>
      <c r="C2869" s="63" t="s">
        <v>2885</v>
      </c>
      <c r="D2869" s="62"/>
      <c r="E2869" s="64">
        <v>69513006</v>
      </c>
    </row>
    <row r="2870" spans="1:5">
      <c r="A2870" s="68" t="s">
        <v>2535</v>
      </c>
      <c r="B2870" s="69"/>
      <c r="C2870" s="70" t="s">
        <v>2886</v>
      </c>
      <c r="D2870" s="71"/>
      <c r="E2870" s="72">
        <v>67084363</v>
      </c>
    </row>
    <row r="2871" spans="1:5">
      <c r="A2871" s="66" t="s">
        <v>2535</v>
      </c>
      <c r="B2871" s="42"/>
      <c r="C2871" s="63" t="s">
        <v>2887</v>
      </c>
      <c r="D2871" s="62"/>
      <c r="E2871" s="64">
        <v>61636329</v>
      </c>
    </row>
    <row r="2872" spans="1:5">
      <c r="A2872" s="68" t="s">
        <v>2535</v>
      </c>
      <c r="B2872" s="69"/>
      <c r="C2872" s="70" t="s">
        <v>2888</v>
      </c>
      <c r="D2872" s="71"/>
      <c r="E2872" s="72">
        <v>63772047</v>
      </c>
    </row>
    <row r="2873" spans="1:5">
      <c r="A2873" s="66" t="s">
        <v>2535</v>
      </c>
      <c r="B2873" s="42"/>
      <c r="C2873" s="63" t="s">
        <v>2889</v>
      </c>
      <c r="D2873" s="62"/>
      <c r="E2873" s="64">
        <v>61885169</v>
      </c>
    </row>
    <row r="2874" spans="1:5">
      <c r="A2874" s="68" t="s">
        <v>2535</v>
      </c>
      <c r="B2874" s="69"/>
      <c r="C2874" s="70" t="s">
        <v>2890</v>
      </c>
      <c r="D2874" s="71"/>
      <c r="E2874" s="72">
        <v>66008295</v>
      </c>
    </row>
    <row r="2875" spans="1:5">
      <c r="A2875" s="66" t="s">
        <v>2535</v>
      </c>
      <c r="B2875" s="42"/>
      <c r="C2875" s="63" t="s">
        <v>2891</v>
      </c>
      <c r="D2875" s="62"/>
      <c r="E2875" s="64">
        <v>69496276</v>
      </c>
    </row>
    <row r="2876" spans="1:5">
      <c r="A2876" s="68" t="s">
        <v>2535</v>
      </c>
      <c r="B2876" s="69"/>
      <c r="C2876" s="70" t="s">
        <v>2892</v>
      </c>
      <c r="D2876" s="71"/>
      <c r="E2876" s="72">
        <v>66310657</v>
      </c>
    </row>
    <row r="2877" spans="1:5">
      <c r="A2877" s="66" t="s">
        <v>2535</v>
      </c>
      <c r="B2877" s="42"/>
      <c r="C2877" s="63" t="s">
        <v>2893</v>
      </c>
      <c r="D2877" s="62"/>
      <c r="E2877" s="64">
        <v>68121285</v>
      </c>
    </row>
    <row r="2878" spans="1:5">
      <c r="A2878" s="68" t="s">
        <v>2535</v>
      </c>
      <c r="B2878" s="69"/>
      <c r="C2878" s="70" t="s">
        <v>2894</v>
      </c>
      <c r="D2878" s="71"/>
      <c r="E2878" s="72">
        <v>67162092</v>
      </c>
    </row>
    <row r="2879" spans="1:5">
      <c r="A2879" s="66" t="s">
        <v>2535</v>
      </c>
      <c r="B2879" s="42"/>
      <c r="C2879" s="63" t="s">
        <v>2895</v>
      </c>
      <c r="D2879" s="62"/>
      <c r="E2879" s="64">
        <v>63667470</v>
      </c>
    </row>
    <row r="2880" spans="1:5">
      <c r="A2880" s="68" t="s">
        <v>2535</v>
      </c>
      <c r="B2880" s="69"/>
      <c r="C2880" s="70" t="s">
        <v>2896</v>
      </c>
      <c r="D2880" s="71"/>
      <c r="E2880" s="72">
        <v>68156555</v>
      </c>
    </row>
    <row r="2881" spans="1:5">
      <c r="A2881" s="66" t="s">
        <v>2535</v>
      </c>
      <c r="B2881" s="42"/>
      <c r="C2881" s="63" t="s">
        <v>2897</v>
      </c>
      <c r="D2881" s="62"/>
      <c r="E2881" s="64">
        <v>67379600</v>
      </c>
    </row>
    <row r="2882" spans="1:5">
      <c r="A2882" s="68" t="s">
        <v>2535</v>
      </c>
      <c r="B2882" s="69"/>
      <c r="C2882" s="70" t="s">
        <v>2898</v>
      </c>
      <c r="D2882" s="71"/>
      <c r="E2882" s="72">
        <v>65439898</v>
      </c>
    </row>
    <row r="2883" spans="1:5">
      <c r="A2883" s="66" t="s">
        <v>2535</v>
      </c>
      <c r="B2883" s="42"/>
      <c r="C2883" s="63" t="s">
        <v>2899</v>
      </c>
      <c r="D2883" s="62"/>
      <c r="E2883" s="64">
        <v>66976230</v>
      </c>
    </row>
    <row r="2884" spans="1:5">
      <c r="A2884" s="68" t="s">
        <v>2535</v>
      </c>
      <c r="B2884" s="69"/>
      <c r="C2884" s="70" t="s">
        <v>1651</v>
      </c>
      <c r="D2884" s="71"/>
      <c r="E2884" s="73">
        <v>68739554</v>
      </c>
    </row>
    <row r="2885" spans="1:5">
      <c r="A2885" s="66" t="s">
        <v>2535</v>
      </c>
      <c r="B2885" s="42"/>
      <c r="C2885" s="63" t="s">
        <v>2900</v>
      </c>
      <c r="D2885" s="62"/>
      <c r="E2885" s="67">
        <v>66969339</v>
      </c>
    </row>
    <row r="2886" spans="1:5">
      <c r="A2886" s="68" t="s">
        <v>2535</v>
      </c>
      <c r="B2886" s="69"/>
      <c r="C2886" s="70" t="s">
        <v>2901</v>
      </c>
      <c r="D2886" s="71"/>
      <c r="E2886" s="73">
        <v>7201018</v>
      </c>
    </row>
    <row r="2887" spans="1:5">
      <c r="A2887" s="66" t="s">
        <v>2535</v>
      </c>
      <c r="B2887" s="42"/>
      <c r="C2887" s="63" t="s">
        <v>2902</v>
      </c>
      <c r="D2887" s="62"/>
      <c r="E2887" s="67">
        <v>67442563</v>
      </c>
    </row>
    <row r="2888" spans="1:5">
      <c r="A2888" s="68" t="s">
        <v>2535</v>
      </c>
      <c r="B2888" s="69"/>
      <c r="C2888" s="70" t="s">
        <v>2903</v>
      </c>
      <c r="D2888" s="71"/>
      <c r="E2888" s="73">
        <v>7756133</v>
      </c>
    </row>
    <row r="2889" spans="1:5">
      <c r="A2889" s="66" t="s">
        <v>2535</v>
      </c>
      <c r="B2889" s="42"/>
      <c r="C2889" s="63" t="s">
        <v>2904</v>
      </c>
      <c r="D2889" s="62"/>
      <c r="E2889" s="67">
        <v>7751809</v>
      </c>
    </row>
    <row r="2890" spans="1:5">
      <c r="A2890" s="68" t="s">
        <v>2535</v>
      </c>
      <c r="B2890" s="69"/>
      <c r="C2890" s="70" t="s">
        <v>2905</v>
      </c>
      <c r="D2890" s="71"/>
      <c r="E2890" s="73">
        <v>64781639</v>
      </c>
    </row>
    <row r="2891" spans="1:5">
      <c r="A2891" s="66" t="s">
        <v>2535</v>
      </c>
      <c r="B2891" s="42"/>
      <c r="C2891" s="63" t="s">
        <v>2906</v>
      </c>
      <c r="D2891" s="62"/>
      <c r="E2891" s="67">
        <v>65228255</v>
      </c>
    </row>
    <row r="2892" spans="1:5">
      <c r="A2892" s="68" t="s">
        <v>2535</v>
      </c>
      <c r="B2892" s="69"/>
      <c r="C2892" s="70" t="s">
        <v>2907</v>
      </c>
      <c r="D2892" s="71"/>
      <c r="E2892" s="73">
        <v>66185272</v>
      </c>
    </row>
    <row r="2893" spans="1:5">
      <c r="A2893" s="66" t="s">
        <v>2535</v>
      </c>
      <c r="B2893" s="42"/>
      <c r="C2893" s="63" t="s">
        <v>2908</v>
      </c>
      <c r="D2893" s="62"/>
      <c r="E2893" s="67">
        <v>62030265</v>
      </c>
    </row>
    <row r="2894" spans="1:5">
      <c r="A2894" s="68" t="s">
        <v>2535</v>
      </c>
      <c r="B2894" s="69"/>
      <c r="C2894" s="70" t="s">
        <v>2909</v>
      </c>
      <c r="D2894" s="71"/>
      <c r="E2894" s="73">
        <v>65283087</v>
      </c>
    </row>
    <row r="2895" spans="1:5">
      <c r="A2895" s="66" t="s">
        <v>2535</v>
      </c>
      <c r="B2895" s="42"/>
      <c r="C2895" s="63" t="s">
        <v>2910</v>
      </c>
      <c r="D2895" s="62"/>
      <c r="E2895" s="67">
        <v>64709854</v>
      </c>
    </row>
    <row r="2896" spans="1:5">
      <c r="A2896" s="68" t="s">
        <v>2535</v>
      </c>
      <c r="B2896" s="69"/>
      <c r="C2896" s="70" t="s">
        <v>2911</v>
      </c>
      <c r="D2896" s="71"/>
      <c r="E2896" s="73">
        <v>7202670</v>
      </c>
    </row>
    <row r="2897" spans="1:5">
      <c r="A2897" s="66" t="s">
        <v>2535</v>
      </c>
      <c r="B2897" s="42"/>
      <c r="C2897" s="63" t="s">
        <v>2912</v>
      </c>
      <c r="D2897" s="62"/>
      <c r="E2897" s="67">
        <v>68611927</v>
      </c>
    </row>
    <row r="2898" spans="1:5">
      <c r="A2898" s="68" t="s">
        <v>2535</v>
      </c>
      <c r="B2898" s="69"/>
      <c r="C2898" s="70" t="s">
        <v>2913</v>
      </c>
      <c r="D2898" s="71"/>
      <c r="E2898" s="73">
        <v>62168793</v>
      </c>
    </row>
    <row r="2899" spans="1:5">
      <c r="A2899" s="66" t="s">
        <v>2535</v>
      </c>
      <c r="B2899" s="42"/>
      <c r="C2899" s="63" t="s">
        <v>2914</v>
      </c>
      <c r="D2899" s="62"/>
      <c r="E2899" s="67">
        <v>7305139</v>
      </c>
    </row>
    <row r="2900" spans="1:5">
      <c r="A2900" s="68" t="s">
        <v>2535</v>
      </c>
      <c r="B2900" s="69"/>
      <c r="C2900" s="70" t="s">
        <v>2915</v>
      </c>
      <c r="D2900" s="71"/>
      <c r="E2900" s="73">
        <v>7093086</v>
      </c>
    </row>
    <row r="2901" spans="1:5">
      <c r="A2901" s="66" t="s">
        <v>2535</v>
      </c>
      <c r="B2901" s="42"/>
      <c r="C2901" s="63" t="s">
        <v>2916</v>
      </c>
      <c r="D2901" s="62"/>
      <c r="E2901" s="67">
        <v>7758962</v>
      </c>
    </row>
    <row r="2902" spans="1:5">
      <c r="A2902" s="68" t="s">
        <v>2535</v>
      </c>
      <c r="B2902" s="69"/>
      <c r="C2902" s="70" t="s">
        <v>2917</v>
      </c>
      <c r="D2902" s="71"/>
      <c r="E2902" s="73">
        <v>7098228</v>
      </c>
    </row>
    <row r="2903" spans="1:5">
      <c r="A2903" s="66" t="s">
        <v>2535</v>
      </c>
      <c r="B2903" s="42"/>
      <c r="C2903" s="63" t="s">
        <v>2918</v>
      </c>
      <c r="D2903" s="62"/>
      <c r="E2903" s="67">
        <v>66929729</v>
      </c>
    </row>
    <row r="2904" spans="1:5">
      <c r="A2904" s="68" t="s">
        <v>2535</v>
      </c>
      <c r="B2904" s="69"/>
      <c r="C2904" s="70" t="s">
        <v>2919</v>
      </c>
      <c r="D2904" s="71"/>
      <c r="E2904" s="73">
        <v>65386106</v>
      </c>
    </row>
    <row r="2905" spans="1:5">
      <c r="A2905" s="66" t="s">
        <v>2535</v>
      </c>
      <c r="B2905" s="42"/>
      <c r="C2905" s="63" t="s">
        <v>2920</v>
      </c>
      <c r="D2905" s="62"/>
      <c r="E2905" s="67">
        <v>69264227</v>
      </c>
    </row>
    <row r="2906" spans="1:5">
      <c r="A2906" s="68" t="s">
        <v>2535</v>
      </c>
      <c r="B2906" s="69"/>
      <c r="C2906" s="70" t="s">
        <v>2921</v>
      </c>
      <c r="D2906" s="71"/>
      <c r="E2906" s="73">
        <v>67981249</v>
      </c>
    </row>
    <row r="2907" spans="1:5">
      <c r="A2907" s="66" t="s">
        <v>2535</v>
      </c>
      <c r="B2907" s="42"/>
      <c r="C2907" s="63" t="s">
        <v>2922</v>
      </c>
      <c r="D2907" s="62"/>
      <c r="E2907" s="67">
        <v>69270731</v>
      </c>
    </row>
    <row r="2908" spans="1:5">
      <c r="A2908" s="68" t="s">
        <v>2535</v>
      </c>
      <c r="B2908" s="69"/>
      <c r="C2908" s="70" t="s">
        <v>2923</v>
      </c>
      <c r="D2908" s="71"/>
      <c r="E2908" s="73">
        <v>65482000</v>
      </c>
    </row>
    <row r="2909" spans="1:5">
      <c r="A2909" s="66" t="s">
        <v>2535</v>
      </c>
      <c r="B2909" s="42"/>
      <c r="C2909" s="63" t="s">
        <v>2924</v>
      </c>
      <c r="D2909" s="62"/>
      <c r="E2909" s="67">
        <v>65863203</v>
      </c>
    </row>
    <row r="2910" spans="1:5">
      <c r="A2910" s="68" t="s">
        <v>2535</v>
      </c>
      <c r="B2910" s="69"/>
      <c r="C2910" s="70" t="s">
        <v>2925</v>
      </c>
      <c r="D2910" s="71"/>
      <c r="E2910" s="73">
        <v>7871095</v>
      </c>
    </row>
    <row r="2911" spans="1:5">
      <c r="A2911" s="66" t="s">
        <v>2535</v>
      </c>
      <c r="B2911" s="42"/>
      <c r="C2911" s="63" t="s">
        <v>2926</v>
      </c>
      <c r="D2911" s="62"/>
      <c r="E2911" s="67">
        <v>62043125</v>
      </c>
    </row>
    <row r="2912" spans="1:5">
      <c r="A2912" s="68" t="s">
        <v>2535</v>
      </c>
      <c r="B2912" s="69"/>
      <c r="C2912" s="70" t="s">
        <v>2927</v>
      </c>
      <c r="D2912" s="71"/>
      <c r="E2912" s="73">
        <v>7752434</v>
      </c>
    </row>
    <row r="2913" spans="1:5">
      <c r="A2913" s="66" t="s">
        <v>2535</v>
      </c>
      <c r="B2913" s="42"/>
      <c r="C2913" s="63" t="s">
        <v>2928</v>
      </c>
      <c r="D2913" s="62"/>
      <c r="E2913" s="67">
        <v>67811530</v>
      </c>
    </row>
    <row r="2914" spans="1:5">
      <c r="A2914" s="68" t="s">
        <v>2535</v>
      </c>
      <c r="B2914" s="69"/>
      <c r="C2914" s="70" t="s">
        <v>2929</v>
      </c>
      <c r="D2914" s="71"/>
      <c r="E2914" s="73">
        <v>63724707</v>
      </c>
    </row>
    <row r="2915" spans="1:5">
      <c r="A2915" s="66" t="s">
        <v>2535</v>
      </c>
      <c r="B2915" s="42"/>
      <c r="C2915" s="63" t="s">
        <v>2930</v>
      </c>
      <c r="D2915" s="62"/>
      <c r="E2915" s="67">
        <v>65390032</v>
      </c>
    </row>
    <row r="2916" spans="1:5">
      <c r="A2916" s="68" t="s">
        <v>2535</v>
      </c>
      <c r="B2916" s="69"/>
      <c r="C2916" s="70" t="s">
        <v>2931</v>
      </c>
      <c r="D2916" s="71"/>
      <c r="E2916" s="73">
        <v>7753905</v>
      </c>
    </row>
    <row r="2917" spans="1:5">
      <c r="A2917" s="66" t="s">
        <v>2535</v>
      </c>
      <c r="B2917" s="42"/>
      <c r="C2917" s="63" t="s">
        <v>2932</v>
      </c>
      <c r="D2917" s="62"/>
      <c r="E2917" s="67">
        <v>7712193</v>
      </c>
    </row>
    <row r="2918" spans="1:5">
      <c r="A2918" s="68" t="s">
        <v>2535</v>
      </c>
      <c r="B2918" s="69"/>
      <c r="C2918" s="70" t="s">
        <v>2933</v>
      </c>
      <c r="D2918" s="71"/>
      <c r="E2918" s="73">
        <v>66627886</v>
      </c>
    </row>
    <row r="2919" spans="1:5">
      <c r="A2919" s="66" t="s">
        <v>2535</v>
      </c>
      <c r="B2919" s="42"/>
      <c r="C2919" s="63" t="s">
        <v>2934</v>
      </c>
      <c r="D2919" s="62"/>
      <c r="E2919" s="67">
        <v>64658053</v>
      </c>
    </row>
    <row r="2920" spans="1:5">
      <c r="A2920" s="68" t="s">
        <v>2535</v>
      </c>
      <c r="B2920" s="69"/>
      <c r="C2920" s="70" t="s">
        <v>2935</v>
      </c>
      <c r="D2920" s="71"/>
      <c r="E2920" s="73">
        <v>65792299</v>
      </c>
    </row>
    <row r="2921" spans="1:5">
      <c r="A2921" s="66" t="s">
        <v>2535</v>
      </c>
      <c r="B2921" s="42"/>
      <c r="C2921" s="63" t="s">
        <v>2936</v>
      </c>
      <c r="D2921" s="62"/>
      <c r="E2921" s="67">
        <v>61392614</v>
      </c>
    </row>
    <row r="2922" spans="1:5">
      <c r="A2922" s="68" t="s">
        <v>2535</v>
      </c>
      <c r="B2922" s="69"/>
      <c r="C2922" s="70" t="s">
        <v>2937</v>
      </c>
      <c r="D2922" s="71"/>
      <c r="E2922" s="73">
        <v>7202154</v>
      </c>
    </row>
    <row r="2923" spans="1:5">
      <c r="A2923" s="66" t="s">
        <v>2535</v>
      </c>
      <c r="B2923" s="42"/>
      <c r="C2923" s="63" t="s">
        <v>2938</v>
      </c>
      <c r="D2923" s="62"/>
      <c r="E2923" s="67">
        <v>65826200</v>
      </c>
    </row>
    <row r="2924" spans="1:5">
      <c r="A2924" s="68" t="s">
        <v>2535</v>
      </c>
      <c r="B2924" s="69"/>
      <c r="C2924" s="70" t="s">
        <v>2939</v>
      </c>
      <c r="D2924" s="71"/>
      <c r="E2924" s="73">
        <v>65021662</v>
      </c>
    </row>
    <row r="2925" spans="1:5">
      <c r="A2925" s="66" t="s">
        <v>2535</v>
      </c>
      <c r="B2925" s="42"/>
      <c r="C2925" s="63" t="s">
        <v>2940</v>
      </c>
      <c r="D2925" s="62"/>
      <c r="E2925" s="67">
        <v>65348126</v>
      </c>
    </row>
    <row r="2926" spans="1:5">
      <c r="A2926" s="68" t="s">
        <v>2535</v>
      </c>
      <c r="B2926" s="69"/>
      <c r="C2926" s="70" t="s">
        <v>2941</v>
      </c>
      <c r="D2926" s="71"/>
      <c r="E2926" s="73">
        <v>67450443</v>
      </c>
    </row>
    <row r="2927" spans="1:5">
      <c r="A2927" s="66" t="s">
        <v>2535</v>
      </c>
      <c r="B2927" s="42"/>
      <c r="C2927" s="63" t="s">
        <v>2942</v>
      </c>
      <c r="D2927" s="62"/>
      <c r="E2927" s="67">
        <v>64015407</v>
      </c>
    </row>
    <row r="2928" spans="1:5">
      <c r="A2928" s="68" t="s">
        <v>2535</v>
      </c>
      <c r="B2928" s="69"/>
      <c r="C2928" s="70" t="s">
        <v>2943</v>
      </c>
      <c r="D2928" s="71"/>
      <c r="E2928" s="73">
        <v>65158647</v>
      </c>
    </row>
    <row r="2929" spans="1:5">
      <c r="A2929" s="66" t="s">
        <v>2535</v>
      </c>
      <c r="B2929" s="42"/>
      <c r="C2929" s="63" t="s">
        <v>2944</v>
      </c>
      <c r="D2929" s="62"/>
      <c r="E2929" s="67">
        <v>66943358</v>
      </c>
    </row>
    <row r="2930" spans="1:5">
      <c r="A2930" s="68" t="s">
        <v>2535</v>
      </c>
      <c r="B2930" s="69"/>
      <c r="C2930" s="70" t="s">
        <v>2945</v>
      </c>
      <c r="D2930" s="71"/>
      <c r="E2930" s="73">
        <v>66345237</v>
      </c>
    </row>
    <row r="2931" spans="1:5">
      <c r="A2931" s="66" t="s">
        <v>2535</v>
      </c>
      <c r="B2931" s="42"/>
      <c r="C2931" s="63" t="s">
        <v>2946</v>
      </c>
      <c r="D2931" s="62"/>
      <c r="E2931" s="67">
        <v>7754166</v>
      </c>
    </row>
    <row r="2932" spans="1:5">
      <c r="A2932" s="68" t="s">
        <v>2535</v>
      </c>
      <c r="B2932" s="69"/>
      <c r="C2932" s="70" t="s">
        <v>2947</v>
      </c>
      <c r="D2932" s="71"/>
      <c r="E2932" s="73">
        <v>69234955</v>
      </c>
    </row>
    <row r="2933" spans="1:5">
      <c r="A2933" s="66" t="s">
        <v>2535</v>
      </c>
      <c r="B2933" s="42"/>
      <c r="C2933" s="63" t="s">
        <v>2948</v>
      </c>
      <c r="D2933" s="62"/>
      <c r="E2933" s="67">
        <v>64446830</v>
      </c>
    </row>
    <row r="2934" spans="1:5">
      <c r="A2934" s="68" t="s">
        <v>2535</v>
      </c>
      <c r="B2934" s="69"/>
      <c r="C2934" s="70" t="s">
        <v>2949</v>
      </c>
      <c r="D2934" s="71"/>
      <c r="E2934" s="73">
        <v>66681376</v>
      </c>
    </row>
    <row r="2935" spans="1:5">
      <c r="A2935" s="66" t="s">
        <v>2535</v>
      </c>
      <c r="B2935" s="42"/>
      <c r="C2935" s="63" t="s">
        <v>2950</v>
      </c>
      <c r="D2935" s="62"/>
      <c r="E2935" s="67">
        <v>67044233</v>
      </c>
    </row>
    <row r="2936" spans="1:5">
      <c r="A2936" s="68" t="s">
        <v>2535</v>
      </c>
      <c r="B2936" s="69"/>
      <c r="C2936" s="70" t="s">
        <v>2951</v>
      </c>
      <c r="D2936" s="71"/>
      <c r="E2936" s="73">
        <v>64540541</v>
      </c>
    </row>
    <row r="2937" spans="1:5">
      <c r="A2937" s="66" t="s">
        <v>2535</v>
      </c>
      <c r="B2937" s="42"/>
      <c r="C2937" s="63" t="s">
        <v>2952</v>
      </c>
      <c r="D2937" s="62"/>
      <c r="E2937" s="67">
        <v>67041251</v>
      </c>
    </row>
    <row r="2938" spans="1:5">
      <c r="A2938" s="68" t="s">
        <v>2535</v>
      </c>
      <c r="B2938" s="69"/>
      <c r="C2938" s="70" t="s">
        <v>2953</v>
      </c>
      <c r="D2938" s="71"/>
      <c r="E2938" s="73">
        <v>69617625</v>
      </c>
    </row>
    <row r="2939" spans="1:5">
      <c r="A2939" s="66" t="s">
        <v>2535</v>
      </c>
      <c r="B2939" s="42"/>
      <c r="C2939" s="63" t="s">
        <v>2954</v>
      </c>
      <c r="D2939" s="62"/>
      <c r="E2939" s="67">
        <v>65913997</v>
      </c>
    </row>
    <row r="2940" spans="1:5">
      <c r="A2940" s="68" t="s">
        <v>2535</v>
      </c>
      <c r="B2940" s="69"/>
      <c r="C2940" s="70" t="s">
        <v>2955</v>
      </c>
      <c r="D2940" s="71"/>
      <c r="E2940" s="73">
        <v>67040599</v>
      </c>
    </row>
    <row r="2941" spans="1:5">
      <c r="A2941" s="66" t="s">
        <v>2535</v>
      </c>
      <c r="B2941" s="42"/>
      <c r="C2941" s="63" t="s">
        <v>2956</v>
      </c>
      <c r="D2941" s="62"/>
      <c r="E2941" s="67">
        <v>66485389</v>
      </c>
    </row>
    <row r="2942" spans="1:5">
      <c r="A2942" s="68" t="s">
        <v>2535</v>
      </c>
      <c r="B2942" s="69"/>
      <c r="C2942" s="70" t="s">
        <v>2957</v>
      </c>
      <c r="D2942" s="71"/>
      <c r="E2942" s="73">
        <v>66404070</v>
      </c>
    </row>
    <row r="2943" spans="1:5">
      <c r="A2943" s="66" t="s">
        <v>2535</v>
      </c>
      <c r="B2943" s="42"/>
      <c r="C2943" s="63" t="s">
        <v>2958</v>
      </c>
      <c r="D2943" s="62"/>
      <c r="E2943" s="67">
        <v>68442370</v>
      </c>
    </row>
    <row r="2944" spans="1:5">
      <c r="A2944" s="68" t="s">
        <v>2535</v>
      </c>
      <c r="B2944" s="69"/>
      <c r="C2944" s="70" t="s">
        <v>2959</v>
      </c>
      <c r="D2944" s="71"/>
      <c r="E2944" s="73">
        <v>65347312</v>
      </c>
    </row>
    <row r="2945" spans="1:5">
      <c r="A2945" s="66" t="s">
        <v>2535</v>
      </c>
      <c r="B2945" s="42"/>
      <c r="C2945" s="63" t="s">
        <v>2960</v>
      </c>
      <c r="D2945" s="62"/>
      <c r="E2945" s="67">
        <v>67993743</v>
      </c>
    </row>
    <row r="2946" spans="1:5">
      <c r="A2946" s="68" t="s">
        <v>2535</v>
      </c>
      <c r="B2946" s="69"/>
      <c r="C2946" s="70" t="s">
        <v>2961</v>
      </c>
      <c r="D2946" s="71"/>
      <c r="E2946" s="73">
        <v>68169265</v>
      </c>
    </row>
    <row r="2947" spans="1:5">
      <c r="A2947" s="66" t="s">
        <v>2535</v>
      </c>
      <c r="B2947" s="42"/>
      <c r="C2947" s="63" t="s">
        <v>2962</v>
      </c>
      <c r="D2947" s="62"/>
      <c r="E2947" s="67">
        <v>66332409</v>
      </c>
    </row>
    <row r="2948" spans="1:5">
      <c r="A2948" s="68" t="s">
        <v>2535</v>
      </c>
      <c r="B2948" s="69"/>
      <c r="C2948" s="70" t="s">
        <v>2963</v>
      </c>
      <c r="D2948" s="71"/>
      <c r="E2948" s="73">
        <v>65088441</v>
      </c>
    </row>
    <row r="2949" spans="1:5">
      <c r="A2949" s="66" t="s">
        <v>2535</v>
      </c>
      <c r="B2949" s="42"/>
      <c r="C2949" s="63" t="s">
        <v>2964</v>
      </c>
      <c r="D2949" s="62"/>
      <c r="E2949" s="67">
        <v>66012289</v>
      </c>
    </row>
    <row r="2950" spans="1:5">
      <c r="A2950" s="68" t="s">
        <v>2535</v>
      </c>
      <c r="B2950" s="69"/>
      <c r="C2950" s="70" t="s">
        <v>2965</v>
      </c>
      <c r="D2950" s="71"/>
      <c r="E2950" s="73">
        <v>68156126</v>
      </c>
    </row>
    <row r="2951" spans="1:5">
      <c r="A2951" s="66" t="s">
        <v>2535</v>
      </c>
      <c r="B2951" s="42"/>
      <c r="C2951" s="63" t="s">
        <v>2966</v>
      </c>
      <c r="D2951" s="62"/>
      <c r="E2951" s="67">
        <v>67140707</v>
      </c>
    </row>
    <row r="2952" spans="1:5">
      <c r="A2952" s="68" t="s">
        <v>2535</v>
      </c>
      <c r="B2952" s="69"/>
      <c r="C2952" s="70" t="s">
        <v>2967</v>
      </c>
      <c r="D2952" s="71"/>
      <c r="E2952" s="73">
        <v>62525294</v>
      </c>
    </row>
    <row r="2953" spans="1:5">
      <c r="A2953" s="66" t="s">
        <v>2535</v>
      </c>
      <c r="B2953" s="42"/>
      <c r="C2953" s="63" t="s">
        <v>2968</v>
      </c>
      <c r="D2953" s="62"/>
      <c r="E2953" s="67">
        <v>64609825</v>
      </c>
    </row>
    <row r="2954" spans="1:5">
      <c r="A2954" s="68" t="s">
        <v>2535</v>
      </c>
      <c r="B2954" s="69"/>
      <c r="C2954" s="70" t="s">
        <v>2969</v>
      </c>
      <c r="D2954" s="71"/>
      <c r="E2954" s="73">
        <v>68359567</v>
      </c>
    </row>
    <row r="2955" spans="1:5">
      <c r="A2955" s="66" t="s">
        <v>2535</v>
      </c>
      <c r="B2955" s="42"/>
      <c r="C2955" s="63" t="s">
        <v>2970</v>
      </c>
      <c r="D2955" s="62"/>
      <c r="E2955" s="67">
        <v>66734013</v>
      </c>
    </row>
    <row r="2956" spans="1:5">
      <c r="A2956" s="68" t="s">
        <v>2535</v>
      </c>
      <c r="B2956" s="69"/>
      <c r="C2956" s="70" t="s">
        <v>2971</v>
      </c>
      <c r="D2956" s="71"/>
      <c r="E2956" s="73">
        <v>7300278</v>
      </c>
    </row>
    <row r="2957" spans="1:5">
      <c r="A2957" s="66" t="s">
        <v>2535</v>
      </c>
      <c r="B2957" s="42"/>
      <c r="C2957" s="63" t="s">
        <v>2972</v>
      </c>
      <c r="D2957" s="62"/>
      <c r="E2957" s="67">
        <v>7745521</v>
      </c>
    </row>
    <row r="2958" spans="1:5">
      <c r="A2958" s="68" t="s">
        <v>2535</v>
      </c>
      <c r="B2958" s="69"/>
      <c r="C2958" s="70" t="s">
        <v>2973</v>
      </c>
      <c r="D2958" s="71"/>
      <c r="E2958" s="73">
        <v>67801730</v>
      </c>
    </row>
    <row r="2959" spans="1:5">
      <c r="A2959" s="66" t="s">
        <v>2535</v>
      </c>
      <c r="B2959" s="42"/>
      <c r="C2959" s="63" t="s">
        <v>2974</v>
      </c>
      <c r="D2959" s="62"/>
      <c r="E2959" s="67">
        <v>65411888</v>
      </c>
    </row>
    <row r="2960" spans="1:5">
      <c r="A2960" s="68" t="s">
        <v>2535</v>
      </c>
      <c r="B2960" s="69"/>
      <c r="C2960" s="70" t="s">
        <v>2975</v>
      </c>
      <c r="D2960" s="71"/>
      <c r="E2960" s="73">
        <v>68686758</v>
      </c>
    </row>
    <row r="2961" spans="1:5">
      <c r="A2961" s="66" t="s">
        <v>2535</v>
      </c>
      <c r="B2961" s="42"/>
      <c r="C2961" s="63" t="s">
        <v>2976</v>
      </c>
      <c r="D2961" s="62"/>
      <c r="E2961" s="67">
        <v>7705804</v>
      </c>
    </row>
    <row r="2962" spans="1:5">
      <c r="A2962" s="68" t="s">
        <v>2535</v>
      </c>
      <c r="B2962" s="69"/>
      <c r="C2962" s="70" t="s">
        <v>2977</v>
      </c>
      <c r="D2962" s="71"/>
      <c r="E2962" s="73">
        <v>7770245</v>
      </c>
    </row>
    <row r="2963" spans="1:5">
      <c r="A2963" s="66" t="s">
        <v>2535</v>
      </c>
      <c r="B2963" s="42"/>
      <c r="C2963" s="63" t="s">
        <v>2978</v>
      </c>
      <c r="D2963" s="62"/>
      <c r="E2963" s="67">
        <v>66499125</v>
      </c>
    </row>
    <row r="2964" spans="1:5">
      <c r="A2964" s="68" t="s">
        <v>2535</v>
      </c>
      <c r="B2964" s="69"/>
      <c r="C2964" s="70" t="s">
        <v>2979</v>
      </c>
      <c r="D2964" s="71"/>
      <c r="E2964" s="73">
        <v>7755678</v>
      </c>
    </row>
    <row r="2965" spans="1:5">
      <c r="A2965" s="66" t="s">
        <v>2535</v>
      </c>
      <c r="B2965" s="42"/>
      <c r="C2965" s="63" t="s">
        <v>2980</v>
      </c>
      <c r="D2965" s="62"/>
      <c r="E2965" s="67">
        <v>65141594</v>
      </c>
    </row>
    <row r="2966" spans="1:5">
      <c r="A2966" s="68" t="s">
        <v>2535</v>
      </c>
      <c r="B2966" s="69"/>
      <c r="C2966" s="70" t="s">
        <v>2981</v>
      </c>
      <c r="D2966" s="71"/>
      <c r="E2966" s="73">
        <v>7092331</v>
      </c>
    </row>
    <row r="2967" spans="1:5">
      <c r="A2967" s="66" t="s">
        <v>2535</v>
      </c>
      <c r="B2967" s="42"/>
      <c r="C2967" s="63" t="s">
        <v>2982</v>
      </c>
      <c r="D2967" s="62"/>
      <c r="E2967" s="67">
        <v>68931340</v>
      </c>
    </row>
    <row r="2968" spans="1:5">
      <c r="A2968" s="68" t="s">
        <v>2535</v>
      </c>
      <c r="B2968" s="77"/>
      <c r="C2968" s="78" t="s">
        <v>2983</v>
      </c>
      <c r="D2968" s="79"/>
      <c r="E2968" s="80">
        <v>7875773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5"/>
  <sheetViews>
    <sheetView showGridLines="0" workbookViewId="0">
      <selection sqref="A1:A1048576"/>
    </sheetView>
  </sheetViews>
  <sheetFormatPr defaultColWidth="11.42578125" defaultRowHeight="15" outlineLevelRow="1"/>
  <cols>
    <col min="1" max="1" width="29.140625" customWidth="1"/>
    <col min="4" max="4" width="9.140625" customWidth="1"/>
    <col min="5" max="6" width="8.85546875" style="17" customWidth="1"/>
    <col min="8" max="8" width="5.7109375" customWidth="1"/>
    <col min="9" max="9" width="18" customWidth="1"/>
    <col min="10" max="10" width="17.5703125" customWidth="1"/>
    <col min="11" max="11" width="15.5703125" customWidth="1"/>
    <col min="12" max="12" width="12.140625" customWidth="1"/>
    <col min="13" max="13" width="4.140625" customWidth="1"/>
    <col min="16" max="17" width="11.42578125" customWidth="1"/>
  </cols>
  <sheetData>
    <row r="1" spans="1:13" outlineLevel="1">
      <c r="A1" s="2" t="str">
        <f>Hoja2!A2</f>
        <v>ASISTIRA</v>
      </c>
      <c r="B1" s="3">
        <f>COUNTIF(Tabla1[ESTADO],'RESULTADO '!A1)</f>
        <v>1122</v>
      </c>
    </row>
    <row r="2" spans="1:13" outlineLevel="1">
      <c r="A2" s="2" t="str">
        <f>Hoja2!A3</f>
        <v>APAGADO</v>
      </c>
      <c r="B2" s="3">
        <f>COUNTIF(Tabla1[ESTADO],'RESULTADO '!A2)</f>
        <v>671</v>
      </c>
    </row>
    <row r="3" spans="1:13" outlineLevel="1">
      <c r="A3" s="2" t="str">
        <f>Hoja2!A4</f>
        <v>NO PODRA ASISTIR</v>
      </c>
      <c r="B3" s="3">
        <f>COUNTIF(Tabla1[ESTADO],'RESULTADO '!A3)</f>
        <v>409</v>
      </c>
    </row>
    <row r="4" spans="1:13" outlineLevel="1">
      <c r="A4" s="2" t="str">
        <f>Hoja2!A5</f>
        <v>NO LLAMAR</v>
      </c>
      <c r="B4" s="3">
        <f>COUNTIF(Tabla1[ESTADO],'RESULTADO '!A4)</f>
        <v>173</v>
      </c>
    </row>
    <row r="5" spans="1:13" outlineLevel="1">
      <c r="A5" s="2" t="str">
        <f>Hoja2!A6</f>
        <v>VOLVER A LLAMAR</v>
      </c>
      <c r="B5" s="3">
        <f>COUNTIF(Tabla1[ESTADO],'RESULTADO '!A5)</f>
        <v>34</v>
      </c>
    </row>
    <row r="6" spans="1:13" outlineLevel="1">
      <c r="A6" s="2" t="str">
        <f>Hoja2!A7</f>
        <v>NO CONTESTA</v>
      </c>
      <c r="B6" s="3">
        <f>COUNTIF(Tabla1[ESTADO],'RESULTADO '!A6)</f>
        <v>887</v>
      </c>
      <c r="G6" s="1"/>
      <c r="H6" s="1"/>
      <c r="I6" s="1"/>
      <c r="J6" s="1"/>
      <c r="K6" s="1"/>
    </row>
    <row r="7" spans="1:13" outlineLevel="1">
      <c r="A7" s="2" t="str">
        <f>Hoja2!A8</f>
        <v>ENVIAR AL CORREO</v>
      </c>
      <c r="B7" s="3">
        <f>COUNTIF(Tabla1[ESTADO],'RESULTADO '!A7)</f>
        <v>17</v>
      </c>
      <c r="G7" s="1"/>
      <c r="H7" s="1"/>
      <c r="I7" s="1"/>
      <c r="J7" s="1"/>
      <c r="K7" s="1"/>
    </row>
    <row r="8" spans="1:13" outlineLevel="1">
      <c r="A8" s="2" t="str">
        <f>Hoja2!A9</f>
        <v>NO PUEDE CONFIRMAR</v>
      </c>
      <c r="B8" s="3">
        <f>COUNTIF(Tabla1[ESTADO],'RESULTADO '!A8)</f>
        <v>133</v>
      </c>
    </row>
    <row r="9" spans="1:13" outlineLevel="1">
      <c r="A9" s="2" t="str">
        <f>Hoja2!A10</f>
        <v>FUERA DE SERVICIO</v>
      </c>
      <c r="B9" s="3">
        <f>COUNTIF(Tabla1[ESTADO],'RESULTADO '!A9)</f>
        <v>396</v>
      </c>
    </row>
    <row r="10" spans="1:13" outlineLevel="1">
      <c r="A10" s="2" t="s">
        <v>2984</v>
      </c>
      <c r="B10" s="2">
        <f>COUNTBLANK(Tabla1[ESTADO])</f>
        <v>74</v>
      </c>
    </row>
    <row r="11" spans="1:13" outlineLevel="1">
      <c r="A11" s="2" t="s">
        <v>2985</v>
      </c>
      <c r="B11" s="2">
        <f>SUM(B1:B9)</f>
        <v>3842</v>
      </c>
    </row>
    <row r="13" spans="1:13" ht="18.75" customHeight="1">
      <c r="B13" s="17" t="s">
        <v>2986</v>
      </c>
      <c r="C13" s="17" t="s">
        <v>2987</v>
      </c>
      <c r="D13" s="17" t="s">
        <v>2988</v>
      </c>
    </row>
    <row r="14" spans="1:13">
      <c r="A14" s="41" t="s">
        <v>12</v>
      </c>
      <c r="B14" s="153">
        <f>IF(IF(COUNTIFS(Tabla1[REGIONAL],'RESULTADO '!A14,Tabla1[ESTADO],"&lt;&gt;")=0,"",COUNTIFS(Tabla1[REGIONAL],'RESULTADO '!A14,Tabla1[ESTADO],"&lt;&gt;"))=C14,"✅",COUNTIFS(Tabla1[REGIONAL],'RESULTADO '!A14,Tabla1[ESTADO],"&lt;&gt;"))</f>
        <v>317</v>
      </c>
      <c r="C14" s="108">
        <f>COUNTIF(Tabla1[REGIONAL],'RESULTADO '!A14:A25)</f>
        <v>322</v>
      </c>
      <c r="D14" s="107">
        <f>IFERROR(C14-B14,0)</f>
        <v>5</v>
      </c>
      <c r="E14" s="17">
        <f>IF(D14=0,"✅",D14)</f>
        <v>5</v>
      </c>
    </row>
    <row r="15" spans="1:13">
      <c r="A15" s="43" t="s">
        <v>282</v>
      </c>
      <c r="B15" s="153" t="str">
        <f>IF(IF(COUNTIFS(Tabla1[REGIONAL],'RESULTADO '!A15,Tabla1[ESTADO],"&lt;&gt;")=0,"",COUNTIFS(Tabla1[REGIONAL],'RESULTADO '!A15,Tabla1[ESTADO],"&lt;&gt;"))=C15,"✅",COUNTIFS(Tabla1[REGIONAL],'RESULTADO '!A15,Tabla1[ESTADO],"&lt;&gt;"))</f>
        <v>✅</v>
      </c>
      <c r="C15" s="108">
        <f>COUNTIF(Tabla1[REGIONAL],'RESULTADO '!A15:A26)</f>
        <v>266</v>
      </c>
      <c r="D15" s="107">
        <f t="shared" ref="D15:D25" si="0">IFERROR(C15-B15,0)</f>
        <v>0</v>
      </c>
      <c r="E15" s="17" t="str">
        <f t="shared" ref="E15:E25" si="1">IF(D15=0,"✅",D15)</f>
        <v>✅</v>
      </c>
      <c r="G15" s="5"/>
      <c r="H15" s="5"/>
      <c r="I15" s="5"/>
      <c r="J15" s="5"/>
      <c r="K15" s="5"/>
      <c r="L15" s="5"/>
      <c r="M15" s="5"/>
    </row>
    <row r="16" spans="1:13">
      <c r="A16" s="44" t="s">
        <v>463</v>
      </c>
      <c r="B16" s="153">
        <f>IF(IF(COUNTIFS(Tabla1[REGIONAL],'RESULTADO '!A16,Tabla1[ESTADO],"&lt;&gt;")=0,"",COUNTIFS(Tabla1[REGIONAL],'RESULTADO '!A16,Tabla1[ESTADO],"&lt;&gt;"))=C16,"✅",COUNTIFS(Tabla1[REGIONAL],'RESULTADO '!A16,Tabla1[ESTADO],"&lt;&gt;"))</f>
        <v>171</v>
      </c>
      <c r="C16" s="108">
        <f>COUNTIF(Tabla1[REGIONAL],'RESULTADO '!A16:A26)</f>
        <v>183</v>
      </c>
      <c r="D16" s="107">
        <f t="shared" si="0"/>
        <v>12</v>
      </c>
      <c r="E16" s="17">
        <f t="shared" si="1"/>
        <v>12</v>
      </c>
      <c r="G16" s="5"/>
      <c r="H16" s="5"/>
      <c r="I16" s="5"/>
      <c r="J16" s="5"/>
      <c r="K16" s="5"/>
      <c r="L16" s="5"/>
      <c r="M16" s="5"/>
    </row>
    <row r="17" spans="1:13">
      <c r="A17" s="45" t="s">
        <v>644</v>
      </c>
      <c r="B17" s="153" t="str">
        <f>IF(IF(COUNTIFS(Tabla1[REGIONAL],'RESULTADO '!A17,Tabla1[ESTADO],"&lt;&gt;")=0,"",COUNTIFS(Tabla1[REGIONAL],'RESULTADO '!A17,Tabla1[ESTADO],"&lt;&gt;"))=C17,"✅",COUNTIFS(Tabla1[REGIONAL],'RESULTADO '!A17,Tabla1[ESTADO],"&lt;&gt;"))</f>
        <v>✅</v>
      </c>
      <c r="C17" s="108">
        <f>COUNTIF(Tabla1[REGIONAL],'RESULTADO '!A17:A26)</f>
        <v>176</v>
      </c>
      <c r="D17" s="107">
        <f t="shared" si="0"/>
        <v>0</v>
      </c>
      <c r="E17" s="17" t="str">
        <f t="shared" si="1"/>
        <v>✅</v>
      </c>
      <c r="G17" s="5"/>
      <c r="H17" s="5"/>
      <c r="I17" s="5"/>
      <c r="J17" s="5"/>
      <c r="K17" s="5"/>
      <c r="L17" s="5"/>
      <c r="M17" s="5"/>
    </row>
    <row r="18" spans="1:13">
      <c r="A18" s="46" t="s">
        <v>734</v>
      </c>
      <c r="B18" s="153" t="str">
        <f>IF(IF(COUNTIFS(Tabla1[REGIONAL],'RESULTADO '!A18,Tabla1[ESTADO],"&lt;&gt;")=0,"",COUNTIFS(Tabla1[REGIONAL],'RESULTADO '!A18,Tabla1[ESTADO],"&lt;&gt;"))=C18,"✅",COUNTIFS(Tabla1[REGIONAL],'RESULTADO '!A18,Tabla1[ESTADO],"&lt;&gt;"))</f>
        <v>✅</v>
      </c>
      <c r="C18" s="108">
        <f>COUNTIF(Tabla1[REGIONAL],'RESULTADO '!A18:A27)</f>
        <v>357</v>
      </c>
      <c r="D18" s="107">
        <f t="shared" si="0"/>
        <v>0</v>
      </c>
      <c r="E18" s="17" t="str">
        <f t="shared" si="1"/>
        <v>✅</v>
      </c>
      <c r="G18" s="5"/>
      <c r="H18" s="5"/>
      <c r="I18" s="5"/>
      <c r="J18" s="5"/>
      <c r="K18" s="5"/>
      <c r="L18" s="5"/>
      <c r="M18" s="5"/>
    </row>
    <row r="19" spans="1:13">
      <c r="A19" s="47" t="s">
        <v>1005</v>
      </c>
      <c r="B19" s="153" t="str">
        <f>IF(IF(COUNTIFS(Tabla1[REGIONAL],'RESULTADO '!A19,Tabla1[ESTADO],"&lt;&gt;")=0,"",COUNTIFS(Tabla1[REGIONAL],'RESULTADO '!A19,Tabla1[ESTADO],"&lt;&gt;"))=C19,"✅",COUNTIFS(Tabla1[REGIONAL],'RESULTADO '!A19,Tabla1[ESTADO],"&lt;&gt;"))</f>
        <v>✅</v>
      </c>
      <c r="C19" s="108">
        <f>COUNTIF(Tabla1[REGIONAL],'RESULTADO '!A19:A28)</f>
        <v>213</v>
      </c>
      <c r="D19" s="107">
        <f t="shared" si="0"/>
        <v>0</v>
      </c>
      <c r="E19" s="17" t="str">
        <f t="shared" si="1"/>
        <v>✅</v>
      </c>
      <c r="G19" s="5"/>
      <c r="H19" s="5"/>
      <c r="I19" s="5"/>
      <c r="J19" s="5"/>
      <c r="K19" s="5"/>
      <c r="L19" s="5"/>
      <c r="M19" s="5"/>
    </row>
    <row r="20" spans="1:13" ht="28.5">
      <c r="A20" s="48" t="s">
        <v>1186</v>
      </c>
      <c r="B20" s="153">
        <f>IF(IF(COUNTIFS(Tabla1[REGIONAL],'RESULTADO '!A20,Tabla1[ESTADO],"&lt;&gt;")=0,"",COUNTIFS(Tabla1[REGIONAL],'RESULTADO '!A20,Tabla1[ESTADO],"&lt;&gt;"))=C20,"✅",COUNTIFS(Tabla1[REGIONAL],'RESULTADO '!A20,Tabla1[ESTADO],"&lt;&gt;"))</f>
        <v>571</v>
      </c>
      <c r="C20" s="108">
        <f>COUNTIF(Tabla1[REGIONAL],'RESULTADO '!A20:A29)</f>
        <v>627</v>
      </c>
      <c r="D20" s="107">
        <f t="shared" si="0"/>
        <v>56</v>
      </c>
      <c r="E20" s="17">
        <f t="shared" si="1"/>
        <v>56</v>
      </c>
      <c r="G20" s="155" t="s">
        <v>2989</v>
      </c>
      <c r="H20" s="155"/>
      <c r="I20" s="155"/>
      <c r="J20" s="155"/>
      <c r="K20" s="155"/>
      <c r="L20" s="155"/>
      <c r="M20" s="155"/>
    </row>
    <row r="21" spans="1:13" ht="26.25">
      <c r="A21" s="49" t="s">
        <v>1729</v>
      </c>
      <c r="B21" s="153" t="str">
        <f>IF(IF(COUNTIFS(Tabla1[REGIONAL],'RESULTADO '!A21,Tabla1[ESTADO],"&lt;&gt;")=0,"",COUNTIFS(Tabla1[REGIONAL],'RESULTADO '!A21,Tabla1[ESTADO],"&lt;&gt;"))=C21,"✅",COUNTIFS(Tabla1[REGIONAL],'RESULTADO '!A21,Tabla1[ESTADO],"&lt;&gt;"))</f>
        <v>✅</v>
      </c>
      <c r="C21" s="108">
        <f>COUNTIF(Tabla1[REGIONAL],'RESULTADO '!A21:A30)</f>
        <v>266</v>
      </c>
      <c r="D21" s="107">
        <f t="shared" si="0"/>
        <v>0</v>
      </c>
      <c r="E21" s="17" t="str">
        <f t="shared" si="1"/>
        <v>✅</v>
      </c>
      <c r="G21" s="6"/>
      <c r="H21" s="7"/>
      <c r="I21" s="159">
        <f ca="1">NOW()</f>
        <v>46090.609290509259</v>
      </c>
      <c r="J21" s="159"/>
      <c r="K21" s="159"/>
      <c r="L21" s="6"/>
      <c r="M21" s="6"/>
    </row>
    <row r="22" spans="1:13" ht="34.5">
      <c r="A22" s="50" t="s">
        <v>1727</v>
      </c>
      <c r="B22" s="153" t="str">
        <f>IF(IF(COUNTIFS(Tabla1[REGIONAL],'RESULTADO '!A22,Tabla1[ESTADO],"&lt;&gt;")=0,"",COUNTIFS(Tabla1[REGIONAL],'RESULTADO '!A22,Tabla1[ESTADO],"&lt;&gt;"))=C22,"✅",COUNTIFS(Tabla1[REGIONAL],'RESULTADO '!A22,Tabla1[ESTADO],"&lt;&gt;"))</f>
        <v>✅</v>
      </c>
      <c r="C22" s="108">
        <f>COUNTIF(Tabla1[REGIONAL],'RESULTADO '!A22:A31)</f>
        <v>267</v>
      </c>
      <c r="D22" s="107">
        <f t="shared" si="0"/>
        <v>0</v>
      </c>
      <c r="E22" s="17" t="str">
        <f t="shared" si="1"/>
        <v>✅</v>
      </c>
      <c r="G22" s="7"/>
      <c r="H22" s="12"/>
      <c r="I22" s="160" t="s">
        <v>2990</v>
      </c>
      <c r="J22" s="160"/>
      <c r="K22" s="40">
        <f>COUNTA(Tabla1[TELEFONO])</f>
        <v>3911</v>
      </c>
      <c r="L22" s="11"/>
      <c r="M22" s="6"/>
    </row>
    <row r="23" spans="1:13" ht="36.75" customHeight="1">
      <c r="A23" s="51" t="s">
        <v>2088</v>
      </c>
      <c r="B23" s="153">
        <f>IF(IF(COUNTIFS(Tabla1[REGIONAL],'RESULTADO '!A23,Tabla1[ESTADO],"&lt;&gt;")=0,"",COUNTIFS(Tabla1[REGIONAL],'RESULTADO '!A23,Tabla1[ESTADO],"&lt;&gt;"))=C23,"✅",COUNTIFS(Tabla1[REGIONAL],'RESULTADO '!A23,Tabla1[ESTADO],"&lt;&gt;"))</f>
        <v>499</v>
      </c>
      <c r="C23" s="108">
        <f>COUNTIF(Tabla1[REGIONAL],'RESULTADO '!A23:A33)</f>
        <v>500</v>
      </c>
      <c r="D23" s="107">
        <f t="shared" si="0"/>
        <v>1</v>
      </c>
      <c r="E23" s="17">
        <f t="shared" si="1"/>
        <v>1</v>
      </c>
      <c r="G23" s="7"/>
      <c r="H23" s="13"/>
      <c r="I23" s="156" t="str">
        <f>A11</f>
        <v xml:space="preserve"> LLAMADAS HECHAS </v>
      </c>
      <c r="J23" s="156"/>
      <c r="K23" s="61">
        <f>B11</f>
        <v>3842</v>
      </c>
      <c r="L23" s="11"/>
      <c r="M23" s="6"/>
    </row>
    <row r="24" spans="1:13" ht="14.25" customHeight="1">
      <c r="A24" s="52" t="s">
        <v>2991</v>
      </c>
      <c r="B24" s="153" t="str">
        <f>IF(IF(COUNTIFS(Tabla1[REGIONAL],'RESULTADO '!A24,Tabla1[ESTADO],"&lt;&gt;")=0,"",COUNTIFS(Tabla1[REGIONAL],'RESULTADO '!A24,Tabla1[ESTADO],"&lt;&gt;"))=C24,"✅",COUNTIFS(Tabla1[REGIONAL],'RESULTADO '!A24,Tabla1[ESTADO],"&lt;&gt;"))</f>
        <v>✅</v>
      </c>
      <c r="C24" s="108">
        <f>COUNTIF(Tabla1[REGIONAL],'RESULTADO '!A24:A34)</f>
        <v>203</v>
      </c>
      <c r="D24" s="107">
        <f t="shared" si="0"/>
        <v>0</v>
      </c>
      <c r="E24" s="17" t="str">
        <f t="shared" si="1"/>
        <v>✅</v>
      </c>
      <c r="G24" s="7"/>
      <c r="H24" s="13"/>
      <c r="I24" s="25"/>
      <c r="J24" s="25"/>
      <c r="K24" s="26"/>
      <c r="L24" s="11"/>
      <c r="M24" s="6"/>
    </row>
    <row r="25" spans="1:13" ht="24" customHeight="1">
      <c r="A25" s="53" t="s">
        <v>2535</v>
      </c>
      <c r="B25" s="153" t="str">
        <f>IF(IF(COUNTIFS(Tabla1[REGIONAL],'RESULTADO '!A25,Tabla1[ESTADO],"&lt;&gt;")=0,"",COUNTIFS(Tabla1[REGIONAL],'RESULTADO '!A25,Tabla1[ESTADO],"&lt;&gt;"))=C25,"✅",COUNTIFS(Tabla1[REGIONAL],'RESULTADO '!A25,Tabla1[ESTADO],"&lt;&gt;"))</f>
        <v>✅</v>
      </c>
      <c r="C25" s="108">
        <f>COUNTIF(Tabla1[REGIONAL],'RESULTADO '!A25:A35)</f>
        <v>536</v>
      </c>
      <c r="D25" s="107">
        <f t="shared" si="0"/>
        <v>0</v>
      </c>
      <c r="E25" s="17" t="str">
        <f t="shared" si="1"/>
        <v>✅</v>
      </c>
      <c r="G25" s="7"/>
      <c r="H25" s="14"/>
      <c r="I25" s="38" t="str">
        <f>A1</f>
        <v>ASISTIRA</v>
      </c>
      <c r="J25" s="9" t="str">
        <f>A3</f>
        <v>NO PODRA ASISTIR</v>
      </c>
      <c r="K25" s="8" t="str">
        <f>A4</f>
        <v>NO LLAMAR</v>
      </c>
      <c r="L25" s="11"/>
      <c r="M25" s="6"/>
    </row>
    <row r="26" spans="1:13" ht="51.75" customHeight="1" thickBot="1">
      <c r="B26" s="42" t="e">
        <f>IF(IF(COUNTIFS(Tabla1[REGIONAL],'RESULTADO '!A26,Tabla1[ESTADO],"&lt;&gt;")=0,"",COUNTIFS(Tabla1[REGIONAL],'RESULTADO '!A26,Tabla1[ESTADO],"&lt;&gt;")),"✅",B26)</f>
        <v>#VALUE!</v>
      </c>
      <c r="G26" s="7"/>
      <c r="H26" s="14"/>
      <c r="I26" s="39">
        <f>B1</f>
        <v>1122</v>
      </c>
      <c r="J26" s="33">
        <f>B3</f>
        <v>409</v>
      </c>
      <c r="K26" s="34">
        <f>B4</f>
        <v>173</v>
      </c>
      <c r="L26" s="11"/>
      <c r="M26" s="6"/>
    </row>
    <row r="27" spans="1:13" ht="29.25" thickTop="1">
      <c r="G27" s="7"/>
      <c r="H27" s="14"/>
      <c r="I27" s="27" t="str">
        <f>A10</f>
        <v xml:space="preserve">LLAMADAS FALTANTES </v>
      </c>
      <c r="J27" s="28" t="str">
        <f>A5</f>
        <v>VOLVER A LLAMAR</v>
      </c>
      <c r="K27" s="29" t="str">
        <f>A6</f>
        <v>NO CONTESTA</v>
      </c>
      <c r="L27" s="11"/>
      <c r="M27" s="6"/>
    </row>
    <row r="28" spans="1:13" ht="42.75" customHeight="1" thickBot="1">
      <c r="G28" s="7"/>
      <c r="H28" s="14"/>
      <c r="I28" s="35">
        <f>B10</f>
        <v>74</v>
      </c>
      <c r="J28" s="36">
        <f>B5</f>
        <v>34</v>
      </c>
      <c r="K28" s="37">
        <f>B6</f>
        <v>887</v>
      </c>
      <c r="L28" s="11"/>
      <c r="M28" s="6"/>
    </row>
    <row r="29" spans="1:13" ht="31.5" customHeight="1" thickTop="1">
      <c r="G29" s="7"/>
      <c r="H29" s="14"/>
      <c r="I29" s="30" t="str">
        <f>A2</f>
        <v>APAGADO</v>
      </c>
      <c r="J29" s="29" t="str">
        <f>A7</f>
        <v>ENVIAR AL CORREO</v>
      </c>
      <c r="K29" s="31" t="str">
        <f>A8</f>
        <v>NO PUEDE CONFIRMAR</v>
      </c>
      <c r="L29" s="11"/>
      <c r="M29" s="6"/>
    </row>
    <row r="30" spans="1:13" ht="42" customHeight="1" thickBot="1">
      <c r="G30" s="7"/>
      <c r="H30" s="14"/>
      <c r="I30" s="36">
        <f>B2</f>
        <v>671</v>
      </c>
      <c r="J30" s="33">
        <f>B7</f>
        <v>17</v>
      </c>
      <c r="K30" s="36">
        <f>B8</f>
        <v>133</v>
      </c>
      <c r="L30" s="11"/>
      <c r="M30" s="6"/>
    </row>
    <row r="31" spans="1:13" ht="27.75" customHeight="1" thickTop="1">
      <c r="G31" s="27"/>
      <c r="H31" s="15"/>
      <c r="I31" s="55" t="s">
        <v>9</v>
      </c>
      <c r="J31" s="6"/>
      <c r="K31" s="6"/>
      <c r="L31" s="6"/>
      <c r="M31" s="6"/>
    </row>
    <row r="32" spans="1:13" ht="29.25" customHeight="1" thickBot="1">
      <c r="G32" s="6"/>
      <c r="H32" s="54"/>
      <c r="I32" s="33">
        <f>B9</f>
        <v>396</v>
      </c>
      <c r="J32" s="6"/>
      <c r="K32" s="6"/>
      <c r="L32" s="6"/>
      <c r="M32" s="6"/>
    </row>
    <row r="33" spans="7:13" ht="33" customHeight="1" thickTop="1">
      <c r="G33" s="158" t="s">
        <v>2992</v>
      </c>
      <c r="H33" s="158"/>
      <c r="I33" s="158"/>
      <c r="J33" s="24">
        <f>B11/K22</f>
        <v>0.98235745333674251</v>
      </c>
      <c r="K33" s="157" t="s">
        <v>2993</v>
      </c>
      <c r="L33" s="157"/>
      <c r="M33" s="6"/>
    </row>
    <row r="34" spans="7:13" ht="15" customHeight="1">
      <c r="G34" s="6"/>
      <c r="H34" s="6"/>
      <c r="I34" s="6"/>
      <c r="J34" s="10"/>
      <c r="K34" s="10"/>
      <c r="L34" s="6"/>
      <c r="M34" s="6"/>
    </row>
    <row r="35" spans="7:13">
      <c r="G35" s="6"/>
      <c r="H35" s="6"/>
      <c r="I35" s="6"/>
      <c r="J35" s="6"/>
      <c r="K35" s="6"/>
      <c r="L35" s="6"/>
      <c r="M35" s="6"/>
    </row>
  </sheetData>
  <mergeCells count="6">
    <mergeCell ref="G20:M20"/>
    <mergeCell ref="I23:J23"/>
    <mergeCell ref="K33:L33"/>
    <mergeCell ref="G33:I33"/>
    <mergeCell ref="I21:K21"/>
    <mergeCell ref="I22:J22"/>
  </mergeCells>
  <pageMargins left="0.7" right="0.7" top="0.75" bottom="0.75" header="0.3" footer="0.3"/>
  <pageSetup orientation="portrait" horizontalDpi="4294967293" verticalDpi="0" r:id="rId1"/>
  <ignoredErrors>
    <ignoredError sqref="J26:K26 J28:K28 J25:K25 J27:K27 J29:K29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3920"/>
  <sheetViews>
    <sheetView tabSelected="1" zoomScaleNormal="100" workbookViewId="0">
      <pane ySplit="4" topLeftCell="B3348" activePane="bottomLeft" state="frozen"/>
      <selection pane="bottomLeft" activeCell="C810" sqref="C810"/>
    </sheetView>
  </sheetViews>
  <sheetFormatPr defaultColWidth="11.42578125" defaultRowHeight="15"/>
  <cols>
    <col min="1" max="1" width="17.140625" customWidth="1"/>
    <col min="2" max="2" width="24.42578125" style="16" customWidth="1"/>
    <col min="3" max="3" width="43.85546875" style="19" customWidth="1"/>
    <col min="4" max="4" width="28.140625" style="18" customWidth="1"/>
    <col min="5" max="5" width="20" style="18" customWidth="1"/>
    <col min="6" max="6" width="28.85546875" style="20" customWidth="1"/>
    <col min="7" max="7" width="22.140625" style="17" customWidth="1"/>
    <col min="8" max="8" width="21.5703125" style="17" customWidth="1"/>
    <col min="9" max="9" width="15.28515625" style="127" customWidth="1"/>
    <col min="10" max="10" width="21.140625" style="21" customWidth="1"/>
    <col min="11" max="11" width="12.5703125" style="22" customWidth="1"/>
    <col min="12" max="12" width="39.85546875" style="23" customWidth="1"/>
    <col min="14" max="64" width="11.42578125" style="1"/>
  </cols>
  <sheetData>
    <row r="1" spans="1:13" s="56" customFormat="1" ht="23.25" customHeight="1">
      <c r="B1" s="163" t="str">
        <f>"☎️ "&amp;'RESULTADO '!I22&amp;"  "&amp;'RESULTADO '!K22</f>
        <v>☎️ LLAMADAS POR REALIZAR   3911</v>
      </c>
      <c r="C1" s="163"/>
      <c r="D1" s="81"/>
      <c r="E1" s="162" t="str">
        <f>"📞"&amp;'RESULTADO '!A11&amp;"  "&amp;'RESULTADO '!B11</f>
        <v>📞 LLAMADAS HECHAS   3842</v>
      </c>
      <c r="F1" s="162"/>
      <c r="G1" s="82"/>
      <c r="H1" s="130" t="str">
        <f>"⚠️ "&amp;'RESULTADO '!A10&amp;"  "&amp;'RESULTADO '!B10</f>
        <v>⚠️ LLAMADAS FALTANTES   74</v>
      </c>
      <c r="I1" s="125"/>
      <c r="J1" s="86"/>
      <c r="K1" s="166">
        <f>IFERROR('RESULTADO '!J33,0)</f>
        <v>0.98235745333674251</v>
      </c>
      <c r="L1" s="165" t="s">
        <v>2994</v>
      </c>
    </row>
    <row r="2" spans="1:13" s="59" customFormat="1" ht="12.75" customHeight="1">
      <c r="A2" s="83" t="str">
        <f>"✔️ "&amp;'RESULTADO '!A1&amp;"  "&amp;'RESULTADO '!B1</f>
        <v>✔️ ASISTIRA  1122</v>
      </c>
      <c r="B2" s="84" t="str">
        <f>"📵 "&amp;'RESULTADO '!A2&amp;"  "&amp;'RESULTADO '!B2</f>
        <v>📵 APAGADO  671</v>
      </c>
      <c r="C2" s="83" t="str">
        <f>"❌"&amp;'RESULTADO '!A3&amp;"  "&amp;'RESULTADO '!B3</f>
        <v>❌NO PODRA ASISTIR  409</v>
      </c>
      <c r="D2" s="84" t="str">
        <f>"🔄 "&amp;'RESULTADO '!A5&amp;"  "&amp;'RESULTADO '!B5</f>
        <v>🔄 VOLVER A LLAMAR  34</v>
      </c>
      <c r="E2" s="60" t="str">
        <f>"🚫 "&amp;'RESULTADO '!A4&amp;"  "&amp;'RESULTADO '!B4</f>
        <v>🚫 NO LLAMAR  173</v>
      </c>
      <c r="F2" s="84" t="str">
        <f>"❓"&amp;'RESULTADO '!A8&amp;"  "&amp;'RESULTADO '!B8</f>
        <v>❓NO PUEDE CONFIRMAR  133</v>
      </c>
      <c r="G2" s="83" t="str">
        <f>"📧 "&amp;'RESULTADO '!A7&amp;"  "&amp;'RESULTADO '!B7</f>
        <v>📧 ENVIAR AL CORREO  17</v>
      </c>
      <c r="H2" s="84" t="str">
        <f>"📴 "&amp;'RESULTADO '!A6&amp;"  "&amp;'RESULTADO '!B6</f>
        <v>📴 NO CONTESTA  887</v>
      </c>
      <c r="I2" s="161" t="str">
        <f>"   📴 "&amp;'RESULTADO '!A9&amp;"  "&amp;'RESULTADO '!B9</f>
        <v xml:space="preserve">   📴 FUERA DE SERVICIO  396</v>
      </c>
      <c r="J2" s="161"/>
      <c r="K2" s="166"/>
      <c r="L2" s="165"/>
      <c r="M2" s="58"/>
    </row>
    <row r="3" spans="1:13" s="85" customFormat="1" ht="18" customHeight="1">
      <c r="A3" s="164" t="str">
        <f>IFERROR("LLAMADAS A REALIZAR POR REGIONAL:  "&amp;'RESULTADO '!A14&amp;" "&amp;'RESULTADO '!E14&amp;" |  "&amp;'RESULTADO '!A15&amp;" "&amp;'RESULTADO '!E15&amp;" |  "&amp;'RESULTADO '!A16&amp;" "&amp;'RESULTADO '!E16&amp;" |   "&amp;'RESULTADO '!A17&amp;" "&amp;'RESULTADO '!E17&amp;" |  "&amp;'RESULTADO '!A18&amp;" "&amp;'RESULTADO '!E18&amp;" |  "&amp;'RESULTADO '!A19&amp;" "&amp;'RESULTADO '!E19&amp;" |  "&amp;'RESULTADO '!A20&amp;" "&amp;'RESULTADO '!E20&amp;"  |  "&amp;'RESULTADO '!A21&amp;" "&amp;'RESULTADO '!E21&amp;"  |  "&amp;'RESULTADO '!A22&amp;" "&amp;'RESULTADO '!E22&amp;"  |  "&amp;'RESULTADO '!A23&amp;" "&amp;'RESULTADO '!E23&amp;" |  "&amp;'RESULTADO '!A24&amp;" "&amp;'RESULTADO '!E24&amp;"  |  "&amp;'RESULTADO '!A25&amp;" "&amp;'RESULTADO '!E25,"")</f>
        <v>LLAMADAS A REALIZAR POR REGIONAL:  BOCAS DEL TORO 5 |  COCLE ✅ |  COLON 12 |   DARIEN ✅ |  DAVID ✅ |  GUNA YALA ✅ |  HERRERA 56  |  LOS SANTOS ✅  |  PANAMA ESTE ✅  |  PANAMA OESTE 1 |  SAN MIGUELITO ✅  |  VERAGUAS ✅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</row>
    <row r="4" spans="1:13" s="110" customFormat="1" ht="15.75">
      <c r="A4" s="110" t="s">
        <v>2995</v>
      </c>
      <c r="B4" s="110" t="s">
        <v>2996</v>
      </c>
      <c r="C4" s="110" t="s">
        <v>2997</v>
      </c>
      <c r="D4" s="110" t="s">
        <v>2998</v>
      </c>
      <c r="E4" s="111" t="s">
        <v>2999</v>
      </c>
      <c r="F4" s="110" t="s">
        <v>3000</v>
      </c>
      <c r="G4" s="112" t="s">
        <v>0</v>
      </c>
      <c r="H4" s="113" t="s">
        <v>3001</v>
      </c>
      <c r="I4" s="114" t="s">
        <v>3002</v>
      </c>
      <c r="J4" s="110" t="s">
        <v>3003</v>
      </c>
      <c r="K4" s="112" t="s">
        <v>3004</v>
      </c>
      <c r="L4" s="110" t="s">
        <v>3005</v>
      </c>
      <c r="M4" s="115"/>
    </row>
    <row r="5" spans="1:13" s="32" customFormat="1" ht="16.5" customHeight="1">
      <c r="A5" s="95" t="s">
        <v>12</v>
      </c>
      <c r="B5" s="98" t="s">
        <v>3006</v>
      </c>
      <c r="C5" s="87" t="s">
        <v>3007</v>
      </c>
      <c r="D5" s="88"/>
      <c r="E5" s="89">
        <v>67793529</v>
      </c>
      <c r="F5"/>
      <c r="G5" s="90" t="s">
        <v>3</v>
      </c>
      <c r="H5" s="131">
        <v>46084</v>
      </c>
      <c r="I5" s="126">
        <v>0.54722222222222228</v>
      </c>
      <c r="J5" s="91"/>
      <c r="K5"/>
      <c r="L5" t="s">
        <v>3008</v>
      </c>
      <c r="M5" s="57"/>
    </row>
    <row r="6" spans="1:13">
      <c r="A6" s="95" t="s">
        <v>12</v>
      </c>
      <c r="B6" s="98" t="s">
        <v>3006</v>
      </c>
      <c r="C6" s="87" t="s">
        <v>13</v>
      </c>
      <c r="D6" s="88"/>
      <c r="E6" s="89">
        <v>64728992</v>
      </c>
      <c r="F6"/>
      <c r="G6" s="17" t="s">
        <v>6</v>
      </c>
      <c r="H6" s="132">
        <v>46084</v>
      </c>
      <c r="I6" s="127">
        <v>0.55486111111111114</v>
      </c>
      <c r="J6"/>
      <c r="K6"/>
      <c r="L6"/>
    </row>
    <row r="7" spans="1:13">
      <c r="A7" s="95" t="s">
        <v>12</v>
      </c>
      <c r="B7" s="98" t="s">
        <v>3006</v>
      </c>
      <c r="C7" s="87" t="s">
        <v>14</v>
      </c>
      <c r="D7" s="88" t="s">
        <v>3009</v>
      </c>
      <c r="E7" s="89">
        <v>65467904</v>
      </c>
      <c r="F7"/>
      <c r="G7" s="17" t="s">
        <v>1</v>
      </c>
      <c r="H7" s="132">
        <v>46084</v>
      </c>
      <c r="I7" s="127">
        <v>0.55486111111111114</v>
      </c>
      <c r="J7"/>
      <c r="K7"/>
      <c r="L7"/>
    </row>
    <row r="8" spans="1:13">
      <c r="A8" s="95" t="s">
        <v>12</v>
      </c>
      <c r="B8" s="98" t="s">
        <v>3006</v>
      </c>
      <c r="C8" s="87" t="s">
        <v>15</v>
      </c>
      <c r="D8" s="88"/>
      <c r="E8" s="89">
        <v>65867202</v>
      </c>
      <c r="F8"/>
      <c r="G8" s="17" t="s">
        <v>6</v>
      </c>
      <c r="H8" s="132">
        <v>46084</v>
      </c>
      <c r="I8" s="127">
        <v>0.55555555555555558</v>
      </c>
      <c r="J8"/>
      <c r="K8"/>
      <c r="L8"/>
    </row>
    <row r="9" spans="1:13">
      <c r="A9" s="95" t="s">
        <v>12</v>
      </c>
      <c r="B9" s="98" t="s">
        <v>3006</v>
      </c>
      <c r="C9" s="87" t="s">
        <v>16</v>
      </c>
      <c r="D9" s="88"/>
      <c r="E9" s="89">
        <v>62494147</v>
      </c>
      <c r="F9"/>
      <c r="G9" s="17" t="s">
        <v>6</v>
      </c>
      <c r="H9" s="132">
        <v>46084</v>
      </c>
      <c r="I9" s="127">
        <v>0.55694444444444446</v>
      </c>
      <c r="J9"/>
      <c r="K9"/>
      <c r="L9"/>
    </row>
    <row r="10" spans="1:13">
      <c r="A10" s="95" t="s">
        <v>12</v>
      </c>
      <c r="B10" s="98" t="s">
        <v>3006</v>
      </c>
      <c r="C10" s="87" t="s">
        <v>17</v>
      </c>
      <c r="D10" s="88"/>
      <c r="E10" s="89">
        <v>64217218</v>
      </c>
      <c r="F10"/>
      <c r="G10" s="17" t="s">
        <v>6</v>
      </c>
      <c r="H10" s="132">
        <v>46084</v>
      </c>
      <c r="I10" s="127">
        <v>0.56041666666666667</v>
      </c>
      <c r="J10"/>
      <c r="K10"/>
      <c r="L10"/>
    </row>
    <row r="11" spans="1:13">
      <c r="A11" s="95" t="s">
        <v>12</v>
      </c>
      <c r="B11" s="98" t="s">
        <v>3006</v>
      </c>
      <c r="C11" s="87" t="s">
        <v>18</v>
      </c>
      <c r="D11" s="88"/>
      <c r="E11" s="89">
        <v>64284378</v>
      </c>
      <c r="F11"/>
      <c r="G11" s="17" t="s">
        <v>1</v>
      </c>
      <c r="H11" s="132">
        <v>46084</v>
      </c>
      <c r="I11" s="127">
        <v>0.5625</v>
      </c>
      <c r="J11"/>
      <c r="K11"/>
      <c r="L11"/>
    </row>
    <row r="12" spans="1:13">
      <c r="A12" s="95" t="s">
        <v>12</v>
      </c>
      <c r="B12" s="98" t="s">
        <v>3006</v>
      </c>
      <c r="C12" s="87" t="s">
        <v>19</v>
      </c>
      <c r="D12" s="88"/>
      <c r="E12" s="89">
        <v>7756849</v>
      </c>
      <c r="F12"/>
      <c r="G12" s="17" t="s">
        <v>3</v>
      </c>
      <c r="H12" s="132">
        <v>46084</v>
      </c>
      <c r="I12" s="127">
        <v>0.56388888888888888</v>
      </c>
      <c r="J12"/>
      <c r="K12"/>
      <c r="L12"/>
    </row>
    <row r="13" spans="1:13">
      <c r="A13" s="95" t="s">
        <v>12</v>
      </c>
      <c r="B13" s="98" t="s">
        <v>3006</v>
      </c>
      <c r="C13" s="87" t="s">
        <v>20</v>
      </c>
      <c r="D13" s="88" t="s">
        <v>3010</v>
      </c>
      <c r="E13" s="89">
        <v>66221649</v>
      </c>
      <c r="F13"/>
      <c r="G13" s="17" t="s">
        <v>1</v>
      </c>
      <c r="H13" s="132">
        <v>46084</v>
      </c>
      <c r="I13" s="127">
        <v>0.56666666666666665</v>
      </c>
      <c r="J13"/>
      <c r="K13"/>
      <c r="L13"/>
    </row>
    <row r="14" spans="1:13">
      <c r="A14" s="95" t="s">
        <v>12</v>
      </c>
      <c r="B14" s="98" t="s">
        <v>3006</v>
      </c>
      <c r="C14" s="87" t="s">
        <v>21</v>
      </c>
      <c r="D14" s="88"/>
      <c r="E14" s="89">
        <v>64002910</v>
      </c>
      <c r="F14"/>
      <c r="G14" s="17" t="s">
        <v>2</v>
      </c>
      <c r="H14" s="132">
        <v>46084</v>
      </c>
      <c r="I14" s="127">
        <v>0.56805555555555554</v>
      </c>
      <c r="J14"/>
      <c r="K14"/>
      <c r="L14"/>
    </row>
    <row r="15" spans="1:13">
      <c r="A15" s="95" t="s">
        <v>12</v>
      </c>
      <c r="B15" s="98" t="s">
        <v>3006</v>
      </c>
      <c r="C15" s="87" t="s">
        <v>22</v>
      </c>
      <c r="D15" s="88"/>
      <c r="E15" s="89">
        <v>67347086</v>
      </c>
      <c r="F15"/>
      <c r="G15" s="17" t="s">
        <v>9</v>
      </c>
      <c r="H15" s="132">
        <v>46084</v>
      </c>
      <c r="I15" s="127">
        <v>0.5708333333333333</v>
      </c>
      <c r="J15"/>
      <c r="K15"/>
      <c r="L15"/>
    </row>
    <row r="16" spans="1:13">
      <c r="A16" s="95" t="s">
        <v>12</v>
      </c>
      <c r="B16" s="98" t="s">
        <v>3006</v>
      </c>
      <c r="C16" s="87" t="s">
        <v>23</v>
      </c>
      <c r="D16" s="88"/>
      <c r="E16" s="89">
        <v>67890276</v>
      </c>
      <c r="F16"/>
      <c r="G16" s="17" t="s">
        <v>6</v>
      </c>
      <c r="H16" s="132">
        <v>46084</v>
      </c>
      <c r="I16" s="127">
        <v>0.57152777777777775</v>
      </c>
      <c r="J16"/>
      <c r="K16"/>
      <c r="L16"/>
    </row>
    <row r="17" spans="1:12">
      <c r="A17" s="95" t="s">
        <v>12</v>
      </c>
      <c r="B17" s="98" t="s">
        <v>3006</v>
      </c>
      <c r="C17" s="87" t="s">
        <v>24</v>
      </c>
      <c r="D17" s="88"/>
      <c r="E17" s="89">
        <v>69463180</v>
      </c>
      <c r="F17"/>
      <c r="G17" s="17" t="s">
        <v>1</v>
      </c>
      <c r="H17" s="132">
        <v>46084</v>
      </c>
      <c r="I17" s="127">
        <v>0.57361111111111107</v>
      </c>
      <c r="J17"/>
      <c r="K17"/>
      <c r="L17"/>
    </row>
    <row r="18" spans="1:12">
      <c r="A18" s="95" t="s">
        <v>12</v>
      </c>
      <c r="B18" s="98" t="s">
        <v>3006</v>
      </c>
      <c r="C18" s="87" t="s">
        <v>25</v>
      </c>
      <c r="D18" s="88"/>
      <c r="E18" s="89">
        <v>68025745</v>
      </c>
      <c r="F18"/>
      <c r="G18" s="17" t="s">
        <v>6</v>
      </c>
      <c r="H18" s="132">
        <v>46084</v>
      </c>
      <c r="I18" s="127">
        <v>0.58333333333333337</v>
      </c>
      <c r="J18"/>
      <c r="K18"/>
      <c r="L18"/>
    </row>
    <row r="19" spans="1:12">
      <c r="A19" s="95" t="s">
        <v>12</v>
      </c>
      <c r="B19" s="98" t="s">
        <v>3006</v>
      </c>
      <c r="C19" s="87" t="s">
        <v>26</v>
      </c>
      <c r="D19" s="88"/>
      <c r="E19" s="89">
        <v>62706227</v>
      </c>
      <c r="F19"/>
      <c r="G19" s="17" t="s">
        <v>4</v>
      </c>
      <c r="H19" s="132">
        <v>46084</v>
      </c>
      <c r="I19" s="127">
        <v>0.5854166666666667</v>
      </c>
      <c r="J19"/>
      <c r="K19"/>
      <c r="L19"/>
    </row>
    <row r="20" spans="1:12">
      <c r="A20" s="95" t="s">
        <v>12</v>
      </c>
      <c r="B20" s="98" t="s">
        <v>3006</v>
      </c>
      <c r="C20" s="87" t="s">
        <v>27</v>
      </c>
      <c r="D20" s="88"/>
      <c r="E20" s="89">
        <v>60331992</v>
      </c>
      <c r="F20"/>
      <c r="G20" s="17" t="s">
        <v>1</v>
      </c>
      <c r="H20" s="132">
        <v>46084</v>
      </c>
      <c r="I20" s="127">
        <v>0.58819444444444446</v>
      </c>
      <c r="J20"/>
      <c r="K20"/>
      <c r="L20"/>
    </row>
    <row r="21" spans="1:12">
      <c r="A21" s="95" t="s">
        <v>12</v>
      </c>
      <c r="B21" s="98" t="s">
        <v>3006</v>
      </c>
      <c r="C21" s="87" t="s">
        <v>28</v>
      </c>
      <c r="D21" s="88"/>
      <c r="E21" s="89">
        <v>60581179</v>
      </c>
      <c r="F21"/>
      <c r="G21" s="17" t="s">
        <v>1</v>
      </c>
      <c r="H21" s="132">
        <v>46084</v>
      </c>
      <c r="I21" s="127">
        <v>0.59166666666666667</v>
      </c>
      <c r="J21"/>
      <c r="K21"/>
      <c r="L21"/>
    </row>
    <row r="22" spans="1:12">
      <c r="A22" s="95" t="s">
        <v>12</v>
      </c>
      <c r="B22" s="98" t="s">
        <v>3006</v>
      </c>
      <c r="C22" s="87" t="s">
        <v>29</v>
      </c>
      <c r="D22" s="88"/>
      <c r="E22" s="89">
        <v>7871997</v>
      </c>
      <c r="F22"/>
      <c r="G22" s="17" t="s">
        <v>6</v>
      </c>
      <c r="H22" s="132">
        <v>46084</v>
      </c>
      <c r="I22" s="127">
        <v>0.59236111111111112</v>
      </c>
      <c r="J22"/>
      <c r="K22"/>
      <c r="L22"/>
    </row>
    <row r="23" spans="1:12">
      <c r="A23" s="95" t="s">
        <v>12</v>
      </c>
      <c r="B23" s="98" t="s">
        <v>3006</v>
      </c>
      <c r="C23" s="87" t="s">
        <v>30</v>
      </c>
      <c r="D23" s="88"/>
      <c r="E23" s="89">
        <v>62407921</v>
      </c>
      <c r="F23"/>
      <c r="G23" s="17" t="s">
        <v>2</v>
      </c>
      <c r="H23" s="132">
        <v>46084</v>
      </c>
      <c r="I23" s="127">
        <v>0.59722222222222221</v>
      </c>
      <c r="J23"/>
      <c r="K23"/>
      <c r="L23"/>
    </row>
    <row r="24" spans="1:12">
      <c r="A24" s="95" t="s">
        <v>12</v>
      </c>
      <c r="B24" s="98" t="s">
        <v>3006</v>
      </c>
      <c r="C24" s="87" t="s">
        <v>31</v>
      </c>
      <c r="D24" s="88"/>
      <c r="E24" s="89">
        <v>63438357</v>
      </c>
      <c r="F24"/>
      <c r="G24" s="17" t="s">
        <v>6</v>
      </c>
      <c r="H24" s="132">
        <v>46084</v>
      </c>
      <c r="I24" s="127">
        <v>0.59791666666666665</v>
      </c>
      <c r="J24"/>
      <c r="K24"/>
      <c r="L24"/>
    </row>
    <row r="25" spans="1:12">
      <c r="A25" s="95" t="s">
        <v>12</v>
      </c>
      <c r="B25" s="98" t="s">
        <v>3006</v>
      </c>
      <c r="C25" s="87" t="s">
        <v>32</v>
      </c>
      <c r="D25" s="88"/>
      <c r="E25" s="89">
        <v>7214011</v>
      </c>
      <c r="F25"/>
      <c r="G25" s="17" t="s">
        <v>6</v>
      </c>
      <c r="H25" s="132">
        <v>46084</v>
      </c>
      <c r="I25" s="127">
        <v>0.59861111111111109</v>
      </c>
      <c r="J25"/>
      <c r="K25"/>
      <c r="L25"/>
    </row>
    <row r="26" spans="1:12">
      <c r="A26" s="95" t="s">
        <v>12</v>
      </c>
      <c r="B26" s="98" t="s">
        <v>3006</v>
      </c>
      <c r="C26" s="87" t="s">
        <v>33</v>
      </c>
      <c r="D26" s="88" t="s">
        <v>3011</v>
      </c>
      <c r="E26" s="89">
        <v>63511676</v>
      </c>
      <c r="F26"/>
      <c r="G26" s="17" t="s">
        <v>1</v>
      </c>
      <c r="H26" s="132">
        <v>46084</v>
      </c>
      <c r="I26" s="127">
        <v>0.60347222222222219</v>
      </c>
      <c r="J26"/>
      <c r="K26"/>
      <c r="L26"/>
    </row>
    <row r="27" spans="1:12">
      <c r="A27" s="95" t="s">
        <v>12</v>
      </c>
      <c r="B27" s="98" t="s">
        <v>3006</v>
      </c>
      <c r="C27" s="87" t="s">
        <v>34</v>
      </c>
      <c r="D27" s="88"/>
      <c r="E27" s="89">
        <v>68317627</v>
      </c>
      <c r="F27"/>
      <c r="G27" s="17" t="s">
        <v>1</v>
      </c>
      <c r="H27" s="132">
        <v>46084</v>
      </c>
      <c r="I27" s="127">
        <v>0.6069444444444444</v>
      </c>
      <c r="J27"/>
      <c r="K27"/>
      <c r="L27"/>
    </row>
    <row r="28" spans="1:12">
      <c r="A28" s="95" t="s">
        <v>12</v>
      </c>
      <c r="B28" s="98" t="s">
        <v>3006</v>
      </c>
      <c r="C28" s="87" t="s">
        <v>35</v>
      </c>
      <c r="D28" s="88"/>
      <c r="E28" s="89">
        <v>62240942</v>
      </c>
      <c r="F28"/>
      <c r="G28" s="17" t="s">
        <v>6</v>
      </c>
      <c r="H28" s="132">
        <v>46084</v>
      </c>
      <c r="I28" s="127">
        <v>0.60833333333333328</v>
      </c>
      <c r="J28"/>
      <c r="K28"/>
      <c r="L28"/>
    </row>
    <row r="29" spans="1:12">
      <c r="A29" s="95" t="s">
        <v>12</v>
      </c>
      <c r="B29" s="98" t="s">
        <v>3006</v>
      </c>
      <c r="C29" s="87" t="s">
        <v>36</v>
      </c>
      <c r="D29" s="88"/>
      <c r="E29" s="89">
        <v>7756223</v>
      </c>
      <c r="F29"/>
      <c r="G29" s="17" t="s">
        <v>3</v>
      </c>
      <c r="H29" s="132">
        <v>46084</v>
      </c>
      <c r="I29" s="127">
        <v>0.61597222222222225</v>
      </c>
      <c r="J29"/>
      <c r="K29"/>
      <c r="L29"/>
    </row>
    <row r="30" spans="1:12">
      <c r="A30" s="95" t="s">
        <v>12</v>
      </c>
      <c r="B30" s="98" t="s">
        <v>3006</v>
      </c>
      <c r="C30" s="87" t="s">
        <v>37</v>
      </c>
      <c r="D30" s="88"/>
      <c r="E30" s="89">
        <v>65609160</v>
      </c>
      <c r="F30"/>
      <c r="G30" s="17" t="s">
        <v>9</v>
      </c>
      <c r="H30" s="132">
        <v>46084</v>
      </c>
      <c r="I30" s="127">
        <v>0.6166666666666667</v>
      </c>
      <c r="J30"/>
      <c r="K30"/>
      <c r="L30"/>
    </row>
    <row r="31" spans="1:12">
      <c r="A31" s="95" t="s">
        <v>12</v>
      </c>
      <c r="B31" s="98" t="s">
        <v>3006</v>
      </c>
      <c r="C31" s="87" t="s">
        <v>38</v>
      </c>
      <c r="D31" s="88"/>
      <c r="E31" s="89">
        <v>67059161</v>
      </c>
      <c r="F31"/>
      <c r="G31" s="17" t="s">
        <v>2</v>
      </c>
      <c r="H31" s="132">
        <v>46084</v>
      </c>
      <c r="I31" s="127">
        <v>0.62847222222222221</v>
      </c>
      <c r="J31"/>
      <c r="K31"/>
      <c r="L31"/>
    </row>
    <row r="32" spans="1:12">
      <c r="A32" s="95" t="s">
        <v>12</v>
      </c>
      <c r="B32" s="98" t="s">
        <v>3006</v>
      </c>
      <c r="C32" s="87" t="s">
        <v>39</v>
      </c>
      <c r="D32" s="88"/>
      <c r="E32" s="89">
        <v>64365821</v>
      </c>
      <c r="F32"/>
      <c r="G32" s="17" t="s">
        <v>6</v>
      </c>
      <c r="H32" s="132">
        <v>46084</v>
      </c>
      <c r="I32" s="127">
        <v>0.62986111111111109</v>
      </c>
      <c r="J32"/>
      <c r="K32"/>
      <c r="L32"/>
    </row>
    <row r="33" spans="1:12">
      <c r="A33" s="95" t="s">
        <v>12</v>
      </c>
      <c r="B33" s="98" t="s">
        <v>3006</v>
      </c>
      <c r="C33" s="87" t="s">
        <v>40</v>
      </c>
      <c r="D33" s="88"/>
      <c r="E33" s="89">
        <v>69357202</v>
      </c>
      <c r="F33"/>
      <c r="G33" s="17" t="s">
        <v>2</v>
      </c>
      <c r="H33" s="132">
        <v>46084</v>
      </c>
      <c r="I33" s="127">
        <v>0.63611111111111107</v>
      </c>
      <c r="J33"/>
      <c r="K33"/>
      <c r="L33"/>
    </row>
    <row r="34" spans="1:12">
      <c r="A34" s="95" t="s">
        <v>12</v>
      </c>
      <c r="B34" s="98" t="s">
        <v>3006</v>
      </c>
      <c r="C34" s="87" t="s">
        <v>41</v>
      </c>
      <c r="D34" s="88"/>
      <c r="E34" s="89">
        <v>6318643</v>
      </c>
      <c r="F34"/>
      <c r="G34" s="17" t="s">
        <v>9</v>
      </c>
      <c r="H34" s="132">
        <v>46084</v>
      </c>
      <c r="I34" s="127">
        <v>0.63611111111111107</v>
      </c>
      <c r="J34"/>
      <c r="K34"/>
      <c r="L34"/>
    </row>
    <row r="35" spans="1:12">
      <c r="A35" s="95" t="s">
        <v>12</v>
      </c>
      <c r="B35" s="98" t="s">
        <v>3006</v>
      </c>
      <c r="C35" s="87" t="s">
        <v>42</v>
      </c>
      <c r="D35" s="88"/>
      <c r="E35" s="89">
        <v>67146420</v>
      </c>
      <c r="F35"/>
      <c r="G35" s="17" t="s">
        <v>1</v>
      </c>
      <c r="H35" s="132">
        <v>46084</v>
      </c>
      <c r="I35" s="127">
        <v>0.6381944444444444</v>
      </c>
      <c r="J35"/>
      <c r="K35"/>
      <c r="L35"/>
    </row>
    <row r="36" spans="1:12">
      <c r="A36" s="95" t="s">
        <v>12</v>
      </c>
      <c r="B36" s="98" t="s">
        <v>3006</v>
      </c>
      <c r="C36" s="87" t="s">
        <v>43</v>
      </c>
      <c r="D36" s="88"/>
      <c r="E36" s="89" t="s">
        <v>3012</v>
      </c>
      <c r="F36"/>
      <c r="G36" s="17" t="s">
        <v>2</v>
      </c>
      <c r="H36" s="132">
        <v>46084</v>
      </c>
      <c r="I36" s="127">
        <v>0.64097222222222228</v>
      </c>
      <c r="J36"/>
      <c r="K36"/>
      <c r="L36"/>
    </row>
    <row r="37" spans="1:12">
      <c r="A37" s="95" t="s">
        <v>12</v>
      </c>
      <c r="B37" s="98" t="s">
        <v>3006</v>
      </c>
      <c r="C37" s="87" t="s">
        <v>44</v>
      </c>
      <c r="D37" s="88"/>
      <c r="E37" s="89">
        <v>65702749</v>
      </c>
      <c r="F37"/>
      <c r="G37" s="17" t="s">
        <v>1</v>
      </c>
      <c r="H37" s="132">
        <v>46084</v>
      </c>
      <c r="I37" s="127">
        <v>0.64375000000000004</v>
      </c>
      <c r="J37"/>
      <c r="K37"/>
      <c r="L37"/>
    </row>
    <row r="38" spans="1:12">
      <c r="A38" s="95" t="s">
        <v>12</v>
      </c>
      <c r="B38" s="98" t="s">
        <v>3006</v>
      </c>
      <c r="C38" s="87" t="s">
        <v>45</v>
      </c>
      <c r="D38" s="88"/>
      <c r="E38" s="89">
        <v>64845515</v>
      </c>
      <c r="F38"/>
      <c r="G38" s="17" t="s">
        <v>2</v>
      </c>
      <c r="H38" s="132">
        <v>46084</v>
      </c>
      <c r="I38" s="127">
        <v>0.64652777777777781</v>
      </c>
      <c r="J38"/>
      <c r="K38"/>
      <c r="L38"/>
    </row>
    <row r="39" spans="1:12">
      <c r="A39" s="95" t="s">
        <v>12</v>
      </c>
      <c r="B39" s="98" t="s">
        <v>3006</v>
      </c>
      <c r="C39" s="87" t="s">
        <v>46</v>
      </c>
      <c r="D39" s="88"/>
      <c r="E39" s="89">
        <v>69380847</v>
      </c>
      <c r="F39"/>
      <c r="G39" s="17" t="s">
        <v>2</v>
      </c>
      <c r="H39" s="132">
        <v>46084</v>
      </c>
      <c r="I39" s="127">
        <v>0.65277777777777779</v>
      </c>
      <c r="J39"/>
      <c r="K39"/>
      <c r="L39"/>
    </row>
    <row r="40" spans="1:12">
      <c r="A40" s="95" t="s">
        <v>12</v>
      </c>
      <c r="B40" s="98" t="s">
        <v>3006</v>
      </c>
      <c r="C40" s="87" t="s">
        <v>47</v>
      </c>
      <c r="D40" s="88"/>
      <c r="E40" s="89">
        <v>64298968</v>
      </c>
      <c r="F40"/>
      <c r="G40" s="17" t="s">
        <v>1</v>
      </c>
      <c r="H40" s="132">
        <v>46087</v>
      </c>
      <c r="I40" s="127">
        <v>0.36180555555555555</v>
      </c>
      <c r="J40"/>
      <c r="K40"/>
      <c r="L40"/>
    </row>
    <row r="41" spans="1:12">
      <c r="A41" s="95" t="s">
        <v>12</v>
      </c>
      <c r="B41" s="98" t="s">
        <v>3006</v>
      </c>
      <c r="C41" s="87" t="s">
        <v>48</v>
      </c>
      <c r="D41" s="88"/>
      <c r="E41" s="89">
        <v>63921742</v>
      </c>
      <c r="F41"/>
      <c r="G41" s="17" t="s">
        <v>2</v>
      </c>
      <c r="H41" s="132">
        <v>46087</v>
      </c>
      <c r="I41" s="127">
        <v>0.36249999999999999</v>
      </c>
      <c r="J41"/>
      <c r="K41"/>
      <c r="L41"/>
    </row>
    <row r="42" spans="1:12">
      <c r="A42" s="95" t="s">
        <v>12</v>
      </c>
      <c r="B42" s="98" t="s">
        <v>3006</v>
      </c>
      <c r="C42" s="87" t="s">
        <v>49</v>
      </c>
      <c r="D42" s="88"/>
      <c r="E42" s="89">
        <v>63287133</v>
      </c>
      <c r="F42"/>
      <c r="G42" s="17" t="s">
        <v>9</v>
      </c>
      <c r="H42" s="132">
        <v>46087</v>
      </c>
      <c r="I42" s="127">
        <v>0.41180555555555554</v>
      </c>
      <c r="J42"/>
      <c r="K42"/>
      <c r="L42"/>
    </row>
    <row r="43" spans="1:12">
      <c r="A43" s="95" t="s">
        <v>12</v>
      </c>
      <c r="B43" s="98" t="s">
        <v>3006</v>
      </c>
      <c r="C43" s="87" t="s">
        <v>50</v>
      </c>
      <c r="D43" s="88"/>
      <c r="E43" s="89">
        <v>64675444</v>
      </c>
      <c r="F43"/>
      <c r="G43" s="17" t="s">
        <v>6</v>
      </c>
      <c r="H43" s="132">
        <v>46087</v>
      </c>
      <c r="I43" s="127">
        <v>0.41319444444444442</v>
      </c>
      <c r="J43"/>
      <c r="K43"/>
      <c r="L43"/>
    </row>
    <row r="44" spans="1:12">
      <c r="A44" s="95" t="s">
        <v>12</v>
      </c>
      <c r="B44" s="98" t="s">
        <v>3006</v>
      </c>
      <c r="C44" s="87" t="s">
        <v>51</v>
      </c>
      <c r="D44" s="88"/>
      <c r="E44" s="89">
        <v>63658726</v>
      </c>
      <c r="F44"/>
      <c r="G44" s="17" t="s">
        <v>6</v>
      </c>
      <c r="H44" s="132">
        <v>46087</v>
      </c>
      <c r="I44" s="127">
        <v>0.41666666666666669</v>
      </c>
      <c r="J44"/>
      <c r="K44"/>
      <c r="L44"/>
    </row>
    <row r="45" spans="1:12">
      <c r="A45" s="95" t="s">
        <v>12</v>
      </c>
      <c r="B45" s="98" t="s">
        <v>3006</v>
      </c>
      <c r="C45" s="87" t="s">
        <v>52</v>
      </c>
      <c r="D45" s="88"/>
      <c r="E45" s="89">
        <v>65908605</v>
      </c>
      <c r="F45"/>
      <c r="G45" s="17" t="s">
        <v>6</v>
      </c>
      <c r="H45" s="132">
        <v>46087</v>
      </c>
      <c r="I45" s="127">
        <v>0.42499999999999999</v>
      </c>
      <c r="J45"/>
      <c r="K45"/>
      <c r="L45"/>
    </row>
    <row r="46" spans="1:12">
      <c r="A46" s="95" t="s">
        <v>12</v>
      </c>
      <c r="B46" s="98" t="s">
        <v>3006</v>
      </c>
      <c r="C46" s="87" t="s">
        <v>53</v>
      </c>
      <c r="D46" s="88"/>
      <c r="E46" s="89" t="s">
        <v>3013</v>
      </c>
      <c r="F46"/>
      <c r="G46" s="17" t="s">
        <v>1</v>
      </c>
      <c r="H46" s="132">
        <v>46087</v>
      </c>
      <c r="I46" s="127">
        <v>0.42986111111111114</v>
      </c>
      <c r="J46"/>
      <c r="K46"/>
      <c r="L46"/>
    </row>
    <row r="47" spans="1:12">
      <c r="A47" s="95" t="s">
        <v>12</v>
      </c>
      <c r="B47" s="98" t="s">
        <v>3006</v>
      </c>
      <c r="C47" s="87" t="s">
        <v>54</v>
      </c>
      <c r="D47" s="88" t="s">
        <v>3014</v>
      </c>
      <c r="E47" s="89">
        <v>62839290</v>
      </c>
      <c r="F47"/>
      <c r="G47" s="17" t="s">
        <v>1</v>
      </c>
      <c r="H47" s="132">
        <v>46087</v>
      </c>
      <c r="I47" s="127">
        <v>0.44166666666666665</v>
      </c>
      <c r="J47"/>
      <c r="K47"/>
      <c r="L47"/>
    </row>
    <row r="48" spans="1:12">
      <c r="A48" s="95" t="s">
        <v>12</v>
      </c>
      <c r="B48" s="98" t="s">
        <v>3006</v>
      </c>
      <c r="C48" s="87" t="s">
        <v>55</v>
      </c>
      <c r="D48" s="88"/>
      <c r="E48" s="89">
        <v>69800528</v>
      </c>
      <c r="F48"/>
      <c r="G48" s="17" t="s">
        <v>6</v>
      </c>
      <c r="H48" s="132">
        <v>46087</v>
      </c>
      <c r="I48" s="127">
        <v>0.45555555555555555</v>
      </c>
      <c r="J48"/>
      <c r="K48"/>
      <c r="L48"/>
    </row>
    <row r="49" spans="1:12">
      <c r="A49" s="95" t="s">
        <v>12</v>
      </c>
      <c r="B49" s="98" t="s">
        <v>3006</v>
      </c>
      <c r="C49" s="87" t="s">
        <v>56</v>
      </c>
      <c r="D49" s="88"/>
      <c r="E49" s="89">
        <v>66507635</v>
      </c>
      <c r="F49"/>
      <c r="G49" s="17" t="s">
        <v>2</v>
      </c>
      <c r="H49" s="132">
        <v>46087</v>
      </c>
      <c r="I49" s="127">
        <v>0.45763888888888887</v>
      </c>
      <c r="J49"/>
      <c r="K49"/>
      <c r="L49"/>
    </row>
    <row r="50" spans="1:12">
      <c r="A50" s="95" t="s">
        <v>12</v>
      </c>
      <c r="B50" s="98" t="s">
        <v>3006</v>
      </c>
      <c r="C50" s="87" t="s">
        <v>57</v>
      </c>
      <c r="D50" s="88" t="s">
        <v>3015</v>
      </c>
      <c r="E50" s="89">
        <v>66540170</v>
      </c>
      <c r="F50"/>
      <c r="G50" s="17" t="s">
        <v>1</v>
      </c>
      <c r="H50" s="132">
        <v>46087</v>
      </c>
      <c r="I50" s="127">
        <v>0.46666666666666667</v>
      </c>
      <c r="J50"/>
      <c r="K50"/>
      <c r="L50"/>
    </row>
    <row r="51" spans="1:12">
      <c r="A51" s="95" t="s">
        <v>12</v>
      </c>
      <c r="B51" s="98" t="s">
        <v>3006</v>
      </c>
      <c r="C51" s="87" t="s">
        <v>58</v>
      </c>
      <c r="D51" s="88"/>
      <c r="E51" s="89">
        <v>64335801</v>
      </c>
      <c r="F51"/>
      <c r="G51" s="17" t="s">
        <v>6</v>
      </c>
      <c r="H51" s="132">
        <v>46087</v>
      </c>
      <c r="I51" s="127">
        <v>0.47291666666666665</v>
      </c>
      <c r="J51"/>
      <c r="K51"/>
      <c r="L51"/>
    </row>
    <row r="52" spans="1:12">
      <c r="A52" s="95" t="s">
        <v>12</v>
      </c>
      <c r="B52" s="98" t="s">
        <v>3006</v>
      </c>
      <c r="C52" s="87" t="s">
        <v>59</v>
      </c>
      <c r="D52" s="88"/>
      <c r="E52" s="89">
        <v>63121063</v>
      </c>
      <c r="F52"/>
      <c r="G52" s="17" t="s">
        <v>1</v>
      </c>
      <c r="H52" s="132">
        <v>46087</v>
      </c>
      <c r="I52" s="127">
        <v>0.56111111111111112</v>
      </c>
      <c r="J52"/>
      <c r="K52"/>
      <c r="L52"/>
    </row>
    <row r="53" spans="1:12">
      <c r="A53" s="95" t="s">
        <v>12</v>
      </c>
      <c r="B53" s="98" t="s">
        <v>3006</v>
      </c>
      <c r="C53" s="87" t="s">
        <v>60</v>
      </c>
      <c r="D53" s="88"/>
      <c r="E53" s="89">
        <v>63986389</v>
      </c>
      <c r="F53"/>
      <c r="G53" s="17" t="s">
        <v>1</v>
      </c>
      <c r="H53" s="132">
        <v>46087</v>
      </c>
      <c r="I53" s="127">
        <v>0.57430555555555551</v>
      </c>
      <c r="J53"/>
      <c r="K53"/>
      <c r="L53"/>
    </row>
    <row r="54" spans="1:12">
      <c r="A54" s="95" t="s">
        <v>12</v>
      </c>
      <c r="B54" s="98" t="s">
        <v>3006</v>
      </c>
      <c r="C54" s="87" t="s">
        <v>61</v>
      </c>
      <c r="D54" s="88"/>
      <c r="E54" s="89">
        <v>67513557</v>
      </c>
      <c r="F54"/>
      <c r="G54" s="17" t="s">
        <v>2</v>
      </c>
      <c r="H54" s="132">
        <v>46087</v>
      </c>
      <c r="I54" s="127">
        <v>0.59027777777777779</v>
      </c>
      <c r="J54"/>
      <c r="K54"/>
      <c r="L54"/>
    </row>
    <row r="55" spans="1:12">
      <c r="A55" s="95" t="s">
        <v>12</v>
      </c>
      <c r="B55" s="98" t="s">
        <v>3006</v>
      </c>
      <c r="C55" s="87" t="s">
        <v>62</v>
      </c>
      <c r="D55" s="88"/>
      <c r="E55" s="89">
        <v>67138073</v>
      </c>
      <c r="F55"/>
      <c r="G55" s="17" t="s">
        <v>6</v>
      </c>
      <c r="H55" s="132">
        <v>46087</v>
      </c>
      <c r="I55" s="127">
        <v>0.61111111111111116</v>
      </c>
      <c r="J55"/>
      <c r="K55"/>
      <c r="L55"/>
    </row>
    <row r="56" spans="1:12">
      <c r="A56" s="95" t="s">
        <v>12</v>
      </c>
      <c r="B56" s="98" t="s">
        <v>3006</v>
      </c>
      <c r="C56" s="87" t="s">
        <v>63</v>
      </c>
      <c r="D56" s="88"/>
      <c r="E56" s="89">
        <v>62762057</v>
      </c>
      <c r="F56"/>
      <c r="G56" s="17" t="s">
        <v>1</v>
      </c>
      <c r="H56" s="132">
        <v>46087</v>
      </c>
      <c r="I56" s="127">
        <v>0.62569444444444444</v>
      </c>
      <c r="J56"/>
      <c r="K56"/>
      <c r="L56"/>
    </row>
    <row r="57" spans="1:12">
      <c r="A57" s="95" t="s">
        <v>12</v>
      </c>
      <c r="B57" s="98" t="s">
        <v>3006</v>
      </c>
      <c r="C57" s="87" t="s">
        <v>64</v>
      </c>
      <c r="D57" s="88"/>
      <c r="E57" s="89">
        <v>64494323</v>
      </c>
      <c r="F57"/>
      <c r="G57" s="17" t="s">
        <v>9</v>
      </c>
      <c r="H57" s="132">
        <v>46087</v>
      </c>
      <c r="I57" s="127">
        <v>0.62708333333333333</v>
      </c>
      <c r="J57"/>
      <c r="K57"/>
      <c r="L57"/>
    </row>
    <row r="58" spans="1:12">
      <c r="A58" s="95" t="s">
        <v>12</v>
      </c>
      <c r="B58" s="98" t="s">
        <v>3006</v>
      </c>
      <c r="C58" s="87" t="s">
        <v>65</v>
      </c>
      <c r="D58" s="88"/>
      <c r="E58" s="89">
        <v>67042092</v>
      </c>
      <c r="F58"/>
      <c r="G58" s="17" t="s">
        <v>1</v>
      </c>
      <c r="H58" s="132">
        <v>46087</v>
      </c>
      <c r="I58" s="127">
        <v>0.62916666666666665</v>
      </c>
      <c r="J58"/>
      <c r="K58"/>
      <c r="L58"/>
    </row>
    <row r="59" spans="1:12">
      <c r="A59" s="95" t="s">
        <v>12</v>
      </c>
      <c r="B59" s="98" t="s">
        <v>3006</v>
      </c>
      <c r="C59" s="87" t="s">
        <v>66</v>
      </c>
      <c r="D59" s="88"/>
      <c r="E59" s="89">
        <v>7772250</v>
      </c>
      <c r="F59"/>
      <c r="G59" s="17" t="s">
        <v>1</v>
      </c>
      <c r="H59" s="132">
        <v>46087</v>
      </c>
      <c r="I59" s="127">
        <v>0.63055555555555554</v>
      </c>
      <c r="J59"/>
      <c r="K59"/>
      <c r="L59"/>
    </row>
    <row r="60" spans="1:12">
      <c r="A60" s="95" t="s">
        <v>12</v>
      </c>
      <c r="B60" s="98" t="s">
        <v>3006</v>
      </c>
      <c r="C60" s="87" t="s">
        <v>67</v>
      </c>
      <c r="D60" s="88"/>
      <c r="E60" s="89">
        <v>66060952</v>
      </c>
      <c r="F60"/>
      <c r="G60" s="17" t="s">
        <v>2</v>
      </c>
      <c r="H60" s="132">
        <v>46087</v>
      </c>
      <c r="I60" s="127">
        <v>0.64027777777777772</v>
      </c>
      <c r="J60"/>
      <c r="K60"/>
      <c r="L60"/>
    </row>
    <row r="61" spans="1:12">
      <c r="A61" s="95" t="s">
        <v>12</v>
      </c>
      <c r="B61" s="98" t="s">
        <v>3006</v>
      </c>
      <c r="C61" s="87" t="s">
        <v>68</v>
      </c>
      <c r="D61" s="88"/>
      <c r="E61" s="89">
        <v>63787838</v>
      </c>
      <c r="F61"/>
      <c r="G61" s="17" t="s">
        <v>6</v>
      </c>
      <c r="H61" s="132">
        <v>46087</v>
      </c>
      <c r="I61" s="127">
        <v>0.64097222222222228</v>
      </c>
      <c r="J61"/>
      <c r="K61"/>
      <c r="L61"/>
    </row>
    <row r="62" spans="1:12">
      <c r="A62" s="95" t="s">
        <v>12</v>
      </c>
      <c r="B62" s="98" t="s">
        <v>3006</v>
      </c>
      <c r="C62" s="87" t="s">
        <v>69</v>
      </c>
      <c r="D62" s="88"/>
      <c r="E62" s="89">
        <v>63417849</v>
      </c>
      <c r="F62"/>
      <c r="G62" s="17" t="s">
        <v>6</v>
      </c>
      <c r="H62" s="132">
        <v>46087</v>
      </c>
      <c r="I62" s="127">
        <v>0.65277777777777779</v>
      </c>
      <c r="J62"/>
      <c r="K62"/>
      <c r="L62"/>
    </row>
    <row r="63" spans="1:12">
      <c r="A63" s="95" t="s">
        <v>12</v>
      </c>
      <c r="B63" s="98" t="s">
        <v>3006</v>
      </c>
      <c r="C63" s="87" t="s">
        <v>70</v>
      </c>
      <c r="D63" s="88"/>
      <c r="E63" s="89">
        <v>69949222</v>
      </c>
      <c r="F63"/>
      <c r="G63" s="17" t="s">
        <v>2</v>
      </c>
      <c r="H63" s="132">
        <v>46087</v>
      </c>
      <c r="I63" s="127">
        <v>0.65347222222222223</v>
      </c>
      <c r="J63"/>
      <c r="K63"/>
      <c r="L63"/>
    </row>
    <row r="64" spans="1:12">
      <c r="A64" s="95" t="s">
        <v>12</v>
      </c>
      <c r="B64" s="98" t="s">
        <v>3006</v>
      </c>
      <c r="C64" s="87" t="s">
        <v>71</v>
      </c>
      <c r="D64" s="88"/>
      <c r="E64" s="89">
        <v>69536416</v>
      </c>
      <c r="F64"/>
      <c r="G64" s="17" t="s">
        <v>4</v>
      </c>
      <c r="H64" s="132">
        <v>46087</v>
      </c>
      <c r="I64" s="127">
        <v>0.65416666666666667</v>
      </c>
      <c r="J64"/>
      <c r="K64"/>
      <c r="L64"/>
    </row>
    <row r="65" spans="1:12">
      <c r="A65" s="95" t="s">
        <v>12</v>
      </c>
      <c r="B65" s="98" t="s">
        <v>3006</v>
      </c>
      <c r="C65" s="87" t="s">
        <v>72</v>
      </c>
      <c r="D65" s="88"/>
      <c r="E65" s="89">
        <v>67459722</v>
      </c>
      <c r="F65"/>
      <c r="G65" s="17" t="s">
        <v>3</v>
      </c>
      <c r="H65" s="132">
        <v>46087</v>
      </c>
      <c r="I65" s="127">
        <v>0.65555555555555556</v>
      </c>
      <c r="J65"/>
      <c r="K65"/>
      <c r="L65"/>
    </row>
    <row r="66" spans="1:12">
      <c r="A66" s="95" t="s">
        <v>12</v>
      </c>
      <c r="B66" s="98" t="s">
        <v>3006</v>
      </c>
      <c r="C66" s="87" t="s">
        <v>74</v>
      </c>
      <c r="D66" s="88"/>
      <c r="E66" s="89">
        <v>64428206</v>
      </c>
      <c r="F66"/>
      <c r="G66" s="17" t="s">
        <v>2</v>
      </c>
      <c r="H66" s="132">
        <v>46087</v>
      </c>
      <c r="I66" s="127">
        <v>0.65694444444444444</v>
      </c>
      <c r="J66"/>
      <c r="K66"/>
      <c r="L66"/>
    </row>
    <row r="67" spans="1:12">
      <c r="A67" s="95" t="s">
        <v>12</v>
      </c>
      <c r="B67" s="98" t="s">
        <v>3006</v>
      </c>
      <c r="C67" s="87" t="s">
        <v>76</v>
      </c>
      <c r="D67" s="88"/>
      <c r="E67" s="89">
        <v>68737511</v>
      </c>
      <c r="F67"/>
      <c r="G67" s="17" t="s">
        <v>1</v>
      </c>
      <c r="H67" s="132">
        <v>46087</v>
      </c>
      <c r="I67" s="127">
        <v>0.65972222222222221</v>
      </c>
      <c r="J67"/>
      <c r="K67"/>
      <c r="L67"/>
    </row>
    <row r="68" spans="1:12">
      <c r="A68" s="95" t="s">
        <v>12</v>
      </c>
      <c r="B68" s="98" t="s">
        <v>3016</v>
      </c>
      <c r="C68" s="87" t="s">
        <v>77</v>
      </c>
      <c r="D68" s="88" t="s">
        <v>3017</v>
      </c>
      <c r="E68" s="89">
        <v>66332705</v>
      </c>
      <c r="F68"/>
      <c r="G68" s="17" t="s">
        <v>3</v>
      </c>
      <c r="H68" s="132">
        <v>46087</v>
      </c>
      <c r="I68" s="127">
        <v>0.41944444444444445</v>
      </c>
      <c r="J68"/>
      <c r="K68"/>
      <c r="L68"/>
    </row>
    <row r="69" spans="1:12">
      <c r="A69" s="95" t="s">
        <v>12</v>
      </c>
      <c r="B69" s="98" t="s">
        <v>3016</v>
      </c>
      <c r="C69" s="87" t="s">
        <v>78</v>
      </c>
      <c r="D69" s="88"/>
      <c r="E69" s="89">
        <v>65209569</v>
      </c>
      <c r="F69"/>
      <c r="G69" s="17" t="s">
        <v>6</v>
      </c>
      <c r="H69" s="132">
        <v>46087</v>
      </c>
      <c r="I69" s="127">
        <v>0.42430555555555555</v>
      </c>
      <c r="J69"/>
      <c r="K69"/>
      <c r="L69"/>
    </row>
    <row r="70" spans="1:12">
      <c r="A70" s="95" t="s">
        <v>12</v>
      </c>
      <c r="B70" s="98" t="s">
        <v>3016</v>
      </c>
      <c r="C70" s="87" t="s">
        <v>79</v>
      </c>
      <c r="D70" s="88"/>
      <c r="E70" s="89">
        <v>66676050</v>
      </c>
      <c r="F70"/>
      <c r="G70" s="17" t="s">
        <v>4</v>
      </c>
      <c r="H70" s="132">
        <v>46087</v>
      </c>
      <c r="I70" s="127">
        <v>0.42569444444444443</v>
      </c>
      <c r="J70"/>
      <c r="K70"/>
      <c r="L70" t="s">
        <v>3018</v>
      </c>
    </row>
    <row r="71" spans="1:12">
      <c r="A71" s="95" t="s">
        <v>12</v>
      </c>
      <c r="B71" s="98" t="s">
        <v>3016</v>
      </c>
      <c r="C71" s="87" t="s">
        <v>80</v>
      </c>
      <c r="D71" s="88"/>
      <c r="E71" s="89">
        <v>67723562</v>
      </c>
      <c r="F71"/>
      <c r="G71" s="17" t="s">
        <v>9</v>
      </c>
      <c r="H71" s="132">
        <v>46087</v>
      </c>
      <c r="I71" s="127">
        <v>0.42708333333333331</v>
      </c>
      <c r="J71"/>
      <c r="K71"/>
      <c r="L71"/>
    </row>
    <row r="72" spans="1:12" ht="12" customHeight="1">
      <c r="A72" s="95" t="s">
        <v>12</v>
      </c>
      <c r="B72" s="98" t="s">
        <v>3016</v>
      </c>
      <c r="C72" s="87" t="s">
        <v>81</v>
      </c>
      <c r="D72" s="88" t="s">
        <v>3019</v>
      </c>
      <c r="E72" s="89">
        <v>7763131</v>
      </c>
      <c r="F72"/>
      <c r="G72" s="17" t="s">
        <v>4</v>
      </c>
      <c r="H72" s="132">
        <v>46087</v>
      </c>
      <c r="I72" s="127">
        <v>0.42916666666666664</v>
      </c>
      <c r="J72"/>
      <c r="K72"/>
      <c r="L72" s="106" t="s">
        <v>3020</v>
      </c>
    </row>
    <row r="73" spans="1:12">
      <c r="A73" s="95" t="s">
        <v>12</v>
      </c>
      <c r="B73" s="98" t="s">
        <v>3016</v>
      </c>
      <c r="C73" s="87" t="s">
        <v>82</v>
      </c>
      <c r="D73" s="88" t="s">
        <v>3021</v>
      </c>
      <c r="E73" s="89">
        <v>66310025</v>
      </c>
      <c r="F73"/>
      <c r="G73" s="17" t="s">
        <v>1</v>
      </c>
      <c r="H73" s="132">
        <v>46087</v>
      </c>
      <c r="I73" s="127">
        <v>0.43888888888888888</v>
      </c>
      <c r="J73"/>
      <c r="K73"/>
      <c r="L73"/>
    </row>
    <row r="74" spans="1:12">
      <c r="A74" s="95" t="s">
        <v>12</v>
      </c>
      <c r="B74" s="98" t="s">
        <v>3016</v>
      </c>
      <c r="C74" s="87" t="s">
        <v>83</v>
      </c>
      <c r="D74" s="88" t="s">
        <v>3022</v>
      </c>
      <c r="E74" s="89">
        <v>67366423</v>
      </c>
      <c r="F74"/>
      <c r="G74" s="17" t="s">
        <v>3</v>
      </c>
      <c r="H74" s="132">
        <v>46087</v>
      </c>
      <c r="I74" s="127">
        <v>0.45902777777777776</v>
      </c>
      <c r="J74"/>
      <c r="K74"/>
      <c r="L74"/>
    </row>
    <row r="75" spans="1:12">
      <c r="A75" s="95" t="s">
        <v>12</v>
      </c>
      <c r="B75" s="98" t="s">
        <v>3016</v>
      </c>
      <c r="C75" s="87" t="s">
        <v>84</v>
      </c>
      <c r="D75" s="88"/>
      <c r="E75" s="89">
        <v>64937987</v>
      </c>
      <c r="F75"/>
      <c r="G75" s="17" t="s">
        <v>9</v>
      </c>
      <c r="H75" s="132">
        <v>46087</v>
      </c>
      <c r="I75" s="127">
        <v>0.46041666666666664</v>
      </c>
      <c r="J75"/>
      <c r="K75"/>
      <c r="L75"/>
    </row>
    <row r="76" spans="1:12">
      <c r="A76" s="95" t="s">
        <v>12</v>
      </c>
      <c r="B76" s="98" t="s">
        <v>3016</v>
      </c>
      <c r="C76" s="87" t="s">
        <v>85</v>
      </c>
      <c r="D76" s="88"/>
      <c r="E76" s="89">
        <v>66722344</v>
      </c>
      <c r="F76"/>
      <c r="G76" s="17" t="s">
        <v>9</v>
      </c>
      <c r="H76" s="132">
        <v>46087</v>
      </c>
      <c r="I76" s="127">
        <v>0.47222222222222221</v>
      </c>
      <c r="J76"/>
      <c r="K76"/>
      <c r="L76"/>
    </row>
    <row r="77" spans="1:12">
      <c r="A77" s="95" t="s">
        <v>12</v>
      </c>
      <c r="B77" s="98" t="s">
        <v>3016</v>
      </c>
      <c r="C77" s="87" t="s">
        <v>86</v>
      </c>
      <c r="D77" s="88" t="s">
        <v>3023</v>
      </c>
      <c r="E77" s="89">
        <v>66002381</v>
      </c>
      <c r="F77"/>
      <c r="G77" s="17" t="s">
        <v>1</v>
      </c>
      <c r="H77" s="132">
        <v>46087</v>
      </c>
      <c r="I77" s="127">
        <v>0.47638888888888886</v>
      </c>
      <c r="J77"/>
      <c r="K77"/>
      <c r="L77"/>
    </row>
    <row r="78" spans="1:12">
      <c r="A78" s="95" t="s">
        <v>12</v>
      </c>
      <c r="B78" s="98" t="s">
        <v>3016</v>
      </c>
      <c r="C78" s="87" t="s">
        <v>87</v>
      </c>
      <c r="D78" s="88"/>
      <c r="E78" s="89">
        <v>68372865</v>
      </c>
      <c r="F78"/>
      <c r="G78" s="17" t="s">
        <v>9</v>
      </c>
      <c r="H78" s="132">
        <v>46087</v>
      </c>
      <c r="I78" s="127">
        <v>0.47916666666666669</v>
      </c>
      <c r="J78"/>
      <c r="K78"/>
      <c r="L78"/>
    </row>
    <row r="79" spans="1:12">
      <c r="A79" s="95" t="s">
        <v>12</v>
      </c>
      <c r="B79" s="98" t="s">
        <v>3016</v>
      </c>
      <c r="C79" s="87" t="s">
        <v>88</v>
      </c>
      <c r="D79" s="88"/>
      <c r="E79" s="89">
        <v>64809618</v>
      </c>
      <c r="F79"/>
      <c r="G79" s="17" t="s">
        <v>2</v>
      </c>
      <c r="H79" s="132">
        <v>46087</v>
      </c>
      <c r="I79" s="127">
        <v>0.47986111111111113</v>
      </c>
      <c r="J79"/>
      <c r="K79"/>
      <c r="L79"/>
    </row>
    <row r="80" spans="1:12">
      <c r="A80" s="95" t="s">
        <v>12</v>
      </c>
      <c r="B80" s="98" t="s">
        <v>3016</v>
      </c>
      <c r="C80" s="87" t="s">
        <v>89</v>
      </c>
      <c r="D80" s="88" t="s">
        <v>3024</v>
      </c>
      <c r="E80" s="89">
        <v>64204465</v>
      </c>
      <c r="F80"/>
      <c r="G80" s="17" t="s">
        <v>1</v>
      </c>
      <c r="H80" s="132">
        <v>46087</v>
      </c>
      <c r="I80" s="127">
        <v>0.49166666666666664</v>
      </c>
      <c r="J80"/>
      <c r="K80"/>
      <c r="L80"/>
    </row>
    <row r="81" spans="1:12">
      <c r="A81" s="95" t="s">
        <v>12</v>
      </c>
      <c r="B81" s="98" t="s">
        <v>3016</v>
      </c>
      <c r="C81" s="87" t="s">
        <v>90</v>
      </c>
      <c r="D81" s="88"/>
      <c r="E81" s="89">
        <v>65931498</v>
      </c>
      <c r="F81"/>
      <c r="G81" s="17" t="s">
        <v>2</v>
      </c>
      <c r="H81" s="132">
        <v>46087</v>
      </c>
      <c r="I81" s="127">
        <v>0.49444444444444446</v>
      </c>
      <c r="J81"/>
      <c r="K81"/>
      <c r="L81"/>
    </row>
    <row r="82" spans="1:12">
      <c r="A82" s="95" t="s">
        <v>12</v>
      </c>
      <c r="B82" s="98" t="s">
        <v>3016</v>
      </c>
      <c r="C82" s="87" t="s">
        <v>91</v>
      </c>
      <c r="D82" s="88"/>
      <c r="E82" s="89">
        <v>66005466</v>
      </c>
      <c r="F82"/>
      <c r="G82" s="17" t="s">
        <v>3</v>
      </c>
      <c r="H82" s="132">
        <v>46087</v>
      </c>
      <c r="I82" s="127">
        <v>0.49583333333333335</v>
      </c>
      <c r="J82"/>
      <c r="K82"/>
      <c r="L82"/>
    </row>
    <row r="83" spans="1:12">
      <c r="A83" s="95" t="s">
        <v>12</v>
      </c>
      <c r="B83" s="98" t="s">
        <v>3016</v>
      </c>
      <c r="C83" s="87" t="s">
        <v>92</v>
      </c>
      <c r="D83" s="88"/>
      <c r="E83" s="89">
        <v>7854474</v>
      </c>
      <c r="F83"/>
      <c r="G83" s="17" t="s">
        <v>9</v>
      </c>
      <c r="H83" s="132">
        <v>46087</v>
      </c>
      <c r="I83" s="127">
        <v>0.49652777777777779</v>
      </c>
      <c r="J83"/>
      <c r="K83"/>
      <c r="L83"/>
    </row>
    <row r="84" spans="1:12">
      <c r="A84" s="95" t="s">
        <v>12</v>
      </c>
      <c r="B84" s="98" t="s">
        <v>3016</v>
      </c>
      <c r="C84" s="87" t="s">
        <v>93</v>
      </c>
      <c r="D84" s="88"/>
      <c r="E84" s="89">
        <v>66438222</v>
      </c>
      <c r="F84"/>
      <c r="G84" s="17" t="s">
        <v>3</v>
      </c>
      <c r="H84" s="132">
        <v>46087</v>
      </c>
      <c r="I84" s="127">
        <v>0.5</v>
      </c>
      <c r="J84"/>
      <c r="K84"/>
      <c r="L84"/>
    </row>
    <row r="85" spans="1:12">
      <c r="A85" s="95" t="s">
        <v>12</v>
      </c>
      <c r="B85" s="98" t="s">
        <v>3016</v>
      </c>
      <c r="C85" s="87" t="s">
        <v>94</v>
      </c>
      <c r="D85" s="88" t="s">
        <v>3025</v>
      </c>
      <c r="E85" s="89">
        <v>69883924</v>
      </c>
      <c r="F85"/>
      <c r="G85" s="17" t="s">
        <v>5</v>
      </c>
      <c r="H85" s="132">
        <v>46087</v>
      </c>
      <c r="I85" s="127">
        <v>0.50416666666666665</v>
      </c>
      <c r="J85"/>
      <c r="K85"/>
      <c r="L85"/>
    </row>
    <row r="86" spans="1:12">
      <c r="A86" s="95" t="s">
        <v>12</v>
      </c>
      <c r="B86" s="98" t="s">
        <v>3016</v>
      </c>
      <c r="C86" s="87" t="s">
        <v>95</v>
      </c>
      <c r="D86" s="88" t="s">
        <v>3026</v>
      </c>
      <c r="E86" s="89">
        <v>65126548</v>
      </c>
      <c r="F86"/>
      <c r="G86" s="17" t="s">
        <v>1</v>
      </c>
      <c r="H86" s="132">
        <v>46087</v>
      </c>
      <c r="I86" s="127">
        <v>0.50624999999999998</v>
      </c>
      <c r="J86"/>
      <c r="K86"/>
      <c r="L86"/>
    </row>
    <row r="87" spans="1:12">
      <c r="A87" s="95" t="s">
        <v>12</v>
      </c>
      <c r="B87" s="98" t="s">
        <v>3016</v>
      </c>
      <c r="C87" s="87" t="s">
        <v>96</v>
      </c>
      <c r="D87" s="88"/>
      <c r="E87" s="89">
        <v>64283078</v>
      </c>
      <c r="F87"/>
      <c r="G87" s="17" t="s">
        <v>9</v>
      </c>
      <c r="H87" s="132">
        <v>46087</v>
      </c>
      <c r="I87" s="127">
        <v>0.50694444444444442</v>
      </c>
      <c r="J87"/>
      <c r="K87"/>
      <c r="L87"/>
    </row>
    <row r="88" spans="1:12">
      <c r="A88" s="95" t="s">
        <v>12</v>
      </c>
      <c r="B88" s="98" t="s">
        <v>3016</v>
      </c>
      <c r="C88" s="87" t="s">
        <v>97</v>
      </c>
      <c r="D88" s="88" t="s">
        <v>3027</v>
      </c>
      <c r="E88" s="89">
        <v>65068173</v>
      </c>
      <c r="F88"/>
      <c r="G88" s="17" t="s">
        <v>1</v>
      </c>
      <c r="H88" s="132">
        <v>46087</v>
      </c>
      <c r="I88" s="127">
        <v>0.51666666666666672</v>
      </c>
      <c r="J88"/>
      <c r="K88"/>
      <c r="L88"/>
    </row>
    <row r="89" spans="1:12">
      <c r="A89" s="95" t="s">
        <v>12</v>
      </c>
      <c r="B89" s="98" t="s">
        <v>3016</v>
      </c>
      <c r="C89" s="87" t="s">
        <v>98</v>
      </c>
      <c r="D89" s="88"/>
      <c r="E89" s="89">
        <v>64295381</v>
      </c>
      <c r="F89"/>
      <c r="G89" s="17" t="s">
        <v>2</v>
      </c>
      <c r="H89" s="132">
        <v>46087</v>
      </c>
      <c r="I89" s="127">
        <v>0.51736111111111116</v>
      </c>
      <c r="J89"/>
      <c r="K89"/>
      <c r="L89"/>
    </row>
    <row r="90" spans="1:12">
      <c r="A90" s="95" t="s">
        <v>12</v>
      </c>
      <c r="B90" s="98" t="s">
        <v>3016</v>
      </c>
      <c r="C90" s="87" t="s">
        <v>3028</v>
      </c>
      <c r="D90" s="88"/>
      <c r="E90" s="89">
        <v>65611812</v>
      </c>
      <c r="F90"/>
      <c r="G90" s="17" t="s">
        <v>1</v>
      </c>
      <c r="H90" s="132">
        <v>46087</v>
      </c>
      <c r="I90" s="127">
        <v>0.5180555555555556</v>
      </c>
      <c r="J90"/>
      <c r="K90"/>
      <c r="L90"/>
    </row>
    <row r="91" spans="1:12">
      <c r="A91" s="95" t="s">
        <v>12</v>
      </c>
      <c r="B91" s="98" t="s">
        <v>3016</v>
      </c>
      <c r="C91" s="87" t="s">
        <v>100</v>
      </c>
      <c r="D91" s="88"/>
      <c r="E91" s="89">
        <v>63315090</v>
      </c>
      <c r="F91"/>
      <c r="G91" s="17" t="s">
        <v>9</v>
      </c>
      <c r="H91" s="132">
        <v>46087</v>
      </c>
      <c r="I91" s="127">
        <v>0.52083333333333337</v>
      </c>
      <c r="J91"/>
      <c r="K91"/>
      <c r="L91"/>
    </row>
    <row r="92" spans="1:12">
      <c r="A92" s="95" t="s">
        <v>12</v>
      </c>
      <c r="B92" s="98" t="s">
        <v>3016</v>
      </c>
      <c r="C92" s="87" t="s">
        <v>101</v>
      </c>
      <c r="D92" s="88"/>
      <c r="E92" s="89">
        <v>64160027</v>
      </c>
      <c r="F92"/>
      <c r="G92" s="17" t="s">
        <v>9</v>
      </c>
      <c r="H92" s="132">
        <v>46087</v>
      </c>
      <c r="I92" s="127">
        <v>0.5229166666666667</v>
      </c>
      <c r="J92"/>
      <c r="K92"/>
      <c r="L92"/>
    </row>
    <row r="93" spans="1:12">
      <c r="A93" s="95" t="s">
        <v>12</v>
      </c>
      <c r="B93" s="98" t="s">
        <v>3016</v>
      </c>
      <c r="C93" s="87" t="s">
        <v>102</v>
      </c>
      <c r="D93" s="88"/>
      <c r="E93" s="89">
        <v>69975836</v>
      </c>
      <c r="F93"/>
      <c r="G93" s="17" t="s">
        <v>2</v>
      </c>
      <c r="H93" s="132">
        <v>46087</v>
      </c>
      <c r="I93" s="127">
        <v>0.52361111111111114</v>
      </c>
      <c r="J93"/>
      <c r="K93"/>
      <c r="L93"/>
    </row>
    <row r="94" spans="1:12">
      <c r="A94" s="95" t="s">
        <v>12</v>
      </c>
      <c r="B94" s="98" t="s">
        <v>3016</v>
      </c>
      <c r="C94" s="87" t="s">
        <v>103</v>
      </c>
      <c r="D94" s="88"/>
      <c r="E94" s="89">
        <v>65551316</v>
      </c>
      <c r="F94"/>
      <c r="G94" s="17" t="s">
        <v>9</v>
      </c>
      <c r="H94" s="132">
        <v>46087</v>
      </c>
      <c r="I94" s="127">
        <v>0.52500000000000002</v>
      </c>
      <c r="J94"/>
      <c r="K94"/>
      <c r="L94"/>
    </row>
    <row r="95" spans="1:12">
      <c r="A95" s="95" t="s">
        <v>12</v>
      </c>
      <c r="B95" s="98" t="s">
        <v>3016</v>
      </c>
      <c r="C95" s="87" t="s">
        <v>104</v>
      </c>
      <c r="D95" s="88" t="s">
        <v>3029</v>
      </c>
      <c r="E95" s="89">
        <v>69416664</v>
      </c>
      <c r="F95"/>
      <c r="G95" s="17" t="s">
        <v>1</v>
      </c>
      <c r="H95" s="132">
        <v>46087</v>
      </c>
      <c r="I95" s="127">
        <v>0.52777777777777779</v>
      </c>
      <c r="J95"/>
      <c r="K95"/>
      <c r="L95"/>
    </row>
    <row r="96" spans="1:12">
      <c r="A96" s="95" t="s">
        <v>12</v>
      </c>
      <c r="B96" s="98" t="s">
        <v>3016</v>
      </c>
      <c r="C96" s="87" t="s">
        <v>105</v>
      </c>
      <c r="D96" s="88" t="s">
        <v>3030</v>
      </c>
      <c r="E96" s="89">
        <v>65001957</v>
      </c>
      <c r="F96"/>
      <c r="G96" s="17" t="s">
        <v>1</v>
      </c>
      <c r="H96" s="132">
        <v>46087</v>
      </c>
      <c r="I96" s="127">
        <v>0.53333333333333333</v>
      </c>
      <c r="J96"/>
      <c r="K96"/>
      <c r="L96"/>
    </row>
    <row r="97" spans="1:12">
      <c r="A97" s="95" t="s">
        <v>12</v>
      </c>
      <c r="B97" s="98" t="s">
        <v>3016</v>
      </c>
      <c r="C97" s="87" t="s">
        <v>106</v>
      </c>
      <c r="D97" s="88"/>
      <c r="E97" s="89">
        <v>61601347</v>
      </c>
      <c r="F97"/>
      <c r="G97" s="17" t="s">
        <v>2</v>
      </c>
      <c r="H97" s="132">
        <v>46087</v>
      </c>
      <c r="I97" s="127">
        <v>0.58819444444444446</v>
      </c>
      <c r="J97"/>
      <c r="K97"/>
      <c r="L97"/>
    </row>
    <row r="98" spans="1:12">
      <c r="A98" s="95" t="s">
        <v>12</v>
      </c>
      <c r="B98" s="98" t="s">
        <v>3016</v>
      </c>
      <c r="C98" s="87" t="s">
        <v>107</v>
      </c>
      <c r="D98" s="88"/>
      <c r="E98" s="89">
        <v>7753856</v>
      </c>
      <c r="F98"/>
      <c r="G98" s="17" t="s">
        <v>9</v>
      </c>
      <c r="H98" s="132">
        <v>46087</v>
      </c>
      <c r="I98" s="127">
        <v>0.58888888888888891</v>
      </c>
      <c r="J98"/>
      <c r="K98"/>
      <c r="L98"/>
    </row>
    <row r="99" spans="1:12">
      <c r="A99" s="95" t="s">
        <v>12</v>
      </c>
      <c r="B99" s="98" t="s">
        <v>3016</v>
      </c>
      <c r="C99" s="87" t="s">
        <v>108</v>
      </c>
      <c r="D99" s="88"/>
      <c r="E99" s="89">
        <v>62303732</v>
      </c>
      <c r="F99"/>
      <c r="G99" s="17" t="s">
        <v>9</v>
      </c>
      <c r="H99" s="132">
        <v>46087</v>
      </c>
      <c r="I99" s="127">
        <v>0.58958333333333335</v>
      </c>
      <c r="J99"/>
      <c r="K99"/>
      <c r="L99"/>
    </row>
    <row r="100" spans="1:12">
      <c r="A100" s="95" t="s">
        <v>12</v>
      </c>
      <c r="B100" s="98" t="s">
        <v>3016</v>
      </c>
      <c r="C100" s="87" t="s">
        <v>109</v>
      </c>
      <c r="D100" s="88"/>
      <c r="E100" s="89">
        <v>64358187</v>
      </c>
      <c r="F100"/>
      <c r="G100" s="17" t="s">
        <v>2</v>
      </c>
      <c r="H100" s="132">
        <v>46087</v>
      </c>
      <c r="I100" s="127">
        <v>0.59166666666666667</v>
      </c>
      <c r="J100"/>
      <c r="K100"/>
      <c r="L100"/>
    </row>
    <row r="101" spans="1:12">
      <c r="A101" s="95" t="s">
        <v>12</v>
      </c>
      <c r="B101" s="98" t="s">
        <v>3016</v>
      </c>
      <c r="C101" s="87" t="s">
        <v>110</v>
      </c>
      <c r="D101" s="88" t="s">
        <v>3031</v>
      </c>
      <c r="E101" s="89">
        <v>62433717</v>
      </c>
      <c r="F101"/>
      <c r="G101" s="17" t="s">
        <v>3</v>
      </c>
      <c r="H101" s="132">
        <v>46087</v>
      </c>
      <c r="I101" s="127">
        <v>0.59375</v>
      </c>
      <c r="J101"/>
      <c r="K101"/>
      <c r="L101"/>
    </row>
    <row r="102" spans="1:12">
      <c r="A102" s="95" t="s">
        <v>12</v>
      </c>
      <c r="B102" s="98" t="s">
        <v>3016</v>
      </c>
      <c r="C102" s="87" t="s">
        <v>111</v>
      </c>
      <c r="D102" s="88"/>
      <c r="E102" s="89">
        <v>68763102</v>
      </c>
      <c r="F102"/>
      <c r="G102" s="17" t="s">
        <v>6</v>
      </c>
      <c r="H102" s="132">
        <v>46087</v>
      </c>
      <c r="I102" s="127">
        <v>0.60763888888888884</v>
      </c>
      <c r="J102"/>
      <c r="K102"/>
      <c r="L102"/>
    </row>
    <row r="103" spans="1:12">
      <c r="A103" s="95" t="s">
        <v>12</v>
      </c>
      <c r="B103" s="98" t="s">
        <v>3016</v>
      </c>
      <c r="C103" s="87" t="s">
        <v>112</v>
      </c>
      <c r="D103" s="88" t="s">
        <v>3032</v>
      </c>
      <c r="E103" s="89">
        <v>7751976</v>
      </c>
      <c r="F103"/>
      <c r="G103" s="17" t="s">
        <v>1</v>
      </c>
      <c r="H103" s="132">
        <v>46087</v>
      </c>
      <c r="I103" s="127">
        <v>0.60902777777777772</v>
      </c>
      <c r="J103"/>
      <c r="K103"/>
      <c r="L103"/>
    </row>
    <row r="104" spans="1:12">
      <c r="A104" s="95" t="s">
        <v>12</v>
      </c>
      <c r="B104" s="98" t="s">
        <v>3016</v>
      </c>
      <c r="C104" s="87" t="s">
        <v>113</v>
      </c>
      <c r="D104" s="88"/>
      <c r="E104" s="89">
        <v>66622503</v>
      </c>
      <c r="F104"/>
      <c r="G104" s="17" t="s">
        <v>6</v>
      </c>
      <c r="H104" s="132">
        <v>46087</v>
      </c>
      <c r="I104" s="127">
        <v>0.61041666666666672</v>
      </c>
      <c r="J104"/>
      <c r="K104"/>
      <c r="L104"/>
    </row>
    <row r="105" spans="1:12">
      <c r="A105" s="95" t="s">
        <v>12</v>
      </c>
      <c r="B105" s="98" t="s">
        <v>3016</v>
      </c>
      <c r="C105" s="87" t="s">
        <v>114</v>
      </c>
      <c r="D105" s="88"/>
      <c r="E105" s="89">
        <v>68429163</v>
      </c>
      <c r="F105"/>
      <c r="G105" s="17" t="s">
        <v>2</v>
      </c>
      <c r="H105" s="132">
        <v>46087</v>
      </c>
      <c r="I105" s="127">
        <v>0.61319444444444449</v>
      </c>
      <c r="J105"/>
      <c r="K105"/>
      <c r="L105"/>
    </row>
    <row r="106" spans="1:12">
      <c r="A106" s="95" t="s">
        <v>12</v>
      </c>
      <c r="B106" s="98" t="s">
        <v>3016</v>
      </c>
      <c r="C106" s="87" t="s">
        <v>115</v>
      </c>
      <c r="D106" s="88"/>
      <c r="E106" s="89">
        <v>7706901</v>
      </c>
      <c r="F106"/>
      <c r="G106" s="17" t="s">
        <v>6</v>
      </c>
      <c r="H106" s="132">
        <v>46087</v>
      </c>
      <c r="I106" s="127">
        <v>0.61458333333333337</v>
      </c>
      <c r="J106"/>
      <c r="K106"/>
      <c r="L106"/>
    </row>
    <row r="107" spans="1:12">
      <c r="A107" s="95" t="s">
        <v>12</v>
      </c>
      <c r="B107" s="98" t="s">
        <v>3016</v>
      </c>
      <c r="C107" s="87" t="s">
        <v>116</v>
      </c>
      <c r="D107" s="88"/>
      <c r="E107" s="89">
        <v>7746285</v>
      </c>
      <c r="F107"/>
      <c r="G107" s="17" t="s">
        <v>6</v>
      </c>
      <c r="H107" s="132">
        <v>46087</v>
      </c>
      <c r="I107" s="127">
        <v>0.61597222222222225</v>
      </c>
      <c r="J107"/>
      <c r="K107"/>
      <c r="L107"/>
    </row>
    <row r="108" spans="1:12">
      <c r="A108" s="95" t="s">
        <v>12</v>
      </c>
      <c r="B108" s="98" t="s">
        <v>3016</v>
      </c>
      <c r="C108" s="87" t="s">
        <v>117</v>
      </c>
      <c r="D108" s="88" t="s">
        <v>3033</v>
      </c>
      <c r="E108" s="89">
        <v>68970458</v>
      </c>
      <c r="F108"/>
      <c r="G108" s="17" t="s">
        <v>1</v>
      </c>
      <c r="H108" s="132">
        <v>46087</v>
      </c>
      <c r="I108" s="127">
        <v>0.62013888888888891</v>
      </c>
      <c r="J108"/>
      <c r="K108"/>
      <c r="L108"/>
    </row>
    <row r="109" spans="1:12">
      <c r="A109" s="95" t="s">
        <v>12</v>
      </c>
      <c r="B109" s="98" t="s">
        <v>3016</v>
      </c>
      <c r="C109" s="87" t="s">
        <v>118</v>
      </c>
      <c r="D109" s="88"/>
      <c r="E109" s="89">
        <v>62706470</v>
      </c>
      <c r="F109"/>
      <c r="G109" s="17" t="s">
        <v>2</v>
      </c>
      <c r="H109" s="132">
        <v>46087</v>
      </c>
      <c r="I109" s="127">
        <v>0.62291666666666667</v>
      </c>
      <c r="J109"/>
      <c r="K109"/>
      <c r="L109"/>
    </row>
    <row r="110" spans="1:12">
      <c r="A110" s="95" t="s">
        <v>12</v>
      </c>
      <c r="B110" s="98" t="s">
        <v>3016</v>
      </c>
      <c r="C110" s="87" t="s">
        <v>119</v>
      </c>
      <c r="D110" s="88"/>
      <c r="E110" s="89">
        <v>62501282</v>
      </c>
      <c r="F110"/>
      <c r="G110" s="17" t="s">
        <v>9</v>
      </c>
      <c r="H110" s="132">
        <v>46087</v>
      </c>
      <c r="I110" s="127">
        <v>0.62361111111111112</v>
      </c>
      <c r="J110"/>
      <c r="K110"/>
      <c r="L110"/>
    </row>
    <row r="111" spans="1:12">
      <c r="A111" s="95" t="s">
        <v>12</v>
      </c>
      <c r="B111" s="98" t="s">
        <v>3016</v>
      </c>
      <c r="C111" s="87" t="s">
        <v>120</v>
      </c>
      <c r="D111" s="88"/>
      <c r="E111" s="89">
        <v>7754337</v>
      </c>
      <c r="F111"/>
      <c r="G111" s="17" t="s">
        <v>5</v>
      </c>
      <c r="H111" s="132">
        <v>46087</v>
      </c>
      <c r="I111" s="127">
        <v>0.62569444444444444</v>
      </c>
      <c r="J111"/>
      <c r="K111"/>
      <c r="L111"/>
    </row>
    <row r="112" spans="1:12">
      <c r="A112" s="95" t="s">
        <v>12</v>
      </c>
      <c r="B112" s="98" t="s">
        <v>3016</v>
      </c>
      <c r="C112" s="87" t="s">
        <v>121</v>
      </c>
      <c r="D112" s="88"/>
      <c r="E112" s="89">
        <v>62336433</v>
      </c>
      <c r="F112"/>
      <c r="G112" s="17" t="s">
        <v>9</v>
      </c>
      <c r="H112" s="132">
        <v>46087</v>
      </c>
      <c r="I112" s="127">
        <v>0.62916666666666665</v>
      </c>
      <c r="J112"/>
      <c r="K112"/>
      <c r="L112"/>
    </row>
    <row r="113" spans="1:12">
      <c r="A113" s="95" t="s">
        <v>12</v>
      </c>
      <c r="B113" s="98" t="s">
        <v>3016</v>
      </c>
      <c r="C113" s="87" t="s">
        <v>122</v>
      </c>
      <c r="D113" s="88"/>
      <c r="E113" s="89">
        <v>7875113</v>
      </c>
      <c r="F113"/>
      <c r="G113" s="17" t="s">
        <v>6</v>
      </c>
      <c r="H113" s="132">
        <v>46087</v>
      </c>
      <c r="I113" s="127">
        <v>0.62986111111111109</v>
      </c>
      <c r="J113"/>
      <c r="K113"/>
      <c r="L113"/>
    </row>
    <row r="114" spans="1:12">
      <c r="A114" s="95" t="s">
        <v>12</v>
      </c>
      <c r="B114" s="98" t="s">
        <v>3016</v>
      </c>
      <c r="C114" s="87" t="s">
        <v>123</v>
      </c>
      <c r="D114" s="88" t="s">
        <v>3034</v>
      </c>
      <c r="E114" s="89">
        <v>62547275</v>
      </c>
      <c r="F114"/>
      <c r="G114" s="17" t="s">
        <v>1</v>
      </c>
      <c r="H114" s="132">
        <v>46087</v>
      </c>
      <c r="I114" s="127">
        <v>0.64652777777777781</v>
      </c>
      <c r="J114"/>
      <c r="K114"/>
      <c r="L114"/>
    </row>
    <row r="115" spans="1:12">
      <c r="A115" s="95" t="s">
        <v>12</v>
      </c>
      <c r="B115" s="98" t="s">
        <v>3016</v>
      </c>
      <c r="C115" s="87" t="s">
        <v>124</v>
      </c>
      <c r="D115" s="88" t="s">
        <v>3035</v>
      </c>
      <c r="E115" s="89">
        <v>64322059</v>
      </c>
      <c r="F115"/>
      <c r="G115" s="17" t="s">
        <v>1</v>
      </c>
      <c r="H115" s="132">
        <v>46087</v>
      </c>
      <c r="I115" s="127">
        <v>0.65138888888888891</v>
      </c>
      <c r="J115"/>
      <c r="K115"/>
      <c r="L115"/>
    </row>
    <row r="116" spans="1:12">
      <c r="A116" s="95" t="s">
        <v>12</v>
      </c>
      <c r="B116" s="98" t="s">
        <v>3016</v>
      </c>
      <c r="C116" s="87" t="s">
        <v>125</v>
      </c>
      <c r="D116" s="88" t="s">
        <v>3036</v>
      </c>
      <c r="E116" s="89">
        <v>64051636</v>
      </c>
      <c r="F116"/>
      <c r="G116" s="17" t="s">
        <v>1</v>
      </c>
      <c r="H116" s="132">
        <v>46087</v>
      </c>
      <c r="I116" s="127">
        <v>0.65555555555555556</v>
      </c>
      <c r="J116"/>
      <c r="K116"/>
      <c r="L116"/>
    </row>
    <row r="117" spans="1:12">
      <c r="A117" s="95" t="s">
        <v>12</v>
      </c>
      <c r="B117" s="98" t="s">
        <v>3016</v>
      </c>
      <c r="C117" s="87" t="s">
        <v>126</v>
      </c>
      <c r="D117" s="88"/>
      <c r="E117" s="89">
        <v>62554282</v>
      </c>
      <c r="F117"/>
      <c r="G117" s="17" t="s">
        <v>6</v>
      </c>
      <c r="H117" s="132">
        <v>46087</v>
      </c>
      <c r="I117" s="127">
        <v>0.65625</v>
      </c>
      <c r="J117"/>
      <c r="K117"/>
      <c r="L117"/>
    </row>
    <row r="118" spans="1:12">
      <c r="A118" s="95" t="s">
        <v>12</v>
      </c>
      <c r="B118" s="98" t="s">
        <v>3016</v>
      </c>
      <c r="C118" s="87" t="s">
        <v>127</v>
      </c>
      <c r="D118" s="88" t="s">
        <v>3037</v>
      </c>
      <c r="E118" s="89">
        <v>67456014</v>
      </c>
      <c r="F118"/>
      <c r="G118" s="17" t="s">
        <v>4</v>
      </c>
      <c r="H118" s="132">
        <v>46087</v>
      </c>
      <c r="I118" s="127">
        <v>0.65694444444444444</v>
      </c>
      <c r="J118"/>
      <c r="K118"/>
      <c r="L118"/>
    </row>
    <row r="119" spans="1:12">
      <c r="A119" s="95" t="s">
        <v>12</v>
      </c>
      <c r="B119" s="98" t="s">
        <v>3016</v>
      </c>
      <c r="C119" s="87" t="s">
        <v>128</v>
      </c>
      <c r="D119" s="88"/>
      <c r="E119" s="89">
        <v>63427859</v>
      </c>
      <c r="F119"/>
      <c r="G119" s="17" t="s">
        <v>2</v>
      </c>
      <c r="H119" s="132">
        <v>46087</v>
      </c>
      <c r="I119" s="127">
        <v>0.65763888888888888</v>
      </c>
      <c r="J119"/>
      <c r="K119"/>
      <c r="L119"/>
    </row>
    <row r="120" spans="1:12">
      <c r="A120" s="95" t="s">
        <v>12</v>
      </c>
      <c r="B120" s="98" t="s">
        <v>3016</v>
      </c>
      <c r="C120" s="87" t="s">
        <v>129</v>
      </c>
      <c r="D120" s="88" t="s">
        <v>3038</v>
      </c>
      <c r="E120" s="89">
        <v>63920567</v>
      </c>
      <c r="F120"/>
      <c r="G120" s="17" t="s">
        <v>1</v>
      </c>
      <c r="H120" s="132">
        <v>46087</v>
      </c>
      <c r="I120" s="127">
        <v>0.66111111111111109</v>
      </c>
      <c r="J120"/>
      <c r="K120"/>
      <c r="L120"/>
    </row>
    <row r="121" spans="1:12">
      <c r="A121" s="95" t="s">
        <v>12</v>
      </c>
      <c r="B121" s="98" t="s">
        <v>3016</v>
      </c>
      <c r="C121" s="87" t="s">
        <v>130</v>
      </c>
      <c r="D121" s="88"/>
      <c r="E121" s="89">
        <v>65631436</v>
      </c>
      <c r="F121"/>
      <c r="G121" s="17" t="s">
        <v>2</v>
      </c>
      <c r="H121" s="132">
        <v>46087</v>
      </c>
      <c r="I121" s="127">
        <v>0.66180555555555554</v>
      </c>
      <c r="J121"/>
      <c r="K121"/>
      <c r="L121"/>
    </row>
    <row r="122" spans="1:12">
      <c r="A122" s="95" t="s">
        <v>12</v>
      </c>
      <c r="B122" s="98" t="s">
        <v>3039</v>
      </c>
      <c r="C122" s="87" t="s">
        <v>131</v>
      </c>
      <c r="D122" s="88"/>
      <c r="E122" s="89">
        <v>61675342</v>
      </c>
      <c r="F122"/>
      <c r="G122" s="17" t="s">
        <v>2</v>
      </c>
      <c r="H122" s="132">
        <v>46084</v>
      </c>
      <c r="I122" s="127">
        <v>0.58333333333333337</v>
      </c>
      <c r="J122"/>
      <c r="K122"/>
      <c r="L122"/>
    </row>
    <row r="123" spans="1:12">
      <c r="A123" s="95" t="s">
        <v>12</v>
      </c>
      <c r="B123" s="98" t="s">
        <v>3039</v>
      </c>
      <c r="C123" s="87" t="s">
        <v>132</v>
      </c>
      <c r="D123" s="88"/>
      <c r="E123" s="89">
        <v>64011875</v>
      </c>
      <c r="F123"/>
      <c r="G123" s="17" t="s">
        <v>6</v>
      </c>
      <c r="H123" s="132">
        <v>46084</v>
      </c>
      <c r="I123" s="127" t="s">
        <v>3040</v>
      </c>
      <c r="J123"/>
      <c r="K123"/>
      <c r="L123"/>
    </row>
    <row r="124" spans="1:12">
      <c r="A124" s="95" t="s">
        <v>12</v>
      </c>
      <c r="B124" s="98" t="s">
        <v>3039</v>
      </c>
      <c r="C124" s="87" t="s">
        <v>133</v>
      </c>
      <c r="D124" s="88"/>
      <c r="E124" s="89">
        <v>7755447</v>
      </c>
      <c r="F124"/>
      <c r="G124" s="17" t="s">
        <v>8</v>
      </c>
      <c r="H124" s="132">
        <v>46084</v>
      </c>
      <c r="I124" s="127">
        <v>0.58611111111111114</v>
      </c>
      <c r="J124"/>
      <c r="K124"/>
      <c r="L124"/>
    </row>
    <row r="125" spans="1:12">
      <c r="A125" s="95" t="s">
        <v>12</v>
      </c>
      <c r="B125" s="98" t="s">
        <v>3039</v>
      </c>
      <c r="C125" s="87" t="s">
        <v>134</v>
      </c>
      <c r="D125" s="88"/>
      <c r="E125" s="89">
        <v>7705797</v>
      </c>
      <c r="F125"/>
      <c r="G125" s="17" t="s">
        <v>9</v>
      </c>
      <c r="H125" s="132">
        <v>46084</v>
      </c>
      <c r="I125" s="127">
        <v>0.58819444444444446</v>
      </c>
      <c r="J125"/>
      <c r="K125"/>
      <c r="L125"/>
    </row>
    <row r="126" spans="1:12">
      <c r="A126" s="95" t="s">
        <v>12</v>
      </c>
      <c r="B126" s="98" t="s">
        <v>3039</v>
      </c>
      <c r="C126" s="87" t="s">
        <v>135</v>
      </c>
      <c r="D126" s="88"/>
      <c r="E126" s="89">
        <v>69966104</v>
      </c>
      <c r="F126"/>
      <c r="G126" s="17" t="s">
        <v>4</v>
      </c>
      <c r="H126" s="132">
        <v>46084</v>
      </c>
      <c r="I126" s="127">
        <v>0.59027777777777779</v>
      </c>
      <c r="J126"/>
      <c r="K126"/>
      <c r="L126" t="s">
        <v>3041</v>
      </c>
    </row>
    <row r="127" spans="1:12">
      <c r="A127" s="95" t="s">
        <v>12</v>
      </c>
      <c r="B127" s="98" t="s">
        <v>3039</v>
      </c>
      <c r="C127" s="87" t="s">
        <v>136</v>
      </c>
      <c r="D127" s="88"/>
      <c r="E127" s="89">
        <v>63542566</v>
      </c>
      <c r="F127"/>
      <c r="G127" s="17" t="s">
        <v>1</v>
      </c>
      <c r="H127" s="132">
        <v>46084</v>
      </c>
      <c r="I127" s="127">
        <v>0.59375</v>
      </c>
      <c r="J127"/>
      <c r="K127"/>
      <c r="L127"/>
    </row>
    <row r="128" spans="1:12">
      <c r="A128" s="95" t="s">
        <v>12</v>
      </c>
      <c r="B128" s="98" t="s">
        <v>3039</v>
      </c>
      <c r="C128" s="87" t="s">
        <v>137</v>
      </c>
      <c r="D128" s="88"/>
      <c r="E128" s="89">
        <v>67949869</v>
      </c>
      <c r="F128"/>
      <c r="G128" s="17" t="s">
        <v>2</v>
      </c>
      <c r="H128" s="132">
        <v>46084</v>
      </c>
      <c r="I128" s="127">
        <v>0.59583333333333333</v>
      </c>
      <c r="J128"/>
      <c r="K128"/>
      <c r="L128"/>
    </row>
    <row r="129" spans="1:12">
      <c r="A129" s="95" t="s">
        <v>12</v>
      </c>
      <c r="B129" s="98" t="s">
        <v>3039</v>
      </c>
      <c r="C129" s="87" t="s">
        <v>138</v>
      </c>
      <c r="D129" s="88"/>
      <c r="E129" s="89">
        <v>65168648</v>
      </c>
      <c r="F129"/>
      <c r="G129" s="17" t="s">
        <v>4</v>
      </c>
      <c r="H129" s="132">
        <v>46084</v>
      </c>
      <c r="I129" s="127">
        <v>0.59652777777777777</v>
      </c>
      <c r="J129"/>
      <c r="K129"/>
      <c r="L129"/>
    </row>
    <row r="130" spans="1:12">
      <c r="A130" s="95" t="s">
        <v>12</v>
      </c>
      <c r="B130" s="98" t="s">
        <v>3039</v>
      </c>
      <c r="C130" s="87" t="s">
        <v>139</v>
      </c>
      <c r="D130" s="88"/>
      <c r="E130" s="89">
        <v>64025131</v>
      </c>
      <c r="F130"/>
      <c r="G130" s="17" t="s">
        <v>4</v>
      </c>
      <c r="H130" s="132">
        <v>46084</v>
      </c>
      <c r="I130" s="127">
        <v>0.59722222222222221</v>
      </c>
      <c r="J130"/>
      <c r="K130"/>
      <c r="L130" t="s">
        <v>3042</v>
      </c>
    </row>
    <row r="131" spans="1:12">
      <c r="A131" s="95" t="s">
        <v>12</v>
      </c>
      <c r="B131" s="98" t="s">
        <v>3039</v>
      </c>
      <c r="C131" s="87" t="s">
        <v>140</v>
      </c>
      <c r="D131" s="88"/>
      <c r="E131" s="89">
        <v>61589900</v>
      </c>
      <c r="F131"/>
      <c r="G131" s="17" t="s">
        <v>6</v>
      </c>
      <c r="H131" s="132">
        <v>46084</v>
      </c>
      <c r="I131" s="127" t="s">
        <v>3043</v>
      </c>
      <c r="J131"/>
      <c r="K131"/>
      <c r="L131"/>
    </row>
    <row r="132" spans="1:12">
      <c r="A132" s="95" t="s">
        <v>12</v>
      </c>
      <c r="B132" s="98" t="s">
        <v>3039</v>
      </c>
      <c r="C132" s="87" t="s">
        <v>141</v>
      </c>
      <c r="D132" s="88"/>
      <c r="E132" s="89">
        <v>63464388</v>
      </c>
      <c r="F132"/>
      <c r="G132" s="17" t="s">
        <v>6</v>
      </c>
      <c r="H132" s="132">
        <v>46084</v>
      </c>
      <c r="I132" s="127">
        <v>0.59930555555555554</v>
      </c>
      <c r="J132"/>
      <c r="K132"/>
      <c r="L132"/>
    </row>
    <row r="133" spans="1:12">
      <c r="A133" s="95" t="s">
        <v>12</v>
      </c>
      <c r="B133" s="98" t="s">
        <v>3039</v>
      </c>
      <c r="C133" s="87" t="s">
        <v>142</v>
      </c>
      <c r="D133" s="88"/>
      <c r="E133" s="89">
        <v>69566514</v>
      </c>
      <c r="F133"/>
      <c r="G133" s="17" t="s">
        <v>2</v>
      </c>
      <c r="H133" s="132">
        <v>46084</v>
      </c>
      <c r="I133" s="127" t="s">
        <v>3044</v>
      </c>
      <c r="J133"/>
      <c r="K133"/>
      <c r="L133"/>
    </row>
    <row r="134" spans="1:12">
      <c r="A134" s="95" t="s">
        <v>12</v>
      </c>
      <c r="B134" s="98" t="s">
        <v>3039</v>
      </c>
      <c r="C134" s="87" t="s">
        <v>143</v>
      </c>
      <c r="D134" s="88"/>
      <c r="E134" s="89">
        <v>69377925</v>
      </c>
      <c r="F134"/>
      <c r="G134" s="17" t="s">
        <v>1</v>
      </c>
      <c r="H134" s="132">
        <v>46084</v>
      </c>
      <c r="I134" s="127">
        <v>0.12222222222222222</v>
      </c>
      <c r="J134"/>
      <c r="K134"/>
      <c r="L134"/>
    </row>
    <row r="135" spans="1:12">
      <c r="A135" s="95" t="s">
        <v>12</v>
      </c>
      <c r="B135" s="98" t="s">
        <v>3039</v>
      </c>
      <c r="C135" s="87" t="s">
        <v>144</v>
      </c>
      <c r="D135" s="88"/>
      <c r="E135" s="89">
        <v>65042031</v>
      </c>
      <c r="F135"/>
      <c r="G135" s="17" t="s">
        <v>6</v>
      </c>
      <c r="H135" s="132">
        <v>46084</v>
      </c>
      <c r="I135" s="127">
        <v>0.62361111111111112</v>
      </c>
      <c r="J135"/>
      <c r="K135"/>
      <c r="L135"/>
    </row>
    <row r="136" spans="1:12">
      <c r="A136" s="95" t="s">
        <v>12</v>
      </c>
      <c r="B136" s="98" t="s">
        <v>3039</v>
      </c>
      <c r="C136" s="87" t="s">
        <v>145</v>
      </c>
      <c r="D136" s="88"/>
      <c r="E136" s="89">
        <v>68992400</v>
      </c>
      <c r="F136"/>
      <c r="G136" s="17" t="s">
        <v>2</v>
      </c>
      <c r="H136" s="132">
        <v>46084</v>
      </c>
      <c r="I136" s="127">
        <v>0.12430555555555556</v>
      </c>
      <c r="J136"/>
      <c r="K136"/>
      <c r="L136"/>
    </row>
    <row r="137" spans="1:12">
      <c r="A137" s="95" t="s">
        <v>12</v>
      </c>
      <c r="B137" s="98" t="s">
        <v>3039</v>
      </c>
      <c r="C137" s="87" t="s">
        <v>146</v>
      </c>
      <c r="D137" s="88"/>
      <c r="E137" s="89">
        <v>69422077</v>
      </c>
      <c r="F137"/>
      <c r="G137" s="17" t="s">
        <v>9</v>
      </c>
      <c r="H137" s="132">
        <v>46084</v>
      </c>
      <c r="I137" s="127">
        <v>0.625</v>
      </c>
      <c r="J137"/>
      <c r="K137"/>
      <c r="L137"/>
    </row>
    <row r="138" spans="1:12">
      <c r="A138" s="95" t="s">
        <v>12</v>
      </c>
      <c r="B138" s="98" t="s">
        <v>3039</v>
      </c>
      <c r="C138" s="87" t="s">
        <v>147</v>
      </c>
      <c r="D138" s="88"/>
      <c r="E138" s="89">
        <v>65283690</v>
      </c>
      <c r="F138"/>
      <c r="G138" s="17" t="s">
        <v>3</v>
      </c>
      <c r="H138" s="132">
        <v>46084</v>
      </c>
      <c r="I138" s="127">
        <v>0.62569444444444444</v>
      </c>
      <c r="J138"/>
      <c r="K138"/>
      <c r="L138"/>
    </row>
    <row r="139" spans="1:12">
      <c r="A139" s="95" t="s">
        <v>12</v>
      </c>
      <c r="B139" s="98" t="s">
        <v>3039</v>
      </c>
      <c r="C139" s="87" t="s">
        <v>148</v>
      </c>
      <c r="D139" s="88"/>
      <c r="E139" s="89">
        <v>65618138</v>
      </c>
      <c r="F139"/>
      <c r="G139" s="17" t="s">
        <v>1</v>
      </c>
      <c r="H139" s="132">
        <v>46084</v>
      </c>
      <c r="I139" s="127">
        <v>0.625</v>
      </c>
      <c r="J139"/>
      <c r="K139"/>
      <c r="L139"/>
    </row>
    <row r="140" spans="1:12">
      <c r="A140" s="95" t="s">
        <v>12</v>
      </c>
      <c r="B140" s="98" t="s">
        <v>3039</v>
      </c>
      <c r="C140" s="87" t="s">
        <v>149</v>
      </c>
      <c r="D140" s="88"/>
      <c r="E140" s="89">
        <v>66051281</v>
      </c>
      <c r="F140"/>
      <c r="G140" s="17" t="s">
        <v>1</v>
      </c>
      <c r="H140" s="132">
        <v>46084</v>
      </c>
      <c r="I140" s="127">
        <v>0.62847222222222221</v>
      </c>
      <c r="J140"/>
      <c r="K140"/>
      <c r="L140"/>
    </row>
    <row r="141" spans="1:12">
      <c r="A141" s="95" t="s">
        <v>12</v>
      </c>
      <c r="B141" s="98" t="s">
        <v>3039</v>
      </c>
      <c r="C141" s="87" t="s">
        <v>150</v>
      </c>
      <c r="D141" s="88"/>
      <c r="E141" s="89">
        <v>68150368</v>
      </c>
      <c r="F141"/>
      <c r="G141" s="17" t="s">
        <v>8</v>
      </c>
      <c r="H141" s="132">
        <v>46084</v>
      </c>
      <c r="I141" s="127">
        <v>0.62916666666666665</v>
      </c>
      <c r="J141"/>
      <c r="K141"/>
      <c r="L141"/>
    </row>
    <row r="142" spans="1:12">
      <c r="A142" s="95" t="s">
        <v>12</v>
      </c>
      <c r="B142" s="98" t="s">
        <v>3039</v>
      </c>
      <c r="C142" s="87" t="s">
        <v>151</v>
      </c>
      <c r="D142" s="88"/>
      <c r="E142" s="89">
        <v>64650501</v>
      </c>
      <c r="F142"/>
      <c r="G142" s="17" t="s">
        <v>2</v>
      </c>
      <c r="H142" s="132">
        <v>46084</v>
      </c>
      <c r="I142" s="127">
        <v>0.63124999999999998</v>
      </c>
      <c r="J142"/>
      <c r="K142"/>
      <c r="L142"/>
    </row>
    <row r="143" spans="1:12">
      <c r="A143" s="95" t="s">
        <v>12</v>
      </c>
      <c r="B143" s="98" t="s">
        <v>3039</v>
      </c>
      <c r="C143" s="87" t="s">
        <v>152</v>
      </c>
      <c r="D143" s="88"/>
      <c r="E143" s="89">
        <v>64343167</v>
      </c>
      <c r="F143"/>
      <c r="G143" s="17" t="s">
        <v>1</v>
      </c>
      <c r="H143" s="132">
        <v>46084</v>
      </c>
      <c r="I143" s="127">
        <v>0.63124999999999998</v>
      </c>
      <c r="J143"/>
      <c r="K143"/>
      <c r="L143"/>
    </row>
    <row r="144" spans="1:12">
      <c r="A144" s="95" t="s">
        <v>12</v>
      </c>
      <c r="B144" s="98" t="s">
        <v>3039</v>
      </c>
      <c r="C144" s="87" t="s">
        <v>153</v>
      </c>
      <c r="D144" s="88"/>
      <c r="E144" s="89">
        <v>64019327</v>
      </c>
      <c r="F144"/>
      <c r="G144" s="17" t="s">
        <v>2</v>
      </c>
      <c r="H144" s="132">
        <v>46084</v>
      </c>
      <c r="I144" s="127">
        <v>0.63263888888888886</v>
      </c>
      <c r="J144"/>
      <c r="K144"/>
      <c r="L144"/>
    </row>
    <row r="145" spans="1:12">
      <c r="A145" s="95" t="s">
        <v>12</v>
      </c>
      <c r="B145" s="98" t="s">
        <v>3039</v>
      </c>
      <c r="C145" s="87" t="s">
        <v>154</v>
      </c>
      <c r="D145" s="88"/>
      <c r="E145" s="89">
        <v>68931286</v>
      </c>
      <c r="F145"/>
      <c r="G145" s="17" t="s">
        <v>1</v>
      </c>
      <c r="H145" s="132">
        <v>46084</v>
      </c>
      <c r="I145" s="127">
        <v>0.6333333333333333</v>
      </c>
      <c r="J145"/>
      <c r="K145"/>
      <c r="L145"/>
    </row>
    <row r="146" spans="1:12">
      <c r="A146" s="95" t="s">
        <v>12</v>
      </c>
      <c r="B146" s="98" t="s">
        <v>3039</v>
      </c>
      <c r="C146" s="87" t="s">
        <v>155</v>
      </c>
      <c r="D146" s="88"/>
      <c r="E146" s="89">
        <v>64492157</v>
      </c>
      <c r="F146"/>
      <c r="G146" s="17" t="s">
        <v>6</v>
      </c>
      <c r="H146" s="132">
        <v>46084</v>
      </c>
      <c r="I146" s="127">
        <v>0.13402777777777777</v>
      </c>
      <c r="J146"/>
      <c r="K146"/>
      <c r="L146"/>
    </row>
    <row r="147" spans="1:12">
      <c r="A147" s="95" t="s">
        <v>12</v>
      </c>
      <c r="B147" s="98" t="s">
        <v>3039</v>
      </c>
      <c r="C147" s="87" t="s">
        <v>156</v>
      </c>
      <c r="D147" s="88"/>
      <c r="E147" s="89">
        <v>68569212</v>
      </c>
      <c r="F147"/>
      <c r="G147" s="17" t="s">
        <v>4</v>
      </c>
      <c r="H147" s="132">
        <v>46084</v>
      </c>
      <c r="I147" s="127">
        <v>0.63472222222222219</v>
      </c>
      <c r="J147"/>
      <c r="K147"/>
      <c r="L147"/>
    </row>
    <row r="148" spans="1:12">
      <c r="A148" s="95" t="s">
        <v>12</v>
      </c>
      <c r="B148" s="98" t="s">
        <v>3039</v>
      </c>
      <c r="C148" s="87" t="s">
        <v>157</v>
      </c>
      <c r="D148" s="88"/>
      <c r="E148" s="89">
        <v>64214922</v>
      </c>
      <c r="F148"/>
      <c r="G148" s="17" t="s">
        <v>6</v>
      </c>
      <c r="H148" s="132">
        <v>46084</v>
      </c>
      <c r="I148" s="127">
        <v>0.63611111111111107</v>
      </c>
      <c r="J148"/>
      <c r="K148"/>
      <c r="L148"/>
    </row>
    <row r="149" spans="1:12">
      <c r="A149" s="95" t="s">
        <v>12</v>
      </c>
      <c r="B149" s="98" t="s">
        <v>3039</v>
      </c>
      <c r="C149" s="87" t="s">
        <v>158</v>
      </c>
      <c r="D149" s="88"/>
      <c r="E149" s="89">
        <v>65074613</v>
      </c>
      <c r="F149"/>
      <c r="G149" s="17" t="s">
        <v>1</v>
      </c>
      <c r="H149" s="132">
        <v>46084</v>
      </c>
      <c r="I149" s="127">
        <v>0.63680555555555551</v>
      </c>
      <c r="J149"/>
      <c r="K149"/>
      <c r="L149"/>
    </row>
    <row r="150" spans="1:12">
      <c r="A150" s="95" t="s">
        <v>12</v>
      </c>
      <c r="B150" s="98" t="s">
        <v>3039</v>
      </c>
      <c r="C150" s="87" t="s">
        <v>159</v>
      </c>
      <c r="D150" s="88"/>
      <c r="E150" s="89">
        <v>65315213</v>
      </c>
      <c r="F150"/>
      <c r="G150" s="17" t="s">
        <v>6</v>
      </c>
      <c r="H150" s="132">
        <v>46084</v>
      </c>
      <c r="I150" s="127">
        <v>0.63958333333333328</v>
      </c>
      <c r="J150"/>
      <c r="K150"/>
      <c r="L150"/>
    </row>
    <row r="151" spans="1:12">
      <c r="A151" s="95" t="s">
        <v>12</v>
      </c>
      <c r="B151" s="98" t="s">
        <v>3039</v>
      </c>
      <c r="C151" s="87" t="s">
        <v>160</v>
      </c>
      <c r="D151" s="88"/>
      <c r="E151" s="89">
        <v>69513430</v>
      </c>
      <c r="F151"/>
      <c r="G151" s="17" t="s">
        <v>2</v>
      </c>
      <c r="H151" s="132">
        <v>46084</v>
      </c>
      <c r="I151" s="127">
        <v>0.64027777777777772</v>
      </c>
      <c r="J151"/>
      <c r="K151"/>
      <c r="L151"/>
    </row>
    <row r="152" spans="1:12">
      <c r="A152" s="95" t="s">
        <v>12</v>
      </c>
      <c r="B152" s="98" t="s">
        <v>3039</v>
      </c>
      <c r="C152" s="87" t="s">
        <v>161</v>
      </c>
      <c r="D152" s="88"/>
      <c r="E152" s="89">
        <v>64589834</v>
      </c>
      <c r="F152"/>
      <c r="G152" s="17" t="s">
        <v>6</v>
      </c>
      <c r="H152" s="132">
        <v>46084</v>
      </c>
      <c r="I152" s="127">
        <v>0.64027777777777772</v>
      </c>
      <c r="J152"/>
      <c r="K152"/>
      <c r="L152"/>
    </row>
    <row r="153" spans="1:12">
      <c r="A153" s="95" t="s">
        <v>12</v>
      </c>
      <c r="B153" s="98" t="s">
        <v>3039</v>
      </c>
      <c r="C153" s="87" t="s">
        <v>162</v>
      </c>
      <c r="D153" s="88"/>
      <c r="E153" s="89">
        <v>7309341</v>
      </c>
      <c r="F153"/>
      <c r="G153" s="17" t="s">
        <v>8</v>
      </c>
      <c r="H153" s="132">
        <v>46084</v>
      </c>
      <c r="I153" s="127">
        <v>0.64097222222222228</v>
      </c>
      <c r="J153"/>
      <c r="K153"/>
      <c r="L153"/>
    </row>
    <row r="154" spans="1:12">
      <c r="A154" s="95" t="s">
        <v>12</v>
      </c>
      <c r="B154" s="98" t="s">
        <v>3039</v>
      </c>
      <c r="C154" s="87" t="s">
        <v>163</v>
      </c>
      <c r="D154" s="88"/>
      <c r="E154" s="89">
        <v>68133812</v>
      </c>
      <c r="F154"/>
      <c r="G154" s="17" t="s">
        <v>8</v>
      </c>
      <c r="H154" s="132">
        <v>46084</v>
      </c>
      <c r="I154" s="127">
        <v>0.64236111111111116</v>
      </c>
      <c r="J154"/>
      <c r="K154"/>
      <c r="L154"/>
    </row>
    <row r="155" spans="1:12">
      <c r="A155" s="95" t="s">
        <v>12</v>
      </c>
      <c r="B155" s="98" t="s">
        <v>3039</v>
      </c>
      <c r="C155" s="87" t="s">
        <v>164</v>
      </c>
      <c r="D155" s="88"/>
      <c r="E155" s="89">
        <v>62921055</v>
      </c>
      <c r="F155"/>
      <c r="G155" s="17" t="s">
        <v>4</v>
      </c>
      <c r="H155" s="132">
        <v>46084</v>
      </c>
      <c r="I155" s="127">
        <v>0.64375000000000004</v>
      </c>
      <c r="J155"/>
      <c r="K155"/>
      <c r="L155"/>
    </row>
    <row r="156" spans="1:12">
      <c r="A156" s="95" t="s">
        <v>12</v>
      </c>
      <c r="B156" s="98" t="s">
        <v>3039</v>
      </c>
      <c r="C156" s="87" t="s">
        <v>165</v>
      </c>
      <c r="D156" s="88"/>
      <c r="E156" s="89">
        <v>67081713</v>
      </c>
      <c r="F156"/>
      <c r="G156" s="17" t="s">
        <v>4</v>
      </c>
      <c r="H156" s="132">
        <v>46084</v>
      </c>
      <c r="I156" s="127">
        <v>0.64444444444444449</v>
      </c>
      <c r="J156"/>
      <c r="K156"/>
      <c r="L156"/>
    </row>
    <row r="157" spans="1:12">
      <c r="A157" s="95" t="s">
        <v>12</v>
      </c>
      <c r="B157" s="98" t="s">
        <v>3039</v>
      </c>
      <c r="C157" s="87" t="s">
        <v>166</v>
      </c>
      <c r="D157" s="88"/>
      <c r="E157" s="89">
        <v>62213852</v>
      </c>
      <c r="F157"/>
      <c r="G157" s="17" t="s">
        <v>3</v>
      </c>
      <c r="H157" s="132">
        <v>46084</v>
      </c>
      <c r="I157" s="127">
        <v>0.14583333333333334</v>
      </c>
      <c r="J157"/>
      <c r="K157"/>
      <c r="L157"/>
    </row>
    <row r="158" spans="1:12">
      <c r="A158" s="95" t="s">
        <v>12</v>
      </c>
      <c r="B158" s="98" t="s">
        <v>3039</v>
      </c>
      <c r="C158" s="87" t="s">
        <v>167</v>
      </c>
      <c r="D158" s="88"/>
      <c r="E158" s="89">
        <v>65782142</v>
      </c>
      <c r="F158"/>
      <c r="G158" s="17" t="s">
        <v>6</v>
      </c>
      <c r="H158" s="132">
        <v>46085</v>
      </c>
      <c r="I158" s="127">
        <v>0.45208333333333334</v>
      </c>
      <c r="J158"/>
      <c r="K158"/>
      <c r="L158"/>
    </row>
    <row r="159" spans="1:12">
      <c r="A159" s="95" t="s">
        <v>12</v>
      </c>
      <c r="B159" s="98" t="s">
        <v>3039</v>
      </c>
      <c r="C159" s="87" t="s">
        <v>168</v>
      </c>
      <c r="D159" s="88"/>
      <c r="E159" s="89">
        <v>63698019</v>
      </c>
      <c r="F159"/>
      <c r="G159" s="17" t="s">
        <v>1</v>
      </c>
      <c r="H159" s="132">
        <v>46085</v>
      </c>
      <c r="I159" s="127">
        <v>0.45347222222222222</v>
      </c>
      <c r="J159"/>
      <c r="K159"/>
      <c r="L159"/>
    </row>
    <row r="160" spans="1:12">
      <c r="A160" s="95" t="s">
        <v>12</v>
      </c>
      <c r="B160" s="98" t="s">
        <v>3039</v>
      </c>
      <c r="C160" s="87" t="s">
        <v>169</v>
      </c>
      <c r="D160" s="88"/>
      <c r="E160" s="89">
        <v>64899102</v>
      </c>
      <c r="F160"/>
      <c r="G160" s="17" t="s">
        <v>6</v>
      </c>
      <c r="H160" s="132">
        <v>46085</v>
      </c>
      <c r="I160" s="127">
        <v>0.4548611111111111</v>
      </c>
      <c r="J160"/>
      <c r="K160"/>
      <c r="L160"/>
    </row>
    <row r="161" spans="1:12">
      <c r="A161" s="95" t="s">
        <v>12</v>
      </c>
      <c r="B161" s="98" t="s">
        <v>3039</v>
      </c>
      <c r="C161" s="87" t="s">
        <v>170</v>
      </c>
      <c r="D161" s="88"/>
      <c r="E161" s="89">
        <v>64141107</v>
      </c>
      <c r="F161"/>
      <c r="G161" s="17" t="s">
        <v>6</v>
      </c>
      <c r="H161" s="132">
        <v>46085</v>
      </c>
      <c r="I161" s="127">
        <v>0.45555555555555555</v>
      </c>
      <c r="J161"/>
      <c r="K161"/>
      <c r="L161"/>
    </row>
    <row r="162" spans="1:12">
      <c r="A162" s="95" t="s">
        <v>12</v>
      </c>
      <c r="B162" s="98" t="s">
        <v>3039</v>
      </c>
      <c r="C162" s="87" t="s">
        <v>171</v>
      </c>
      <c r="D162" s="88"/>
      <c r="E162" s="89">
        <v>66473824</v>
      </c>
      <c r="F162"/>
      <c r="G162" s="17" t="s">
        <v>9</v>
      </c>
      <c r="H162" s="132">
        <v>46085</v>
      </c>
      <c r="I162" s="127">
        <v>0.45624999999999999</v>
      </c>
      <c r="J162"/>
      <c r="K162"/>
      <c r="L162"/>
    </row>
    <row r="163" spans="1:12">
      <c r="A163" s="95" t="s">
        <v>12</v>
      </c>
      <c r="B163" s="98" t="s">
        <v>3039</v>
      </c>
      <c r="C163" s="87" t="s">
        <v>172</v>
      </c>
      <c r="D163" s="88"/>
      <c r="E163" s="89">
        <v>61307618</v>
      </c>
      <c r="F163"/>
      <c r="G163" s="17" t="s">
        <v>9</v>
      </c>
      <c r="H163" s="132">
        <v>46085</v>
      </c>
      <c r="I163" s="127">
        <v>0.45624999999999999</v>
      </c>
      <c r="J163"/>
      <c r="K163"/>
      <c r="L163"/>
    </row>
    <row r="164" spans="1:12">
      <c r="A164" s="95" t="s">
        <v>12</v>
      </c>
      <c r="B164" s="98" t="s">
        <v>3039</v>
      </c>
      <c r="C164" s="87" t="s">
        <v>173</v>
      </c>
      <c r="D164" s="88"/>
      <c r="E164" s="89">
        <v>67019676</v>
      </c>
      <c r="F164"/>
      <c r="G164" s="17" t="s">
        <v>4</v>
      </c>
      <c r="H164" s="132">
        <v>46085</v>
      </c>
      <c r="I164" s="127">
        <v>0.45694444444444443</v>
      </c>
      <c r="J164"/>
      <c r="K164"/>
      <c r="L164"/>
    </row>
    <row r="165" spans="1:12">
      <c r="A165" s="95" t="s">
        <v>12</v>
      </c>
      <c r="B165" s="98" t="s">
        <v>3039</v>
      </c>
      <c r="C165" s="87" t="s">
        <v>174</v>
      </c>
      <c r="D165" s="88"/>
      <c r="E165" s="89">
        <v>66264208</v>
      </c>
      <c r="F165"/>
      <c r="G165" s="17" t="s">
        <v>1</v>
      </c>
      <c r="H165" s="132">
        <v>46085</v>
      </c>
      <c r="I165" s="127">
        <v>0.45763888888888887</v>
      </c>
      <c r="J165"/>
      <c r="K165"/>
      <c r="L165"/>
    </row>
    <row r="166" spans="1:12">
      <c r="A166" s="95" t="s">
        <v>12</v>
      </c>
      <c r="B166" s="98" t="s">
        <v>3039</v>
      </c>
      <c r="C166" s="87" t="s">
        <v>175</v>
      </c>
      <c r="D166" s="88"/>
      <c r="E166" s="89">
        <v>68345680</v>
      </c>
      <c r="F166"/>
      <c r="G166" s="17" t="s">
        <v>2</v>
      </c>
      <c r="H166" s="132">
        <v>46085</v>
      </c>
      <c r="I166" s="127">
        <v>0.45902777777777776</v>
      </c>
      <c r="J166"/>
      <c r="K166"/>
      <c r="L166"/>
    </row>
    <row r="167" spans="1:12">
      <c r="A167" s="95" t="s">
        <v>12</v>
      </c>
      <c r="B167" s="98" t="s">
        <v>3039</v>
      </c>
      <c r="C167" s="87" t="s">
        <v>176</v>
      </c>
      <c r="D167" s="88"/>
      <c r="E167" s="89">
        <v>67363968</v>
      </c>
      <c r="F167"/>
      <c r="G167" s="17" t="s">
        <v>2</v>
      </c>
      <c r="H167" s="132">
        <v>46085</v>
      </c>
      <c r="I167" s="127">
        <v>0.4597222222222222</v>
      </c>
      <c r="J167"/>
      <c r="K167"/>
      <c r="L167"/>
    </row>
    <row r="168" spans="1:12">
      <c r="A168" s="95" t="s">
        <v>12</v>
      </c>
      <c r="B168" s="98" t="s">
        <v>3039</v>
      </c>
      <c r="C168" s="87" t="s">
        <v>177</v>
      </c>
      <c r="D168" s="88"/>
      <c r="E168" s="89">
        <v>7309050</v>
      </c>
      <c r="F168"/>
      <c r="G168" s="17" t="s">
        <v>6</v>
      </c>
      <c r="H168" s="132">
        <v>46085</v>
      </c>
      <c r="I168" s="127">
        <v>0.46041666666666664</v>
      </c>
      <c r="J168"/>
      <c r="K168"/>
      <c r="L168"/>
    </row>
    <row r="169" spans="1:12">
      <c r="A169" s="95" t="s">
        <v>12</v>
      </c>
      <c r="B169" s="98" t="s">
        <v>3039</v>
      </c>
      <c r="C169" s="87" t="s">
        <v>178</v>
      </c>
      <c r="D169" s="88"/>
      <c r="E169" s="89">
        <v>65310566</v>
      </c>
      <c r="F169"/>
      <c r="G169" s="17" t="s">
        <v>4</v>
      </c>
      <c r="H169" s="132">
        <v>46085</v>
      </c>
      <c r="I169" s="127">
        <v>0.46180555555555558</v>
      </c>
      <c r="J169"/>
      <c r="K169"/>
      <c r="L169"/>
    </row>
    <row r="170" spans="1:12">
      <c r="A170" s="95" t="s">
        <v>12</v>
      </c>
      <c r="B170" s="98" t="s">
        <v>3039</v>
      </c>
      <c r="C170" s="87" t="s">
        <v>179</v>
      </c>
      <c r="D170" s="88"/>
      <c r="E170" s="89">
        <v>64309274</v>
      </c>
      <c r="F170"/>
      <c r="G170" s="17" t="s">
        <v>4</v>
      </c>
      <c r="H170" s="132">
        <v>46085</v>
      </c>
      <c r="I170" s="127">
        <v>0.46250000000000002</v>
      </c>
      <c r="J170"/>
      <c r="K170"/>
      <c r="L170"/>
    </row>
    <row r="171" spans="1:12">
      <c r="A171" s="95" t="s">
        <v>12</v>
      </c>
      <c r="B171" s="98" t="s">
        <v>3039</v>
      </c>
      <c r="C171" s="87" t="s">
        <v>180</v>
      </c>
      <c r="D171" s="88"/>
      <c r="E171" s="89">
        <v>69495209</v>
      </c>
      <c r="F171"/>
      <c r="G171" s="17" t="s">
        <v>1</v>
      </c>
      <c r="H171" s="132">
        <v>46085</v>
      </c>
      <c r="I171" s="127">
        <v>0.46319444444444446</v>
      </c>
      <c r="J171"/>
      <c r="K171"/>
      <c r="L171"/>
    </row>
    <row r="172" spans="1:12">
      <c r="A172" s="95" t="s">
        <v>12</v>
      </c>
      <c r="B172" s="98" t="s">
        <v>3039</v>
      </c>
      <c r="C172" s="87" t="s">
        <v>181</v>
      </c>
      <c r="D172" s="88"/>
      <c r="E172" s="89">
        <v>7773521</v>
      </c>
      <c r="F172"/>
      <c r="G172" s="17" t="s">
        <v>9</v>
      </c>
      <c r="H172" s="132">
        <v>46085</v>
      </c>
      <c r="I172" s="127">
        <v>0.46527777777777779</v>
      </c>
      <c r="J172"/>
      <c r="K172"/>
      <c r="L172"/>
    </row>
    <row r="173" spans="1:12">
      <c r="A173" s="95" t="s">
        <v>12</v>
      </c>
      <c r="B173" s="98" t="s">
        <v>3039</v>
      </c>
      <c r="C173" s="87" t="s">
        <v>182</v>
      </c>
      <c r="D173" s="88"/>
      <c r="E173" s="89">
        <v>7748419</v>
      </c>
      <c r="F173"/>
      <c r="G173" s="17" t="s">
        <v>9</v>
      </c>
      <c r="H173" s="132">
        <v>46085</v>
      </c>
      <c r="I173" s="127">
        <v>0.46666666666666667</v>
      </c>
      <c r="J173"/>
      <c r="K173"/>
      <c r="L173"/>
    </row>
    <row r="174" spans="1:12">
      <c r="A174" s="95" t="s">
        <v>12</v>
      </c>
      <c r="B174" s="98" t="s">
        <v>3039</v>
      </c>
      <c r="C174" s="87" t="s">
        <v>183</v>
      </c>
      <c r="D174" s="88"/>
      <c r="E174" s="89">
        <v>67809835</v>
      </c>
      <c r="F174"/>
      <c r="G174" s="17" t="s">
        <v>3</v>
      </c>
      <c r="H174" s="132">
        <v>46085</v>
      </c>
      <c r="I174" s="127">
        <v>0.46736111111111112</v>
      </c>
      <c r="J174"/>
      <c r="K174"/>
      <c r="L174"/>
    </row>
    <row r="175" spans="1:12">
      <c r="A175" s="95" t="s">
        <v>12</v>
      </c>
      <c r="B175" s="98" t="s">
        <v>3039</v>
      </c>
      <c r="C175" s="87" t="s">
        <v>184</v>
      </c>
      <c r="D175" s="88"/>
      <c r="E175" s="89">
        <v>69984744</v>
      </c>
      <c r="F175"/>
      <c r="G175" s="17" t="s">
        <v>6</v>
      </c>
      <c r="H175" s="132">
        <v>46085</v>
      </c>
      <c r="I175" s="127">
        <v>0.46805555555555556</v>
      </c>
      <c r="J175"/>
      <c r="K175"/>
      <c r="L175"/>
    </row>
    <row r="176" spans="1:12">
      <c r="A176" s="95" t="s">
        <v>12</v>
      </c>
      <c r="B176" s="98" t="s">
        <v>3039</v>
      </c>
      <c r="C176" s="87" t="s">
        <v>185</v>
      </c>
      <c r="D176" s="88"/>
      <c r="E176" s="89">
        <v>62919104</v>
      </c>
      <c r="F176"/>
      <c r="G176" s="17" t="s">
        <v>3</v>
      </c>
      <c r="H176" s="132">
        <v>46085</v>
      </c>
      <c r="I176" s="127">
        <v>0.46875</v>
      </c>
      <c r="J176"/>
      <c r="K176"/>
      <c r="L176"/>
    </row>
    <row r="177" spans="1:12">
      <c r="A177" s="95" t="s">
        <v>12</v>
      </c>
      <c r="B177" s="98" t="s">
        <v>3039</v>
      </c>
      <c r="C177" s="87" t="s">
        <v>186</v>
      </c>
      <c r="D177" s="88"/>
      <c r="E177" s="89">
        <v>7889516</v>
      </c>
      <c r="F177"/>
      <c r="G177" s="17" t="s">
        <v>1</v>
      </c>
      <c r="H177" s="132">
        <v>46085</v>
      </c>
      <c r="I177" s="127">
        <v>0.47013888888888888</v>
      </c>
      <c r="J177"/>
      <c r="K177"/>
      <c r="L177"/>
    </row>
    <row r="178" spans="1:12">
      <c r="A178" s="95" t="s">
        <v>12</v>
      </c>
      <c r="B178" s="98" t="s">
        <v>3039</v>
      </c>
      <c r="C178" s="87" t="s">
        <v>187</v>
      </c>
      <c r="D178" s="88"/>
      <c r="E178" s="89">
        <v>67414937</v>
      </c>
      <c r="F178"/>
      <c r="G178" s="17" t="s">
        <v>3</v>
      </c>
      <c r="H178" s="132">
        <v>46085</v>
      </c>
      <c r="I178" s="127">
        <v>0.47152777777777777</v>
      </c>
      <c r="J178"/>
      <c r="K178"/>
      <c r="L178"/>
    </row>
    <row r="179" spans="1:12">
      <c r="A179" s="95" t="s">
        <v>12</v>
      </c>
      <c r="B179" s="98" t="s">
        <v>3039</v>
      </c>
      <c r="C179" s="87" t="s">
        <v>188</v>
      </c>
      <c r="D179" s="88"/>
      <c r="E179" s="89">
        <v>66412238</v>
      </c>
      <c r="F179"/>
      <c r="G179" s="17" t="s">
        <v>1</v>
      </c>
      <c r="H179" s="132">
        <v>46085</v>
      </c>
      <c r="I179" s="127">
        <v>8.611111111111111E-2</v>
      </c>
      <c r="J179"/>
      <c r="K179"/>
      <c r="L179"/>
    </row>
    <row r="180" spans="1:12">
      <c r="A180" s="95" t="s">
        <v>12</v>
      </c>
      <c r="B180" s="98" t="s">
        <v>3039</v>
      </c>
      <c r="C180" s="87" t="s">
        <v>189</v>
      </c>
      <c r="D180" s="88"/>
      <c r="E180" s="89">
        <v>7745715</v>
      </c>
      <c r="F180"/>
      <c r="G180" s="17" t="s">
        <v>9</v>
      </c>
      <c r="H180" s="132">
        <v>46085</v>
      </c>
      <c r="I180" s="127">
        <v>8.6805555555555552E-2</v>
      </c>
      <c r="J180"/>
      <c r="K180"/>
      <c r="L180"/>
    </row>
    <row r="181" spans="1:12">
      <c r="A181" s="95" t="s">
        <v>12</v>
      </c>
      <c r="B181" s="98" t="s">
        <v>3039</v>
      </c>
      <c r="C181" s="87" t="s">
        <v>190</v>
      </c>
      <c r="D181" s="88"/>
      <c r="E181" s="89">
        <v>62332554</v>
      </c>
      <c r="F181"/>
      <c r="G181" s="17" t="s">
        <v>4</v>
      </c>
      <c r="H181" s="132">
        <v>46085</v>
      </c>
      <c r="I181" s="127">
        <v>8.7499999999999994E-2</v>
      </c>
      <c r="J181"/>
      <c r="K181"/>
      <c r="L181"/>
    </row>
    <row r="182" spans="1:12">
      <c r="A182" s="95" t="s">
        <v>12</v>
      </c>
      <c r="B182" s="98" t="s">
        <v>3039</v>
      </c>
      <c r="C182" s="87" t="s">
        <v>191</v>
      </c>
      <c r="D182" s="88"/>
      <c r="E182" s="89">
        <v>7764606</v>
      </c>
      <c r="F182"/>
      <c r="G182" s="17" t="s">
        <v>9</v>
      </c>
      <c r="H182" s="132">
        <v>46085</v>
      </c>
      <c r="I182" s="127">
        <v>8.8888888888888892E-2</v>
      </c>
      <c r="J182"/>
      <c r="K182"/>
      <c r="L182"/>
    </row>
    <row r="183" spans="1:12">
      <c r="A183" s="95" t="s">
        <v>12</v>
      </c>
      <c r="B183" s="98" t="s">
        <v>3039</v>
      </c>
      <c r="C183" s="87" t="s">
        <v>192</v>
      </c>
      <c r="D183" s="88"/>
      <c r="E183" s="89">
        <v>67438700</v>
      </c>
      <c r="F183"/>
      <c r="G183" s="17" t="s">
        <v>6</v>
      </c>
      <c r="H183" s="132">
        <v>46085</v>
      </c>
      <c r="I183" s="127">
        <v>8.9583333333333334E-2</v>
      </c>
      <c r="J183"/>
      <c r="K183"/>
      <c r="L183"/>
    </row>
    <row r="184" spans="1:12">
      <c r="A184" s="95" t="s">
        <v>12</v>
      </c>
      <c r="B184" s="98" t="s">
        <v>3039</v>
      </c>
      <c r="C184" s="87" t="s">
        <v>193</v>
      </c>
      <c r="D184" s="88"/>
      <c r="E184" s="89">
        <v>63169999</v>
      </c>
      <c r="F184"/>
      <c r="G184" s="17" t="s">
        <v>8</v>
      </c>
      <c r="H184" s="132">
        <v>46085</v>
      </c>
      <c r="I184" s="127">
        <v>9.0277777777777776E-2</v>
      </c>
      <c r="J184"/>
      <c r="K184"/>
      <c r="L184"/>
    </row>
    <row r="185" spans="1:12">
      <c r="A185" s="95" t="s">
        <v>12</v>
      </c>
      <c r="B185" s="98" t="s">
        <v>3039</v>
      </c>
      <c r="C185" s="87" t="s">
        <v>194</v>
      </c>
      <c r="D185" s="88"/>
      <c r="E185" s="89">
        <v>68435182</v>
      </c>
      <c r="F185"/>
      <c r="G185" s="17" t="s">
        <v>2</v>
      </c>
      <c r="H185" s="132">
        <v>46085</v>
      </c>
      <c r="I185" s="127">
        <v>9.2361111111111116E-2</v>
      </c>
      <c r="J185"/>
      <c r="K185"/>
      <c r="L185"/>
    </row>
    <row r="186" spans="1:12">
      <c r="A186" s="95" t="s">
        <v>12</v>
      </c>
      <c r="B186" s="98" t="s">
        <v>3039</v>
      </c>
      <c r="C186" s="87" t="s">
        <v>195</v>
      </c>
      <c r="D186" s="88"/>
      <c r="E186" s="89" t="s">
        <v>3045</v>
      </c>
      <c r="F186"/>
      <c r="G186" s="17" t="s">
        <v>4</v>
      </c>
      <c r="H186" s="132">
        <v>46085</v>
      </c>
      <c r="I186" s="127">
        <v>9.2361111111111116E-2</v>
      </c>
      <c r="J186"/>
      <c r="K186"/>
      <c r="L186"/>
    </row>
    <row r="187" spans="1:12">
      <c r="A187" s="95" t="s">
        <v>12</v>
      </c>
      <c r="B187" s="98" t="s">
        <v>3039</v>
      </c>
      <c r="C187" s="87" t="s">
        <v>196</v>
      </c>
      <c r="D187" s="88"/>
      <c r="E187" s="89">
        <v>64406530</v>
      </c>
      <c r="F187"/>
      <c r="G187" s="17" t="s">
        <v>6</v>
      </c>
      <c r="H187" s="132">
        <v>46085</v>
      </c>
      <c r="I187" s="127">
        <v>9.4444444444444442E-2</v>
      </c>
      <c r="J187"/>
      <c r="K187"/>
      <c r="L187"/>
    </row>
    <row r="188" spans="1:12">
      <c r="A188" s="95" t="s">
        <v>12</v>
      </c>
      <c r="B188" s="98" t="s">
        <v>3039</v>
      </c>
      <c r="C188" s="87" t="s">
        <v>197</v>
      </c>
      <c r="D188" s="88"/>
      <c r="E188" s="89">
        <v>7205898</v>
      </c>
      <c r="F188"/>
      <c r="G188" s="17" t="s">
        <v>1</v>
      </c>
      <c r="H188" s="132">
        <v>46085</v>
      </c>
      <c r="I188" s="127">
        <v>9.5138888888888884E-2</v>
      </c>
      <c r="J188"/>
      <c r="K188"/>
      <c r="L188"/>
    </row>
    <row r="189" spans="1:12">
      <c r="A189" s="95" t="s">
        <v>12</v>
      </c>
      <c r="B189" s="98" t="s">
        <v>3039</v>
      </c>
      <c r="C189" s="87" t="s">
        <v>198</v>
      </c>
      <c r="D189" s="88"/>
      <c r="E189" s="89">
        <v>68279676</v>
      </c>
      <c r="F189"/>
      <c r="G189" s="17" t="s">
        <v>3</v>
      </c>
      <c r="H189" s="132">
        <v>46085</v>
      </c>
      <c r="I189" s="127">
        <v>9.583333333333334E-2</v>
      </c>
      <c r="J189"/>
      <c r="K189"/>
      <c r="L189"/>
    </row>
    <row r="190" spans="1:12">
      <c r="A190" s="95" t="s">
        <v>12</v>
      </c>
      <c r="B190" s="98" t="s">
        <v>3039</v>
      </c>
      <c r="C190" s="87" t="s">
        <v>199</v>
      </c>
      <c r="D190" s="88"/>
      <c r="E190" s="89">
        <v>65517529</v>
      </c>
      <c r="F190"/>
      <c r="G190" s="17" t="s">
        <v>9</v>
      </c>
      <c r="H190" s="132">
        <v>46085</v>
      </c>
      <c r="I190" s="127">
        <v>9.7222222222222224E-2</v>
      </c>
      <c r="J190"/>
      <c r="K190"/>
      <c r="L190"/>
    </row>
    <row r="191" spans="1:12">
      <c r="A191" s="95" t="s">
        <v>12</v>
      </c>
      <c r="B191" s="98" t="s">
        <v>3039</v>
      </c>
      <c r="C191" s="87" t="s">
        <v>200</v>
      </c>
      <c r="D191" s="88"/>
      <c r="E191" s="89">
        <v>7276254</v>
      </c>
      <c r="F191"/>
      <c r="G191" s="17" t="s">
        <v>4</v>
      </c>
      <c r="H191" s="132">
        <v>46085</v>
      </c>
      <c r="I191" s="127">
        <v>9.7222222222222224E-2</v>
      </c>
      <c r="J191"/>
      <c r="K191"/>
      <c r="L191"/>
    </row>
    <row r="192" spans="1:12">
      <c r="A192" s="95" t="s">
        <v>12</v>
      </c>
      <c r="B192" s="98" t="s">
        <v>3039</v>
      </c>
      <c r="C192" s="87" t="s">
        <v>201</v>
      </c>
      <c r="D192" s="88"/>
      <c r="E192" s="89">
        <v>64521560</v>
      </c>
      <c r="F192"/>
      <c r="G192" s="17" t="s">
        <v>6</v>
      </c>
      <c r="H192" s="132">
        <v>46085</v>
      </c>
      <c r="I192" s="127">
        <v>9.7916666666666666E-2</v>
      </c>
      <c r="J192"/>
      <c r="K192"/>
      <c r="L192"/>
    </row>
    <row r="193" spans="1:12">
      <c r="A193" s="95" t="s">
        <v>12</v>
      </c>
      <c r="B193" s="98" t="s">
        <v>3039</v>
      </c>
      <c r="C193" s="87" t="s">
        <v>202</v>
      </c>
      <c r="D193" s="88"/>
      <c r="E193" s="89">
        <v>62326710</v>
      </c>
      <c r="F193"/>
      <c r="G193" s="17" t="s">
        <v>1</v>
      </c>
      <c r="H193" s="132">
        <v>46085</v>
      </c>
      <c r="I193" s="127">
        <v>9.8611111111111108E-2</v>
      </c>
      <c r="J193"/>
      <c r="K193"/>
      <c r="L193"/>
    </row>
    <row r="194" spans="1:12">
      <c r="A194" s="95" t="s">
        <v>12</v>
      </c>
      <c r="B194" s="98" t="s">
        <v>3039</v>
      </c>
      <c r="C194" s="87" t="s">
        <v>203</v>
      </c>
      <c r="D194" s="88"/>
      <c r="E194" s="89">
        <v>63642672</v>
      </c>
      <c r="F194"/>
      <c r="G194" s="17" t="s">
        <v>2</v>
      </c>
      <c r="H194" s="132">
        <v>46085</v>
      </c>
      <c r="I194" s="127">
        <v>0.11041666666666666</v>
      </c>
      <c r="J194"/>
      <c r="K194"/>
      <c r="L194"/>
    </row>
    <row r="195" spans="1:12">
      <c r="A195" s="95" t="s">
        <v>12</v>
      </c>
      <c r="B195" s="98" t="s">
        <v>3039</v>
      </c>
      <c r="C195" s="87" t="s">
        <v>204</v>
      </c>
      <c r="D195" s="88"/>
      <c r="E195" s="89">
        <v>68444844</v>
      </c>
      <c r="F195"/>
      <c r="G195" s="17" t="s">
        <v>6</v>
      </c>
      <c r="H195" s="132">
        <v>46085</v>
      </c>
      <c r="I195" s="127">
        <v>0.1111111111111111</v>
      </c>
      <c r="J195"/>
      <c r="K195"/>
      <c r="L195"/>
    </row>
    <row r="196" spans="1:12">
      <c r="A196" s="95" t="s">
        <v>12</v>
      </c>
      <c r="B196" s="98" t="s">
        <v>3039</v>
      </c>
      <c r="C196" s="87" t="s">
        <v>205</v>
      </c>
      <c r="D196" s="88"/>
      <c r="E196" s="89">
        <v>69037183</v>
      </c>
      <c r="F196" s="99" t="s">
        <v>3046</v>
      </c>
      <c r="G196" s="17" t="s">
        <v>1</v>
      </c>
      <c r="H196" s="132">
        <v>46085</v>
      </c>
      <c r="I196" s="127">
        <v>0.11180555555555556</v>
      </c>
      <c r="J196"/>
      <c r="K196"/>
      <c r="L196"/>
    </row>
    <row r="197" spans="1:12">
      <c r="A197" s="95" t="s">
        <v>12</v>
      </c>
      <c r="B197" s="98" t="s">
        <v>3039</v>
      </c>
      <c r="C197" s="87" t="s">
        <v>206</v>
      </c>
      <c r="D197" s="88"/>
      <c r="E197" s="89">
        <v>65798863</v>
      </c>
      <c r="F197"/>
      <c r="G197" s="17" t="s">
        <v>6</v>
      </c>
      <c r="H197" s="132">
        <v>46085</v>
      </c>
      <c r="I197" s="127">
        <v>0.15208333333333332</v>
      </c>
      <c r="J197"/>
      <c r="K197"/>
      <c r="L197"/>
    </row>
    <row r="198" spans="1:12">
      <c r="A198" s="95" t="s">
        <v>12</v>
      </c>
      <c r="B198" s="98" t="s">
        <v>3039</v>
      </c>
      <c r="C198" s="87" t="s">
        <v>207</v>
      </c>
      <c r="D198" s="88"/>
      <c r="E198" s="89">
        <v>67475112</v>
      </c>
      <c r="F198"/>
      <c r="G198" s="17" t="s">
        <v>4</v>
      </c>
      <c r="H198" s="132">
        <v>46085</v>
      </c>
      <c r="I198" s="127">
        <v>0.15277777777777779</v>
      </c>
      <c r="J198"/>
      <c r="K198"/>
      <c r="L198"/>
    </row>
    <row r="199" spans="1:12">
      <c r="A199" s="95" t="s">
        <v>12</v>
      </c>
      <c r="B199" s="98" t="s">
        <v>3039</v>
      </c>
      <c r="C199" s="87" t="s">
        <v>208</v>
      </c>
      <c r="D199" s="88"/>
      <c r="E199" s="89">
        <v>62144569</v>
      </c>
      <c r="F199"/>
      <c r="G199" s="17" t="s">
        <v>1</v>
      </c>
      <c r="H199" s="132">
        <v>46085</v>
      </c>
      <c r="I199" s="127">
        <v>0.15347222222222223</v>
      </c>
      <c r="J199"/>
      <c r="K199"/>
      <c r="L199"/>
    </row>
    <row r="200" spans="1:12">
      <c r="A200" s="95" t="s">
        <v>12</v>
      </c>
      <c r="B200" s="98" t="s">
        <v>3039</v>
      </c>
      <c r="C200" s="87" t="s">
        <v>209</v>
      </c>
      <c r="D200" s="88"/>
      <c r="E200" s="89">
        <v>68393118</v>
      </c>
      <c r="F200"/>
      <c r="G200" s="17" t="s">
        <v>1</v>
      </c>
      <c r="H200" s="132">
        <v>46085</v>
      </c>
      <c r="I200" s="127">
        <v>0.15486111111111112</v>
      </c>
      <c r="J200"/>
      <c r="K200"/>
      <c r="L200"/>
    </row>
    <row r="201" spans="1:12">
      <c r="A201" s="95" t="s">
        <v>12</v>
      </c>
      <c r="B201" s="98" t="s">
        <v>3039</v>
      </c>
      <c r="C201" s="87" t="s">
        <v>210</v>
      </c>
      <c r="D201" s="88"/>
      <c r="E201" s="89">
        <v>67196709</v>
      </c>
      <c r="F201"/>
      <c r="G201" s="17" t="s">
        <v>6</v>
      </c>
      <c r="H201" s="132">
        <v>46086</v>
      </c>
      <c r="I201" s="127" t="s">
        <v>3047</v>
      </c>
      <c r="J201"/>
      <c r="K201"/>
      <c r="L201"/>
    </row>
    <row r="202" spans="1:12">
      <c r="A202" s="95" t="s">
        <v>12</v>
      </c>
      <c r="B202" s="98" t="s">
        <v>3039</v>
      </c>
      <c r="C202" s="87" t="s">
        <v>211</v>
      </c>
      <c r="D202" s="88"/>
      <c r="E202" s="89">
        <v>69377112</v>
      </c>
      <c r="F202"/>
      <c r="G202" s="17" t="s">
        <v>2</v>
      </c>
      <c r="H202" s="132">
        <v>46086</v>
      </c>
      <c r="I202" s="127" t="s">
        <v>3048</v>
      </c>
      <c r="J202"/>
      <c r="K202"/>
      <c r="L202"/>
    </row>
    <row r="203" spans="1:12">
      <c r="A203" s="95" t="s">
        <v>12</v>
      </c>
      <c r="B203" s="98" t="s">
        <v>3039</v>
      </c>
      <c r="C203" s="87" t="s">
        <v>212</v>
      </c>
      <c r="D203" s="88"/>
      <c r="E203" s="89">
        <v>64610362</v>
      </c>
      <c r="F203"/>
      <c r="G203" s="17" t="s">
        <v>6</v>
      </c>
      <c r="H203" s="132">
        <v>46086</v>
      </c>
      <c r="I203" s="127">
        <v>0.59375</v>
      </c>
      <c r="J203"/>
      <c r="K203"/>
      <c r="L203"/>
    </row>
    <row r="204" spans="1:12">
      <c r="A204" s="95" t="s">
        <v>12</v>
      </c>
      <c r="B204" s="98" t="s">
        <v>3039</v>
      </c>
      <c r="C204" s="87" t="s">
        <v>213</v>
      </c>
      <c r="D204" s="88"/>
      <c r="E204" s="89">
        <v>65192462</v>
      </c>
      <c r="F204"/>
      <c r="G204" s="17" t="s">
        <v>6</v>
      </c>
      <c r="H204" s="132">
        <v>46086</v>
      </c>
      <c r="I204" s="127" t="s">
        <v>3049</v>
      </c>
      <c r="J204"/>
      <c r="K204"/>
      <c r="L204"/>
    </row>
    <row r="205" spans="1:12">
      <c r="A205" s="95" t="s">
        <v>12</v>
      </c>
      <c r="B205" s="98" t="s">
        <v>3039</v>
      </c>
      <c r="C205" s="87" t="s">
        <v>214</v>
      </c>
      <c r="D205" s="88"/>
      <c r="E205" s="89">
        <v>66237957</v>
      </c>
      <c r="F205"/>
      <c r="G205" s="17" t="s">
        <v>1</v>
      </c>
      <c r="H205" s="132">
        <v>46086</v>
      </c>
      <c r="I205" s="127">
        <v>0.6069444444444444</v>
      </c>
      <c r="J205"/>
      <c r="K205"/>
      <c r="L205"/>
    </row>
    <row r="206" spans="1:12">
      <c r="A206" s="95" t="s">
        <v>12</v>
      </c>
      <c r="B206" s="98" t="s">
        <v>3039</v>
      </c>
      <c r="C206" s="87" t="s">
        <v>215</v>
      </c>
      <c r="D206" s="88"/>
      <c r="E206" s="89">
        <v>7705988</v>
      </c>
      <c r="F206"/>
      <c r="G206" s="17" t="s">
        <v>9</v>
      </c>
      <c r="H206" s="132">
        <v>46086</v>
      </c>
      <c r="I206" s="127">
        <v>0.60833333333333328</v>
      </c>
      <c r="J206"/>
      <c r="K206"/>
      <c r="L206"/>
    </row>
    <row r="207" spans="1:12">
      <c r="A207" s="95" t="s">
        <v>12</v>
      </c>
      <c r="B207" s="98" t="s">
        <v>3039</v>
      </c>
      <c r="C207" s="87" t="s">
        <v>216</v>
      </c>
      <c r="D207" s="88"/>
      <c r="E207" s="89">
        <v>65388340</v>
      </c>
      <c r="F207"/>
      <c r="G207" s="17" t="s">
        <v>2</v>
      </c>
      <c r="H207" s="132">
        <v>46086</v>
      </c>
      <c r="I207" s="127">
        <v>0.10902777777777778</v>
      </c>
      <c r="J207"/>
      <c r="K207"/>
      <c r="L207"/>
    </row>
    <row r="208" spans="1:12">
      <c r="A208" s="95" t="s">
        <v>12</v>
      </c>
      <c r="B208" s="98" t="s">
        <v>3039</v>
      </c>
      <c r="C208" s="87" t="s">
        <v>217</v>
      </c>
      <c r="D208" s="88"/>
      <c r="E208" s="89">
        <v>67970079</v>
      </c>
      <c r="F208"/>
      <c r="G208" s="17" t="s">
        <v>6</v>
      </c>
      <c r="H208" s="132">
        <v>46086</v>
      </c>
      <c r="I208" s="127">
        <v>0.10972222222222222</v>
      </c>
      <c r="J208"/>
      <c r="K208"/>
      <c r="L208"/>
    </row>
    <row r="209" spans="1:12">
      <c r="A209" s="95" t="s">
        <v>12</v>
      </c>
      <c r="B209" s="98" t="s">
        <v>3039</v>
      </c>
      <c r="C209" s="87" t="s">
        <v>218</v>
      </c>
      <c r="D209" s="88"/>
      <c r="E209" s="89">
        <v>64726675</v>
      </c>
      <c r="F209"/>
      <c r="G209" s="17" t="s">
        <v>1</v>
      </c>
      <c r="H209" s="132">
        <v>46086</v>
      </c>
      <c r="I209" s="127">
        <v>0.11041666666666666</v>
      </c>
      <c r="J209"/>
      <c r="K209"/>
      <c r="L209"/>
    </row>
    <row r="210" spans="1:12">
      <c r="A210" s="95" t="s">
        <v>12</v>
      </c>
      <c r="B210" s="98" t="s">
        <v>3039</v>
      </c>
      <c r="C210" s="87" t="s">
        <v>219</v>
      </c>
      <c r="D210" s="88"/>
      <c r="E210" s="89">
        <v>65186467</v>
      </c>
      <c r="F210"/>
      <c r="G210" s="17" t="s">
        <v>1</v>
      </c>
      <c r="H210" s="132">
        <v>46086</v>
      </c>
      <c r="I210" s="127">
        <v>0.1111111111111111</v>
      </c>
      <c r="J210"/>
      <c r="K210"/>
      <c r="L210"/>
    </row>
    <row r="211" spans="1:12">
      <c r="A211" s="95" t="s">
        <v>12</v>
      </c>
      <c r="B211" s="98" t="s">
        <v>3039</v>
      </c>
      <c r="C211" s="87" t="s">
        <v>220</v>
      </c>
      <c r="D211" s="88"/>
      <c r="E211" s="89">
        <v>68424605</v>
      </c>
      <c r="F211"/>
      <c r="G211" s="17" t="s">
        <v>1</v>
      </c>
      <c r="H211" s="132">
        <v>46086</v>
      </c>
      <c r="I211" s="127">
        <v>0.1125</v>
      </c>
      <c r="J211"/>
      <c r="K211"/>
      <c r="L211"/>
    </row>
    <row r="212" spans="1:12">
      <c r="A212" s="95" t="s">
        <v>12</v>
      </c>
      <c r="B212" s="98" t="s">
        <v>3039</v>
      </c>
      <c r="C212" s="87" t="s">
        <v>221</v>
      </c>
      <c r="D212" s="88"/>
      <c r="E212" s="89">
        <v>65382347</v>
      </c>
      <c r="F212"/>
      <c r="G212" s="17" t="s">
        <v>1</v>
      </c>
      <c r="H212" s="132">
        <v>46086</v>
      </c>
      <c r="I212" s="127">
        <v>0.11388888888888889</v>
      </c>
      <c r="J212"/>
      <c r="K212"/>
      <c r="L212"/>
    </row>
    <row r="213" spans="1:12">
      <c r="A213" s="95" t="s">
        <v>12</v>
      </c>
      <c r="B213" s="98" t="s">
        <v>3039</v>
      </c>
      <c r="C213" s="87" t="s">
        <v>222</v>
      </c>
      <c r="D213" s="88"/>
      <c r="E213" s="89">
        <v>7753280</v>
      </c>
      <c r="F213"/>
      <c r="G213" s="17" t="s">
        <v>8</v>
      </c>
      <c r="H213" s="132">
        <v>46086</v>
      </c>
      <c r="I213" s="127">
        <v>0.11458333333333333</v>
      </c>
      <c r="J213"/>
      <c r="K213"/>
      <c r="L213"/>
    </row>
    <row r="214" spans="1:12">
      <c r="A214" s="95" t="s">
        <v>12</v>
      </c>
      <c r="B214" s="98" t="s">
        <v>3039</v>
      </c>
      <c r="C214" s="87" t="s">
        <v>223</v>
      </c>
      <c r="D214" s="88"/>
      <c r="E214" s="89">
        <v>6948047</v>
      </c>
      <c r="F214"/>
      <c r="G214" s="17" t="s">
        <v>9</v>
      </c>
      <c r="H214" s="132">
        <v>46086</v>
      </c>
      <c r="J214"/>
      <c r="K214"/>
      <c r="L214"/>
    </row>
    <row r="215" spans="1:12">
      <c r="A215" s="95" t="s">
        <v>12</v>
      </c>
      <c r="B215" s="98" t="s">
        <v>3039</v>
      </c>
      <c r="C215" s="87" t="s">
        <v>224</v>
      </c>
      <c r="D215" s="88"/>
      <c r="E215" s="89">
        <v>64594313</v>
      </c>
      <c r="F215"/>
      <c r="G215" s="17" t="s">
        <v>6</v>
      </c>
      <c r="H215" s="132">
        <v>46086</v>
      </c>
      <c r="I215" s="127">
        <v>0.61805555555555558</v>
      </c>
      <c r="J215"/>
      <c r="K215"/>
      <c r="L215"/>
    </row>
    <row r="216" spans="1:12">
      <c r="A216" s="95" t="s">
        <v>12</v>
      </c>
      <c r="B216" s="98" t="s">
        <v>3039</v>
      </c>
      <c r="C216" s="87" t="s">
        <v>225</v>
      </c>
      <c r="D216" s="88"/>
      <c r="E216" s="89">
        <v>66707560</v>
      </c>
      <c r="F216" t="s">
        <v>3050</v>
      </c>
      <c r="G216" s="17" t="s">
        <v>1</v>
      </c>
      <c r="H216" s="132">
        <v>46086</v>
      </c>
      <c r="I216" s="127" t="s">
        <v>3051</v>
      </c>
      <c r="J216"/>
      <c r="K216"/>
      <c r="L216"/>
    </row>
    <row r="217" spans="1:12">
      <c r="A217" s="95" t="s">
        <v>12</v>
      </c>
      <c r="B217" s="98" t="s">
        <v>3039</v>
      </c>
      <c r="C217" s="87" t="s">
        <v>226</v>
      </c>
      <c r="D217" s="88"/>
      <c r="E217" s="89">
        <v>67452380</v>
      </c>
      <c r="F217"/>
      <c r="G217" s="17" t="s">
        <v>9</v>
      </c>
      <c r="H217" s="132">
        <v>46086</v>
      </c>
      <c r="I217" s="127">
        <v>0.62083333333333335</v>
      </c>
      <c r="J217"/>
      <c r="K217"/>
      <c r="L217"/>
    </row>
    <row r="218" spans="1:12">
      <c r="A218" s="95" t="s">
        <v>12</v>
      </c>
      <c r="B218" s="98" t="s">
        <v>3039</v>
      </c>
      <c r="C218" s="87" t="s">
        <v>227</v>
      </c>
      <c r="D218" s="88"/>
      <c r="E218" s="89">
        <v>65401260</v>
      </c>
      <c r="F218"/>
      <c r="G218" s="17" t="s">
        <v>9</v>
      </c>
      <c r="H218" s="132">
        <v>46086</v>
      </c>
      <c r="I218" s="127">
        <v>0.62152777777777779</v>
      </c>
      <c r="J218"/>
      <c r="K218"/>
      <c r="L218"/>
    </row>
    <row r="219" spans="1:12">
      <c r="A219" s="95" t="s">
        <v>12</v>
      </c>
      <c r="B219" s="98" t="s">
        <v>3039</v>
      </c>
      <c r="C219" s="87" t="s">
        <v>228</v>
      </c>
      <c r="D219" s="88"/>
      <c r="E219" s="89">
        <v>67078049</v>
      </c>
      <c r="F219"/>
      <c r="G219" s="17" t="s">
        <v>6</v>
      </c>
      <c r="H219" s="132">
        <v>46086</v>
      </c>
      <c r="I219" s="127">
        <v>0.62291666666666667</v>
      </c>
      <c r="J219"/>
      <c r="K219"/>
      <c r="L219"/>
    </row>
    <row r="220" spans="1:12">
      <c r="A220" s="95" t="s">
        <v>12</v>
      </c>
      <c r="B220" s="98" t="s">
        <v>3039</v>
      </c>
      <c r="C220" s="87" t="s">
        <v>229</v>
      </c>
      <c r="D220" s="88"/>
      <c r="E220" s="89">
        <v>62131596</v>
      </c>
      <c r="F220"/>
      <c r="G220" s="17" t="s">
        <v>2</v>
      </c>
      <c r="H220" s="132">
        <v>46086</v>
      </c>
      <c r="I220" s="127">
        <v>0.62361111111111112</v>
      </c>
      <c r="J220"/>
      <c r="K220"/>
      <c r="L220"/>
    </row>
    <row r="221" spans="1:12">
      <c r="A221" s="95" t="s">
        <v>12</v>
      </c>
      <c r="B221" s="98" t="s">
        <v>3039</v>
      </c>
      <c r="C221" s="87" t="s">
        <v>230</v>
      </c>
      <c r="D221" s="88"/>
      <c r="E221" s="89">
        <v>7740435</v>
      </c>
      <c r="F221"/>
      <c r="G221" s="17" t="s">
        <v>2</v>
      </c>
      <c r="H221" s="132">
        <v>46086</v>
      </c>
      <c r="I221" s="127">
        <v>0.62361111111111112</v>
      </c>
      <c r="J221"/>
      <c r="K221"/>
      <c r="L221"/>
    </row>
    <row r="222" spans="1:12">
      <c r="A222" s="95" t="s">
        <v>12</v>
      </c>
      <c r="B222" s="98" t="s">
        <v>3039</v>
      </c>
      <c r="C222" s="87" t="s">
        <v>231</v>
      </c>
      <c r="D222" s="88"/>
      <c r="E222" s="89">
        <v>67882855</v>
      </c>
      <c r="F222"/>
      <c r="G222" s="17" t="s">
        <v>6</v>
      </c>
      <c r="H222" s="132">
        <v>46086</v>
      </c>
      <c r="I222" s="127">
        <v>0.62430555555555556</v>
      </c>
      <c r="J222"/>
      <c r="K222"/>
      <c r="L222"/>
    </row>
    <row r="223" spans="1:12">
      <c r="A223" s="95" t="s">
        <v>12</v>
      </c>
      <c r="B223" s="98" t="s">
        <v>3039</v>
      </c>
      <c r="C223" s="87" t="s">
        <v>232</v>
      </c>
      <c r="D223" s="88"/>
      <c r="E223" s="89">
        <v>6861714</v>
      </c>
      <c r="F223" t="s">
        <v>3052</v>
      </c>
      <c r="G223" s="17" t="s">
        <v>4</v>
      </c>
      <c r="H223" s="132">
        <v>46086</v>
      </c>
      <c r="I223" s="127">
        <v>0.625</v>
      </c>
      <c r="J223"/>
      <c r="K223"/>
      <c r="L223"/>
    </row>
    <row r="224" spans="1:12">
      <c r="A224" s="95" t="s">
        <v>12</v>
      </c>
      <c r="B224" s="98" t="s">
        <v>3039</v>
      </c>
      <c r="C224" s="87" t="s">
        <v>233</v>
      </c>
      <c r="D224" s="88"/>
      <c r="E224" s="89">
        <v>66524250</v>
      </c>
      <c r="F224"/>
      <c r="G224" s="17" t="s">
        <v>6</v>
      </c>
      <c r="H224" s="132">
        <v>46086</v>
      </c>
      <c r="I224" s="127">
        <v>0.625</v>
      </c>
      <c r="J224"/>
      <c r="K224"/>
      <c r="L224"/>
    </row>
    <row r="225" spans="1:12">
      <c r="A225" s="95" t="s">
        <v>12</v>
      </c>
      <c r="B225" s="98" t="s">
        <v>3039</v>
      </c>
      <c r="C225" s="87" t="s">
        <v>235</v>
      </c>
      <c r="D225" s="88"/>
      <c r="E225" s="89">
        <v>66572910</v>
      </c>
      <c r="F225"/>
      <c r="G225" s="17" t="s">
        <v>8</v>
      </c>
      <c r="H225" s="132">
        <v>46086</v>
      </c>
      <c r="I225" s="127">
        <v>0.62638888888888888</v>
      </c>
      <c r="J225"/>
      <c r="K225"/>
      <c r="L225"/>
    </row>
    <row r="226" spans="1:12">
      <c r="A226" s="95" t="s">
        <v>12</v>
      </c>
      <c r="B226" s="98" t="s">
        <v>3039</v>
      </c>
      <c r="C226" s="87" t="s">
        <v>236</v>
      </c>
      <c r="D226" s="88"/>
      <c r="E226" s="89">
        <v>68357511</v>
      </c>
      <c r="F226"/>
      <c r="G226" s="17" t="s">
        <v>6</v>
      </c>
      <c r="H226" s="132">
        <v>46086</v>
      </c>
      <c r="I226" s="127">
        <v>0.62708333333333333</v>
      </c>
      <c r="J226"/>
      <c r="K226"/>
      <c r="L226"/>
    </row>
    <row r="227" spans="1:12">
      <c r="A227" s="95" t="s">
        <v>12</v>
      </c>
      <c r="B227" s="98" t="s">
        <v>3039</v>
      </c>
      <c r="C227" s="87" t="s">
        <v>237</v>
      </c>
      <c r="D227" s="88"/>
      <c r="E227" s="89">
        <v>62063623</v>
      </c>
      <c r="F227"/>
      <c r="G227" s="17" t="s">
        <v>9</v>
      </c>
      <c r="H227" s="132">
        <v>46086</v>
      </c>
      <c r="I227" s="127" t="s">
        <v>3053</v>
      </c>
      <c r="J227"/>
      <c r="K227"/>
      <c r="L227"/>
    </row>
    <row r="228" spans="1:12">
      <c r="A228" s="95" t="s">
        <v>12</v>
      </c>
      <c r="B228" s="98" t="s">
        <v>3039</v>
      </c>
      <c r="C228" s="87" t="s">
        <v>238</v>
      </c>
      <c r="D228" s="88"/>
      <c r="E228" s="89">
        <v>64145702</v>
      </c>
      <c r="F228"/>
      <c r="G228" s="17" t="s">
        <v>1</v>
      </c>
      <c r="H228" s="132">
        <v>46086</v>
      </c>
      <c r="I228" s="127">
        <v>0.62847222222222221</v>
      </c>
      <c r="J228"/>
      <c r="K228"/>
      <c r="L228"/>
    </row>
    <row r="229" spans="1:12">
      <c r="A229" s="95" t="s">
        <v>12</v>
      </c>
      <c r="B229" s="98" t="s">
        <v>3039</v>
      </c>
      <c r="C229" s="87" t="s">
        <v>239</v>
      </c>
      <c r="D229" s="88"/>
      <c r="E229" s="89">
        <v>63183961</v>
      </c>
      <c r="F229"/>
      <c r="G229" s="17" t="s">
        <v>6</v>
      </c>
      <c r="H229" s="132">
        <v>46086</v>
      </c>
      <c r="I229" s="127">
        <v>0.62986111111111109</v>
      </c>
      <c r="J229"/>
      <c r="K229"/>
      <c r="L229"/>
    </row>
    <row r="230" spans="1:12">
      <c r="A230" s="95" t="s">
        <v>12</v>
      </c>
      <c r="B230" s="98" t="s">
        <v>3039</v>
      </c>
      <c r="C230" s="87" t="s">
        <v>240</v>
      </c>
      <c r="D230" s="88"/>
      <c r="E230" s="89">
        <v>69202504</v>
      </c>
      <c r="F230"/>
      <c r="G230" s="17" t="s">
        <v>6</v>
      </c>
      <c r="H230" s="132">
        <v>46086</v>
      </c>
      <c r="I230" s="127">
        <v>0.63055555555555554</v>
      </c>
      <c r="J230"/>
      <c r="K230"/>
      <c r="L230"/>
    </row>
    <row r="231" spans="1:12">
      <c r="A231" s="95" t="s">
        <v>12</v>
      </c>
      <c r="B231" s="98" t="s">
        <v>3039</v>
      </c>
      <c r="C231" s="87" t="s">
        <v>241</v>
      </c>
      <c r="D231" s="88"/>
      <c r="E231" s="89">
        <v>66779673</v>
      </c>
      <c r="F231"/>
      <c r="G231" s="17" t="s">
        <v>1</v>
      </c>
      <c r="H231" s="132">
        <v>46086</v>
      </c>
      <c r="I231" s="127">
        <v>0.63124999999999998</v>
      </c>
      <c r="J231"/>
      <c r="K231"/>
      <c r="L231"/>
    </row>
    <row r="232" spans="1:12">
      <c r="A232" s="95" t="s">
        <v>12</v>
      </c>
      <c r="B232" s="98" t="s">
        <v>3039</v>
      </c>
      <c r="C232" s="87" t="s">
        <v>242</v>
      </c>
      <c r="D232" s="88"/>
      <c r="E232" s="89">
        <v>60902503</v>
      </c>
      <c r="F232"/>
      <c r="G232" s="17" t="s">
        <v>6</v>
      </c>
      <c r="H232" s="132">
        <v>46086</v>
      </c>
      <c r="I232" s="127">
        <v>0.63263888888888886</v>
      </c>
      <c r="J232"/>
      <c r="K232"/>
      <c r="L232"/>
    </row>
    <row r="233" spans="1:12">
      <c r="A233" s="95" t="s">
        <v>12</v>
      </c>
      <c r="B233" s="98" t="s">
        <v>3039</v>
      </c>
      <c r="C233" s="87" t="s">
        <v>243</v>
      </c>
      <c r="D233" s="88"/>
      <c r="E233" s="89">
        <v>7094131</v>
      </c>
      <c r="F233"/>
      <c r="G233" s="17" t="s">
        <v>8</v>
      </c>
      <c r="H233" s="132">
        <v>46086</v>
      </c>
      <c r="I233" s="127">
        <v>0.6333333333333333</v>
      </c>
      <c r="J233"/>
      <c r="K233"/>
      <c r="L233"/>
    </row>
    <row r="234" spans="1:12">
      <c r="A234" s="95" t="s">
        <v>12</v>
      </c>
      <c r="B234" s="98" t="s">
        <v>3039</v>
      </c>
      <c r="C234" s="87" t="s">
        <v>244</v>
      </c>
      <c r="D234" s="88"/>
      <c r="E234" s="89">
        <v>63282947</v>
      </c>
      <c r="F234"/>
      <c r="G234" s="17" t="s">
        <v>6</v>
      </c>
      <c r="H234" s="132">
        <v>46086</v>
      </c>
      <c r="I234" s="127">
        <v>0.63402777777777775</v>
      </c>
      <c r="J234"/>
      <c r="K234"/>
      <c r="L234"/>
    </row>
    <row r="235" spans="1:12">
      <c r="A235" s="95" t="s">
        <v>12</v>
      </c>
      <c r="B235" s="98" t="s">
        <v>3039</v>
      </c>
      <c r="C235" s="87" t="s">
        <v>245</v>
      </c>
      <c r="D235" s="88"/>
      <c r="E235" s="89">
        <v>7746704</v>
      </c>
      <c r="F235"/>
      <c r="G235" s="17" t="s">
        <v>2</v>
      </c>
      <c r="H235" s="132">
        <v>46086</v>
      </c>
      <c r="I235" s="127">
        <v>0.63472222222222219</v>
      </c>
      <c r="J235"/>
      <c r="K235"/>
      <c r="L235"/>
    </row>
    <row r="236" spans="1:12">
      <c r="A236" s="95" t="s">
        <v>12</v>
      </c>
      <c r="B236" s="98" t="s">
        <v>3039</v>
      </c>
      <c r="C236" s="87" t="s">
        <v>246</v>
      </c>
      <c r="D236" s="88"/>
      <c r="E236" s="89">
        <v>7301156</v>
      </c>
      <c r="F236"/>
      <c r="G236" s="17" t="s">
        <v>6</v>
      </c>
      <c r="H236" s="132">
        <v>46086</v>
      </c>
      <c r="I236" s="127">
        <v>0.63541666666666663</v>
      </c>
      <c r="J236"/>
      <c r="K236"/>
      <c r="L236"/>
    </row>
    <row r="237" spans="1:12">
      <c r="A237" s="95" t="s">
        <v>12</v>
      </c>
      <c r="B237" s="98" t="s">
        <v>3039</v>
      </c>
      <c r="C237" s="87" t="s">
        <v>247</v>
      </c>
      <c r="D237" s="88"/>
      <c r="E237" s="89">
        <v>66184358</v>
      </c>
      <c r="F237"/>
      <c r="G237" s="17" t="s">
        <v>1</v>
      </c>
      <c r="H237" s="132">
        <v>46086</v>
      </c>
      <c r="I237" s="127">
        <v>0.63611111111111107</v>
      </c>
      <c r="J237"/>
      <c r="K237"/>
      <c r="L237"/>
    </row>
    <row r="238" spans="1:12">
      <c r="A238" s="95" t="s">
        <v>12</v>
      </c>
      <c r="B238" s="98" t="s">
        <v>3039</v>
      </c>
      <c r="C238" s="87" t="s">
        <v>248</v>
      </c>
      <c r="D238" s="88"/>
      <c r="E238" s="89">
        <v>7751420</v>
      </c>
      <c r="F238"/>
      <c r="G238" s="17" t="s">
        <v>2</v>
      </c>
      <c r="H238" s="132">
        <v>46086</v>
      </c>
      <c r="I238" s="127">
        <v>0.63749999999999996</v>
      </c>
      <c r="J238"/>
      <c r="K238"/>
      <c r="L238"/>
    </row>
    <row r="239" spans="1:12">
      <c r="A239" s="95" t="s">
        <v>12</v>
      </c>
      <c r="B239" s="98" t="s">
        <v>3039</v>
      </c>
      <c r="C239" s="87" t="s">
        <v>249</v>
      </c>
      <c r="D239" s="88"/>
      <c r="E239" s="89">
        <v>66762830</v>
      </c>
      <c r="F239"/>
      <c r="G239" s="17" t="s">
        <v>6</v>
      </c>
      <c r="H239" s="132">
        <v>46086</v>
      </c>
      <c r="I239" s="127">
        <v>0.6381944444444444</v>
      </c>
      <c r="J239"/>
      <c r="K239"/>
      <c r="L239"/>
    </row>
    <row r="240" spans="1:12">
      <c r="A240" s="95" t="s">
        <v>12</v>
      </c>
      <c r="B240" s="98" t="s">
        <v>3039</v>
      </c>
      <c r="C240" s="87" t="s">
        <v>250</v>
      </c>
      <c r="D240" s="88"/>
      <c r="E240" s="89">
        <v>64316111</v>
      </c>
      <c r="F240"/>
      <c r="G240" s="17" t="s">
        <v>1</v>
      </c>
      <c r="H240" s="132">
        <v>46086</v>
      </c>
      <c r="I240" s="127">
        <v>0.6381944444444444</v>
      </c>
      <c r="J240"/>
      <c r="K240"/>
      <c r="L240"/>
    </row>
    <row r="241" spans="1:12">
      <c r="A241" s="94" t="s">
        <v>12</v>
      </c>
      <c r="B241" s="98" t="s">
        <v>3054</v>
      </c>
      <c r="C241" s="92"/>
      <c r="D241" s="17" t="s">
        <v>3055</v>
      </c>
      <c r="E241" s="93" t="s">
        <v>3056</v>
      </c>
      <c r="F241"/>
      <c r="G241" s="17" t="s">
        <v>1</v>
      </c>
      <c r="H241" s="132">
        <v>46084</v>
      </c>
      <c r="I241" s="127">
        <v>0.47708333333333336</v>
      </c>
      <c r="J241"/>
      <c r="K241"/>
      <c r="L241"/>
    </row>
    <row r="242" spans="1:12">
      <c r="A242" s="94" t="s">
        <v>12</v>
      </c>
      <c r="B242" s="98" t="s">
        <v>3054</v>
      </c>
      <c r="C242" s="92"/>
      <c r="D242" s="17" t="s">
        <v>3057</v>
      </c>
      <c r="E242" s="93" t="s">
        <v>3058</v>
      </c>
      <c r="F242"/>
      <c r="G242" s="17" t="s">
        <v>3</v>
      </c>
      <c r="H242" s="132">
        <v>46084</v>
      </c>
      <c r="I242" s="127">
        <v>0.55208333333333337</v>
      </c>
      <c r="J242"/>
      <c r="K242"/>
      <c r="L242" t="s">
        <v>3059</v>
      </c>
    </row>
    <row r="243" spans="1:12">
      <c r="A243" s="94" t="s">
        <v>12</v>
      </c>
      <c r="B243" s="98" t="s">
        <v>3054</v>
      </c>
      <c r="C243" s="92"/>
      <c r="D243" s="17" t="s">
        <v>3060</v>
      </c>
      <c r="E243" s="93" t="s">
        <v>3061</v>
      </c>
      <c r="F243" s="99" t="s">
        <v>3062</v>
      </c>
      <c r="G243" s="17" t="s">
        <v>7</v>
      </c>
      <c r="H243" s="132">
        <v>46084</v>
      </c>
      <c r="I243" s="127">
        <v>0.55625000000000002</v>
      </c>
      <c r="J243"/>
      <c r="K243"/>
      <c r="L243"/>
    </row>
    <row r="244" spans="1:12">
      <c r="A244" s="94" t="s">
        <v>12</v>
      </c>
      <c r="B244" s="98" t="s">
        <v>3054</v>
      </c>
      <c r="C244" s="92"/>
      <c r="D244" s="17" t="s">
        <v>3063</v>
      </c>
      <c r="E244" s="93" t="s">
        <v>3064</v>
      </c>
      <c r="F244"/>
      <c r="G244" s="17" t="s">
        <v>2</v>
      </c>
      <c r="H244" s="132">
        <v>46084</v>
      </c>
      <c r="I244" s="127">
        <v>0.56736111111111109</v>
      </c>
      <c r="J244"/>
      <c r="K244"/>
      <c r="L244"/>
    </row>
    <row r="245" spans="1:12">
      <c r="A245" s="94" t="s">
        <v>12</v>
      </c>
      <c r="B245" s="98" t="s">
        <v>3054</v>
      </c>
      <c r="C245" s="92"/>
      <c r="D245" s="17" t="s">
        <v>3065</v>
      </c>
      <c r="E245" s="93" t="s">
        <v>3066</v>
      </c>
      <c r="F245"/>
      <c r="G245" s="17" t="s">
        <v>1</v>
      </c>
      <c r="H245" s="132">
        <v>46084</v>
      </c>
      <c r="I245" s="127">
        <v>0.57222222222222219</v>
      </c>
      <c r="J245"/>
      <c r="K245"/>
      <c r="L245"/>
    </row>
    <row r="246" spans="1:12">
      <c r="A246" s="94" t="s">
        <v>12</v>
      </c>
      <c r="B246" s="98" t="s">
        <v>3054</v>
      </c>
      <c r="C246" s="92"/>
      <c r="D246" s="17" t="s">
        <v>3067</v>
      </c>
      <c r="E246" s="93" t="s">
        <v>3068</v>
      </c>
      <c r="F246"/>
      <c r="G246" s="17" t="s">
        <v>1</v>
      </c>
      <c r="H246" s="132">
        <v>46084</v>
      </c>
      <c r="I246" s="127">
        <v>0.58472222222222225</v>
      </c>
      <c r="J246"/>
      <c r="K246"/>
      <c r="L246"/>
    </row>
    <row r="247" spans="1:12">
      <c r="A247" s="94" t="s">
        <v>12</v>
      </c>
      <c r="B247" s="98" t="s">
        <v>3054</v>
      </c>
      <c r="C247" s="92"/>
      <c r="D247" s="17" t="s">
        <v>3069</v>
      </c>
      <c r="E247" s="93" t="s">
        <v>3070</v>
      </c>
      <c r="F247"/>
      <c r="G247" s="17" t="s">
        <v>1</v>
      </c>
      <c r="H247" s="132">
        <v>46084</v>
      </c>
      <c r="I247" s="127">
        <v>0.61319444444444449</v>
      </c>
      <c r="J247"/>
      <c r="K247"/>
      <c r="L247"/>
    </row>
    <row r="248" spans="1:12">
      <c r="A248" s="94" t="s">
        <v>12</v>
      </c>
      <c r="B248" s="98" t="s">
        <v>3054</v>
      </c>
      <c r="C248" s="92"/>
      <c r="D248" s="17" t="s">
        <v>3071</v>
      </c>
      <c r="E248" s="93" t="s">
        <v>3072</v>
      </c>
      <c r="F248"/>
      <c r="G248" s="17" t="s">
        <v>1</v>
      </c>
      <c r="H248" s="132">
        <v>46084</v>
      </c>
      <c r="I248" s="127">
        <v>0.6166666666666667</v>
      </c>
      <c r="J248"/>
      <c r="K248"/>
      <c r="L248"/>
    </row>
    <row r="249" spans="1:12">
      <c r="A249" s="94" t="s">
        <v>12</v>
      </c>
      <c r="B249" s="98" t="s">
        <v>3054</v>
      </c>
      <c r="C249" s="92"/>
      <c r="D249" s="17" t="s">
        <v>3073</v>
      </c>
      <c r="E249" s="93" t="s">
        <v>3074</v>
      </c>
      <c r="F249"/>
      <c r="G249" s="17" t="s">
        <v>5</v>
      </c>
      <c r="H249" s="132">
        <v>46084</v>
      </c>
      <c r="I249" s="127">
        <v>0.63541666666666663</v>
      </c>
      <c r="J249"/>
      <c r="K249"/>
      <c r="L249" t="s">
        <v>3075</v>
      </c>
    </row>
    <row r="250" spans="1:12">
      <c r="A250" s="94" t="s">
        <v>12</v>
      </c>
      <c r="B250" s="98" t="s">
        <v>3054</v>
      </c>
      <c r="C250" s="92"/>
      <c r="D250" s="17" t="s">
        <v>3076</v>
      </c>
      <c r="E250" s="93" t="s">
        <v>3077</v>
      </c>
      <c r="F250"/>
      <c r="G250" s="17" t="s">
        <v>6</v>
      </c>
      <c r="H250" s="132">
        <v>46084</v>
      </c>
      <c r="I250" s="127">
        <v>0.63611111111111107</v>
      </c>
      <c r="J250"/>
      <c r="K250"/>
      <c r="L250"/>
    </row>
    <row r="251" spans="1:12">
      <c r="A251" s="94" t="s">
        <v>12</v>
      </c>
      <c r="B251" s="98" t="s">
        <v>3054</v>
      </c>
      <c r="C251" s="92"/>
      <c r="D251" s="17" t="s">
        <v>3078</v>
      </c>
      <c r="E251" s="93" t="s">
        <v>3079</v>
      </c>
      <c r="F251"/>
      <c r="G251" s="17" t="s">
        <v>3</v>
      </c>
      <c r="H251" s="132">
        <v>46084</v>
      </c>
      <c r="I251" s="127">
        <v>0.6381944444444444</v>
      </c>
      <c r="J251"/>
      <c r="K251"/>
      <c r="L251"/>
    </row>
    <row r="252" spans="1:12">
      <c r="A252" s="94" t="s">
        <v>12</v>
      </c>
      <c r="B252" s="98" t="s">
        <v>3054</v>
      </c>
      <c r="C252" s="92"/>
      <c r="D252" s="17" t="s">
        <v>3080</v>
      </c>
      <c r="E252" s="93" t="s">
        <v>3081</v>
      </c>
      <c r="F252"/>
      <c r="G252" s="17" t="s">
        <v>6</v>
      </c>
      <c r="H252" s="132">
        <v>46084</v>
      </c>
      <c r="I252" s="127">
        <v>0.64930555555555558</v>
      </c>
      <c r="J252"/>
      <c r="K252"/>
      <c r="L252"/>
    </row>
    <row r="253" spans="1:12">
      <c r="A253" s="94" t="s">
        <v>12</v>
      </c>
      <c r="B253" s="98" t="s">
        <v>3054</v>
      </c>
      <c r="C253" s="92"/>
      <c r="D253" s="17" t="s">
        <v>3082</v>
      </c>
      <c r="E253" s="93" t="s">
        <v>3083</v>
      </c>
      <c r="F253"/>
      <c r="G253" s="17" t="s">
        <v>2</v>
      </c>
      <c r="H253" s="132">
        <v>46084</v>
      </c>
      <c r="I253" s="127">
        <v>0.65138888888888891</v>
      </c>
      <c r="J253"/>
      <c r="K253"/>
      <c r="L253"/>
    </row>
    <row r="254" spans="1:12">
      <c r="A254" s="94" t="s">
        <v>12</v>
      </c>
      <c r="B254" s="98" t="s">
        <v>3054</v>
      </c>
      <c r="C254" s="92"/>
      <c r="D254" s="17" t="s">
        <v>3084</v>
      </c>
      <c r="E254" s="93" t="s">
        <v>3085</v>
      </c>
      <c r="F254"/>
      <c r="G254" s="17" t="s">
        <v>3</v>
      </c>
      <c r="H254" s="132">
        <v>46084</v>
      </c>
      <c r="I254" s="127">
        <v>0.65347222222222223</v>
      </c>
      <c r="J254"/>
      <c r="K254"/>
      <c r="L254" t="s">
        <v>3086</v>
      </c>
    </row>
    <row r="255" spans="1:12">
      <c r="A255" s="94" t="s">
        <v>12</v>
      </c>
      <c r="B255" s="98" t="s">
        <v>3054</v>
      </c>
      <c r="C255" s="92"/>
      <c r="D255" s="17" t="s">
        <v>3087</v>
      </c>
      <c r="E255" s="93" t="s">
        <v>3088</v>
      </c>
      <c r="F255"/>
      <c r="G255" s="17" t="s">
        <v>1</v>
      </c>
      <c r="H255" s="132">
        <v>46084</v>
      </c>
      <c r="I255" s="127">
        <v>0.65833333333333333</v>
      </c>
      <c r="J255"/>
      <c r="K255"/>
      <c r="L255"/>
    </row>
    <row r="256" spans="1:12">
      <c r="A256" s="94" t="s">
        <v>12</v>
      </c>
      <c r="B256" s="98" t="s">
        <v>3054</v>
      </c>
      <c r="C256" s="92"/>
      <c r="D256" s="17" t="s">
        <v>3089</v>
      </c>
      <c r="E256" s="93" t="s">
        <v>3090</v>
      </c>
      <c r="F256"/>
      <c r="G256" s="17" t="s">
        <v>1</v>
      </c>
      <c r="H256" s="132">
        <v>46085</v>
      </c>
      <c r="I256" s="127">
        <v>0.44166666666666665</v>
      </c>
      <c r="J256"/>
      <c r="K256"/>
      <c r="L256"/>
    </row>
    <row r="257" spans="1:12">
      <c r="A257" s="94" t="s">
        <v>12</v>
      </c>
      <c r="B257" s="98" t="s">
        <v>3054</v>
      </c>
      <c r="C257" s="92"/>
      <c r="D257" s="17" t="s">
        <v>3091</v>
      </c>
      <c r="E257" s="93" t="s">
        <v>3092</v>
      </c>
      <c r="F257"/>
      <c r="G257" s="17" t="s">
        <v>2</v>
      </c>
      <c r="H257" s="132">
        <v>46085</v>
      </c>
      <c r="I257" s="127">
        <v>0.4513888888888889</v>
      </c>
      <c r="J257"/>
      <c r="K257"/>
      <c r="L257"/>
    </row>
    <row r="258" spans="1:12">
      <c r="A258" s="94" t="s">
        <v>12</v>
      </c>
      <c r="B258" s="98" t="s">
        <v>3054</v>
      </c>
      <c r="C258" s="92"/>
      <c r="D258" s="17" t="s">
        <v>3093</v>
      </c>
      <c r="E258" s="93" t="s">
        <v>3094</v>
      </c>
      <c r="F258"/>
      <c r="G258" s="17" t="s">
        <v>2</v>
      </c>
      <c r="H258" s="132">
        <v>46085</v>
      </c>
      <c r="I258" s="127">
        <v>0.4513888888888889</v>
      </c>
      <c r="J258"/>
      <c r="K258"/>
      <c r="L258"/>
    </row>
    <row r="259" spans="1:12">
      <c r="A259" s="94" t="s">
        <v>12</v>
      </c>
      <c r="B259" s="98" t="s">
        <v>3054</v>
      </c>
      <c r="C259" s="92"/>
      <c r="D259" s="17" t="s">
        <v>3095</v>
      </c>
      <c r="E259" s="93" t="s">
        <v>3096</v>
      </c>
      <c r="F259"/>
      <c r="G259" s="17" t="s">
        <v>1</v>
      </c>
      <c r="H259" s="132">
        <v>46085</v>
      </c>
      <c r="I259" s="127">
        <v>0.45347222222222222</v>
      </c>
      <c r="J259"/>
      <c r="K259"/>
      <c r="L259"/>
    </row>
    <row r="260" spans="1:12">
      <c r="A260" s="94" t="s">
        <v>12</v>
      </c>
      <c r="B260" s="98" t="s">
        <v>3054</v>
      </c>
      <c r="C260" s="92"/>
      <c r="D260" s="17" t="s">
        <v>3097</v>
      </c>
      <c r="E260" s="93" t="s">
        <v>3098</v>
      </c>
      <c r="F260"/>
      <c r="G260" s="17" t="s">
        <v>2</v>
      </c>
      <c r="H260" s="132">
        <v>46085</v>
      </c>
      <c r="I260" s="127">
        <v>0.45694444444444443</v>
      </c>
      <c r="J260"/>
      <c r="K260"/>
      <c r="L260"/>
    </row>
    <row r="261" spans="1:12">
      <c r="A261" s="94" t="s">
        <v>12</v>
      </c>
      <c r="B261" s="98" t="s">
        <v>3054</v>
      </c>
      <c r="C261" s="92"/>
      <c r="D261" s="17" t="s">
        <v>3099</v>
      </c>
      <c r="E261" s="93" t="s">
        <v>3100</v>
      </c>
      <c r="F261"/>
      <c r="G261" s="17" t="s">
        <v>1</v>
      </c>
      <c r="H261" s="132">
        <v>46085</v>
      </c>
      <c r="I261" s="127">
        <v>0.45694444444444443</v>
      </c>
      <c r="J261"/>
      <c r="K261"/>
      <c r="L261"/>
    </row>
    <row r="262" spans="1:12">
      <c r="A262" s="94" t="s">
        <v>12</v>
      </c>
      <c r="B262" s="98" t="s">
        <v>3054</v>
      </c>
      <c r="C262" s="92"/>
      <c r="D262" s="17" t="s">
        <v>3101</v>
      </c>
      <c r="E262" s="93" t="s">
        <v>3102</v>
      </c>
      <c r="F262"/>
      <c r="G262" s="17" t="s">
        <v>2</v>
      </c>
      <c r="H262" s="132">
        <v>46085</v>
      </c>
      <c r="I262" s="127">
        <v>0.46666666666666667</v>
      </c>
      <c r="J262"/>
      <c r="K262"/>
      <c r="L262"/>
    </row>
    <row r="263" spans="1:12">
      <c r="A263" s="94" t="s">
        <v>12</v>
      </c>
      <c r="B263" s="98" t="s">
        <v>3054</v>
      </c>
      <c r="C263" s="92"/>
      <c r="D263" s="17" t="s">
        <v>3103</v>
      </c>
      <c r="E263" s="93" t="s">
        <v>3104</v>
      </c>
      <c r="F263"/>
      <c r="G263" s="17" t="s">
        <v>3</v>
      </c>
      <c r="H263" s="132">
        <v>46085</v>
      </c>
      <c r="I263" s="127">
        <v>0.46666666666666667</v>
      </c>
      <c r="J263"/>
      <c r="K263"/>
      <c r="L263"/>
    </row>
    <row r="264" spans="1:12">
      <c r="A264" s="94" t="s">
        <v>12</v>
      </c>
      <c r="B264" s="98" t="s">
        <v>3054</v>
      </c>
      <c r="C264" s="92"/>
      <c r="D264" s="17" t="s">
        <v>3105</v>
      </c>
      <c r="E264" s="93" t="s">
        <v>3106</v>
      </c>
      <c r="F264"/>
      <c r="G264" s="17" t="s">
        <v>2</v>
      </c>
      <c r="H264" s="132">
        <v>46085</v>
      </c>
      <c r="I264" s="127">
        <v>0.46805555555555556</v>
      </c>
      <c r="J264"/>
      <c r="K264"/>
      <c r="L264"/>
    </row>
    <row r="265" spans="1:12">
      <c r="A265" s="94" t="s">
        <v>12</v>
      </c>
      <c r="B265" s="98" t="s">
        <v>3054</v>
      </c>
      <c r="C265" s="92"/>
      <c r="D265" s="17" t="s">
        <v>3107</v>
      </c>
      <c r="E265" s="93" t="s">
        <v>3108</v>
      </c>
      <c r="F265"/>
      <c r="G265" s="17" t="s">
        <v>1</v>
      </c>
      <c r="H265" s="132">
        <v>46085</v>
      </c>
      <c r="I265" s="127">
        <v>0.46805555555555556</v>
      </c>
      <c r="J265"/>
      <c r="K265"/>
      <c r="L265"/>
    </row>
    <row r="266" spans="1:12">
      <c r="A266" s="94" t="s">
        <v>12</v>
      </c>
      <c r="B266" s="98" t="s">
        <v>3054</v>
      </c>
      <c r="C266" s="92"/>
      <c r="D266" s="17" t="s">
        <v>3109</v>
      </c>
      <c r="E266" s="93" t="s">
        <v>3110</v>
      </c>
      <c r="F266"/>
      <c r="G266" s="17" t="s">
        <v>1</v>
      </c>
      <c r="H266" s="132">
        <v>46085</v>
      </c>
      <c r="I266" s="127">
        <v>0.47013888888888888</v>
      </c>
      <c r="J266"/>
      <c r="K266"/>
      <c r="L266"/>
    </row>
    <row r="267" spans="1:12">
      <c r="A267" s="94" t="s">
        <v>12</v>
      </c>
      <c r="B267" s="98" t="s">
        <v>3054</v>
      </c>
      <c r="C267" s="92"/>
      <c r="D267" s="17" t="s">
        <v>3111</v>
      </c>
      <c r="E267" s="93" t="s">
        <v>3112</v>
      </c>
      <c r="F267"/>
      <c r="G267" s="17" t="s">
        <v>1</v>
      </c>
      <c r="H267" s="132">
        <v>46085</v>
      </c>
      <c r="I267" s="127">
        <v>0.47916666666666669</v>
      </c>
      <c r="J267"/>
      <c r="K267"/>
      <c r="L267"/>
    </row>
    <row r="268" spans="1:12">
      <c r="A268" s="94" t="s">
        <v>12</v>
      </c>
      <c r="B268" s="98" t="s">
        <v>3054</v>
      </c>
      <c r="C268" s="92"/>
      <c r="D268" s="17" t="s">
        <v>3113</v>
      </c>
      <c r="E268" s="93" t="s">
        <v>3114</v>
      </c>
      <c r="F268"/>
      <c r="G268" s="17" t="s">
        <v>1</v>
      </c>
      <c r="H268" s="132">
        <v>46085</v>
      </c>
      <c r="I268" s="127">
        <v>0.49236111111111114</v>
      </c>
      <c r="J268"/>
      <c r="K268"/>
      <c r="L268"/>
    </row>
    <row r="269" spans="1:12">
      <c r="A269" s="94" t="s">
        <v>12</v>
      </c>
      <c r="B269" s="98" t="s">
        <v>3054</v>
      </c>
      <c r="C269" s="92"/>
      <c r="D269" s="17" t="s">
        <v>3115</v>
      </c>
      <c r="E269" s="93" t="s">
        <v>3116</v>
      </c>
      <c r="F269"/>
      <c r="G269" s="17" t="s">
        <v>6</v>
      </c>
      <c r="H269" s="132">
        <v>46085</v>
      </c>
      <c r="I269" s="127">
        <v>0.59236111111111112</v>
      </c>
      <c r="J269"/>
      <c r="K269"/>
      <c r="L269"/>
    </row>
    <row r="270" spans="1:12">
      <c r="A270" s="94" t="s">
        <v>12</v>
      </c>
      <c r="B270" s="98" t="s">
        <v>3054</v>
      </c>
      <c r="C270" s="92"/>
      <c r="D270" s="17" t="s">
        <v>3117</v>
      </c>
      <c r="E270" s="93" t="s">
        <v>3118</v>
      </c>
      <c r="F270"/>
      <c r="G270" s="17" t="s">
        <v>4</v>
      </c>
      <c r="H270" s="132">
        <v>46085</v>
      </c>
      <c r="I270" s="127">
        <v>0.59375</v>
      </c>
      <c r="J270"/>
      <c r="K270"/>
      <c r="L270"/>
    </row>
    <row r="271" spans="1:12">
      <c r="A271" s="94" t="s">
        <v>12</v>
      </c>
      <c r="B271" s="98" t="s">
        <v>3054</v>
      </c>
      <c r="C271" s="92"/>
      <c r="D271" s="17" t="s">
        <v>3119</v>
      </c>
      <c r="E271" s="93" t="s">
        <v>3120</v>
      </c>
      <c r="F271"/>
      <c r="G271" s="17" t="s">
        <v>9</v>
      </c>
      <c r="H271" s="132">
        <v>46085</v>
      </c>
      <c r="I271" s="127">
        <v>0.59513888888888888</v>
      </c>
      <c r="J271"/>
      <c r="K271"/>
      <c r="L271"/>
    </row>
    <row r="272" spans="1:12">
      <c r="A272" s="94" t="s">
        <v>12</v>
      </c>
      <c r="B272" s="98" t="s">
        <v>3054</v>
      </c>
      <c r="C272" s="92"/>
      <c r="D272" s="17" t="s">
        <v>3121</v>
      </c>
      <c r="E272" s="93" t="s">
        <v>3122</v>
      </c>
      <c r="F272"/>
      <c r="G272" s="17" t="s">
        <v>1</v>
      </c>
      <c r="H272" s="132">
        <v>46085</v>
      </c>
      <c r="I272" s="127">
        <v>0.59513888888888888</v>
      </c>
      <c r="J272"/>
      <c r="K272"/>
      <c r="L272"/>
    </row>
    <row r="273" spans="1:12">
      <c r="A273" s="94" t="s">
        <v>12</v>
      </c>
      <c r="B273" s="98" t="s">
        <v>3054</v>
      </c>
      <c r="C273" s="92"/>
      <c r="D273" s="17" t="s">
        <v>3123</v>
      </c>
      <c r="E273" s="93" t="s">
        <v>3124</v>
      </c>
      <c r="F273" s="99" t="s">
        <v>3125</v>
      </c>
      <c r="G273" s="17" t="s">
        <v>1</v>
      </c>
      <c r="H273" s="132">
        <v>46085</v>
      </c>
      <c r="I273" s="127">
        <v>0.59930555555555554</v>
      </c>
      <c r="J273"/>
      <c r="K273"/>
      <c r="L273"/>
    </row>
    <row r="274" spans="1:12">
      <c r="A274" s="94" t="s">
        <v>12</v>
      </c>
      <c r="B274" s="98" t="s">
        <v>3054</v>
      </c>
      <c r="C274" s="92"/>
      <c r="D274" s="17" t="s">
        <v>3126</v>
      </c>
      <c r="E274" s="93" t="s">
        <v>3127</v>
      </c>
      <c r="F274"/>
      <c r="G274" s="17" t="s">
        <v>6</v>
      </c>
      <c r="H274" s="132">
        <v>46085</v>
      </c>
      <c r="I274" s="127">
        <v>0.6118055555555556</v>
      </c>
      <c r="J274"/>
      <c r="K274"/>
      <c r="L274"/>
    </row>
    <row r="275" spans="1:12">
      <c r="A275" s="94" t="s">
        <v>12</v>
      </c>
      <c r="B275" s="98" t="s">
        <v>3054</v>
      </c>
      <c r="C275" s="92"/>
      <c r="D275" s="17" t="s">
        <v>3128</v>
      </c>
      <c r="E275" s="93" t="s">
        <v>3129</v>
      </c>
      <c r="F275"/>
      <c r="G275" s="17" t="s">
        <v>1</v>
      </c>
      <c r="H275" s="132">
        <v>46085</v>
      </c>
      <c r="I275" s="127">
        <v>0.61319444444444449</v>
      </c>
      <c r="J275"/>
      <c r="K275"/>
      <c r="L275"/>
    </row>
    <row r="276" spans="1:12">
      <c r="A276" s="94" t="s">
        <v>12</v>
      </c>
      <c r="B276" s="98" t="s">
        <v>3054</v>
      </c>
      <c r="C276" s="92"/>
      <c r="D276" s="17" t="s">
        <v>3130</v>
      </c>
      <c r="E276" s="93" t="s">
        <v>3131</v>
      </c>
      <c r="F276" s="99" t="s">
        <v>3132</v>
      </c>
      <c r="G276" s="17" t="s">
        <v>1</v>
      </c>
      <c r="H276" s="132">
        <v>46085</v>
      </c>
      <c r="I276" s="127">
        <v>0.6166666666666667</v>
      </c>
      <c r="J276"/>
      <c r="K276"/>
      <c r="L276"/>
    </row>
    <row r="277" spans="1:12">
      <c r="A277" s="94" t="s">
        <v>12</v>
      </c>
      <c r="B277" s="98" t="s">
        <v>3054</v>
      </c>
      <c r="C277" s="92"/>
      <c r="D277" s="17" t="s">
        <v>3133</v>
      </c>
      <c r="E277" s="93" t="s">
        <v>3134</v>
      </c>
      <c r="F277"/>
      <c r="G277" s="17" t="s">
        <v>1</v>
      </c>
      <c r="H277" s="132">
        <v>46085</v>
      </c>
      <c r="I277" s="127">
        <v>0.61875000000000002</v>
      </c>
      <c r="J277"/>
      <c r="K277"/>
      <c r="L277"/>
    </row>
    <row r="278" spans="1:12">
      <c r="A278" s="94" t="s">
        <v>12</v>
      </c>
      <c r="B278" s="98" t="s">
        <v>3054</v>
      </c>
      <c r="C278" s="92"/>
      <c r="D278" s="17" t="s">
        <v>3135</v>
      </c>
      <c r="E278" s="93" t="s">
        <v>3136</v>
      </c>
      <c r="F278"/>
      <c r="G278" s="17" t="s">
        <v>2</v>
      </c>
      <c r="H278" s="132">
        <v>46085</v>
      </c>
      <c r="I278" s="127">
        <v>0.62291666666666667</v>
      </c>
      <c r="J278"/>
      <c r="K278"/>
      <c r="L278"/>
    </row>
    <row r="279" spans="1:12">
      <c r="A279" s="94" t="s">
        <v>12</v>
      </c>
      <c r="B279" s="98" t="s">
        <v>3054</v>
      </c>
      <c r="C279" s="92"/>
      <c r="D279" s="17" t="s">
        <v>3137</v>
      </c>
      <c r="E279" s="93" t="s">
        <v>3138</v>
      </c>
      <c r="F279"/>
      <c r="G279" s="17" t="s">
        <v>1</v>
      </c>
      <c r="H279" s="132">
        <v>46085</v>
      </c>
      <c r="I279" s="127">
        <v>0.62361111111111112</v>
      </c>
      <c r="J279"/>
      <c r="K279"/>
      <c r="L279"/>
    </row>
    <row r="280" spans="1:12">
      <c r="A280" s="94" t="s">
        <v>12</v>
      </c>
      <c r="B280" s="98" t="s">
        <v>3054</v>
      </c>
      <c r="C280" s="92"/>
      <c r="D280" s="17" t="s">
        <v>3139</v>
      </c>
      <c r="E280" s="93" t="s">
        <v>3140</v>
      </c>
      <c r="F280"/>
      <c r="G280" s="17" t="s">
        <v>1</v>
      </c>
      <c r="H280" s="132">
        <v>46085</v>
      </c>
      <c r="I280" s="127">
        <v>0.63472222222222219</v>
      </c>
      <c r="J280"/>
      <c r="K280"/>
      <c r="L280" t="s">
        <v>3141</v>
      </c>
    </row>
    <row r="281" spans="1:12">
      <c r="A281" s="94" t="s">
        <v>12</v>
      </c>
      <c r="B281" s="98" t="s">
        <v>3054</v>
      </c>
      <c r="C281" s="92"/>
      <c r="D281" s="17" t="s">
        <v>3142</v>
      </c>
      <c r="E281" s="93" t="s">
        <v>3143</v>
      </c>
      <c r="F281" s="99" t="s">
        <v>3144</v>
      </c>
      <c r="G281" s="17" t="s">
        <v>1</v>
      </c>
      <c r="H281" s="132">
        <v>46085</v>
      </c>
      <c r="I281" s="127">
        <v>0.63680555555555551</v>
      </c>
      <c r="J281"/>
      <c r="K281"/>
      <c r="L281"/>
    </row>
    <row r="282" spans="1:12">
      <c r="A282" s="94" t="s">
        <v>12</v>
      </c>
      <c r="B282" s="98" t="s">
        <v>3054</v>
      </c>
      <c r="C282" s="92"/>
      <c r="D282" s="17" t="s">
        <v>3145</v>
      </c>
      <c r="E282" s="93" t="s">
        <v>3146</v>
      </c>
      <c r="F282"/>
      <c r="G282" s="17" t="s">
        <v>2</v>
      </c>
      <c r="H282" s="132">
        <v>46085</v>
      </c>
      <c r="I282" s="127">
        <v>0.64513888888888893</v>
      </c>
      <c r="J282"/>
      <c r="K282"/>
      <c r="L282"/>
    </row>
    <row r="283" spans="1:12">
      <c r="A283" s="94" t="s">
        <v>12</v>
      </c>
      <c r="B283" s="98" t="s">
        <v>3054</v>
      </c>
      <c r="C283" s="92"/>
      <c r="D283" s="17" t="s">
        <v>3147</v>
      </c>
      <c r="E283" s="93" t="s">
        <v>3148</v>
      </c>
      <c r="F283"/>
      <c r="G283" s="17" t="s">
        <v>3</v>
      </c>
      <c r="H283" s="132">
        <v>46085</v>
      </c>
      <c r="I283" s="127">
        <v>0.64513888888888893</v>
      </c>
      <c r="J283"/>
      <c r="K283"/>
      <c r="L283"/>
    </row>
    <row r="284" spans="1:12">
      <c r="A284" s="94" t="s">
        <v>12</v>
      </c>
      <c r="B284" s="98" t="s">
        <v>3054</v>
      </c>
      <c r="C284" s="92"/>
      <c r="D284" s="17" t="s">
        <v>3149</v>
      </c>
      <c r="E284" s="93" t="s">
        <v>3150</v>
      </c>
      <c r="F284"/>
      <c r="G284" s="17" t="s">
        <v>2</v>
      </c>
      <c r="H284" s="132">
        <v>46085</v>
      </c>
      <c r="I284" s="127">
        <v>0.64722222222222225</v>
      </c>
      <c r="J284"/>
      <c r="K284"/>
      <c r="L284"/>
    </row>
    <row r="285" spans="1:12">
      <c r="A285" s="94" t="s">
        <v>12</v>
      </c>
      <c r="B285" s="98" t="s">
        <v>3054</v>
      </c>
      <c r="C285" s="92"/>
      <c r="D285" s="17" t="s">
        <v>3151</v>
      </c>
      <c r="E285" s="93" t="s">
        <v>3152</v>
      </c>
      <c r="F285"/>
      <c r="G285" s="17" t="s">
        <v>1</v>
      </c>
      <c r="H285" s="132">
        <v>46085</v>
      </c>
      <c r="I285" s="127">
        <v>0.64930555555555558</v>
      </c>
      <c r="J285"/>
      <c r="K285"/>
      <c r="L285"/>
    </row>
    <row r="286" spans="1:12">
      <c r="A286" s="94" t="s">
        <v>12</v>
      </c>
      <c r="B286" s="98" t="s">
        <v>3054</v>
      </c>
      <c r="C286" s="92"/>
      <c r="D286" s="17" t="s">
        <v>3153</v>
      </c>
      <c r="E286" s="93" t="s">
        <v>3154</v>
      </c>
      <c r="F286"/>
      <c r="G286" s="17" t="s">
        <v>2</v>
      </c>
      <c r="H286" s="132">
        <v>46085</v>
      </c>
      <c r="I286" s="127">
        <v>0.65763888888888888</v>
      </c>
      <c r="J286"/>
      <c r="K286"/>
      <c r="L286"/>
    </row>
    <row r="287" spans="1:12">
      <c r="A287" s="94" t="s">
        <v>12</v>
      </c>
      <c r="B287" s="98" t="s">
        <v>3054</v>
      </c>
      <c r="C287" s="92"/>
      <c r="D287" s="17" t="s">
        <v>3155</v>
      </c>
      <c r="E287" s="93" t="s">
        <v>3156</v>
      </c>
      <c r="F287"/>
      <c r="G287" s="17" t="s">
        <v>8</v>
      </c>
      <c r="H287" s="132">
        <v>46085</v>
      </c>
      <c r="I287" s="127">
        <v>0.65972222222222221</v>
      </c>
      <c r="J287"/>
      <c r="K287"/>
      <c r="L287"/>
    </row>
    <row r="288" spans="1:12">
      <c r="A288" s="94" t="s">
        <v>12</v>
      </c>
      <c r="B288" s="98" t="s">
        <v>3054</v>
      </c>
      <c r="C288" s="92"/>
      <c r="D288" s="17" t="s">
        <v>3157</v>
      </c>
      <c r="E288" s="93" t="s">
        <v>3158</v>
      </c>
      <c r="F288"/>
      <c r="G288" s="17" t="s">
        <v>4</v>
      </c>
      <c r="H288" s="132">
        <v>46085</v>
      </c>
      <c r="I288" s="127">
        <v>0.66041666666666665</v>
      </c>
      <c r="J288"/>
      <c r="K288"/>
      <c r="L288" t="s">
        <v>3159</v>
      </c>
    </row>
    <row r="289" spans="1:12">
      <c r="A289" s="94" t="s">
        <v>12</v>
      </c>
      <c r="B289" s="98" t="s">
        <v>3054</v>
      </c>
      <c r="C289" s="92"/>
      <c r="D289" s="17" t="s">
        <v>3160</v>
      </c>
      <c r="E289" s="93" t="s">
        <v>3161</v>
      </c>
      <c r="F289"/>
      <c r="G289" s="17" t="s">
        <v>6</v>
      </c>
      <c r="H289" s="132">
        <v>46085</v>
      </c>
      <c r="I289" s="127">
        <v>0.66180555555555554</v>
      </c>
      <c r="J289"/>
      <c r="K289"/>
      <c r="L289"/>
    </row>
    <row r="290" spans="1:12">
      <c r="A290" s="94" t="s">
        <v>12</v>
      </c>
      <c r="B290" s="98" t="s">
        <v>3054</v>
      </c>
      <c r="C290" s="92"/>
      <c r="D290" s="17" t="s">
        <v>3162</v>
      </c>
      <c r="E290" s="93" t="s">
        <v>3163</v>
      </c>
      <c r="F290"/>
      <c r="G290" s="17" t="s">
        <v>9</v>
      </c>
      <c r="H290" s="132">
        <v>46085</v>
      </c>
      <c r="I290" s="127">
        <v>0.66180555555555554</v>
      </c>
      <c r="J290"/>
      <c r="K290"/>
      <c r="L290"/>
    </row>
    <row r="291" spans="1:12">
      <c r="A291" s="94" t="s">
        <v>12</v>
      </c>
      <c r="B291" s="98" t="s">
        <v>3054</v>
      </c>
      <c r="C291" s="92"/>
      <c r="D291" s="17" t="s">
        <v>3164</v>
      </c>
      <c r="E291" s="93" t="s">
        <v>3165</v>
      </c>
      <c r="F291"/>
      <c r="G291" s="17" t="s">
        <v>9</v>
      </c>
      <c r="H291" s="132">
        <v>46087</v>
      </c>
      <c r="I291" s="127">
        <v>0.41944444444444445</v>
      </c>
      <c r="J291"/>
      <c r="K291"/>
      <c r="L291"/>
    </row>
    <row r="292" spans="1:12">
      <c r="A292" s="94" t="s">
        <v>12</v>
      </c>
      <c r="B292" s="98" t="s">
        <v>3054</v>
      </c>
      <c r="C292" s="92"/>
      <c r="D292" s="17" t="s">
        <v>3166</v>
      </c>
      <c r="E292" s="93" t="s">
        <v>3167</v>
      </c>
      <c r="F292"/>
      <c r="G292" s="17" t="s">
        <v>2</v>
      </c>
      <c r="H292" s="132">
        <v>46087</v>
      </c>
      <c r="I292" s="127">
        <v>0.41944444444444445</v>
      </c>
      <c r="J292"/>
      <c r="K292"/>
      <c r="L292"/>
    </row>
    <row r="293" spans="1:12">
      <c r="A293" s="94" t="s">
        <v>12</v>
      </c>
      <c r="B293" s="98" t="s">
        <v>3054</v>
      </c>
      <c r="C293" s="92"/>
      <c r="D293" s="17" t="s">
        <v>3168</v>
      </c>
      <c r="E293" s="93" t="s">
        <v>3169</v>
      </c>
      <c r="F293"/>
      <c r="G293" s="17" t="s">
        <v>4</v>
      </c>
      <c r="H293" s="132">
        <v>46087</v>
      </c>
      <c r="I293" s="127">
        <v>0.42083333333333334</v>
      </c>
      <c r="J293"/>
      <c r="K293"/>
      <c r="L293" t="s">
        <v>3170</v>
      </c>
    </row>
    <row r="294" spans="1:12">
      <c r="A294" s="94" t="s">
        <v>12</v>
      </c>
      <c r="B294" s="98" t="s">
        <v>3054</v>
      </c>
      <c r="C294" s="92"/>
      <c r="D294" s="17" t="s">
        <v>3171</v>
      </c>
      <c r="E294" s="93" t="s">
        <v>3172</v>
      </c>
      <c r="F294"/>
      <c r="G294" s="17" t="s">
        <v>6</v>
      </c>
      <c r="H294" s="132">
        <v>46087</v>
      </c>
      <c r="I294" s="127">
        <v>0.42083333333333334</v>
      </c>
      <c r="J294"/>
      <c r="K294"/>
      <c r="L294"/>
    </row>
    <row r="295" spans="1:12">
      <c r="A295" s="94" t="s">
        <v>12</v>
      </c>
      <c r="B295" s="98" t="s">
        <v>3054</v>
      </c>
      <c r="C295" s="92"/>
      <c r="D295" s="17" t="s">
        <v>3173</v>
      </c>
      <c r="E295" s="93" t="s">
        <v>3174</v>
      </c>
      <c r="F295"/>
      <c r="G295" s="17" t="s">
        <v>6</v>
      </c>
      <c r="H295" s="132">
        <v>46087</v>
      </c>
      <c r="I295" s="127">
        <v>0.42152777777777778</v>
      </c>
      <c r="J295"/>
      <c r="K295"/>
      <c r="L295"/>
    </row>
    <row r="296" spans="1:12">
      <c r="A296" s="94" t="s">
        <v>12</v>
      </c>
      <c r="B296" s="98" t="s">
        <v>3054</v>
      </c>
      <c r="C296" s="92"/>
      <c r="D296" s="17" t="s">
        <v>3175</v>
      </c>
      <c r="E296" s="93" t="s">
        <v>3176</v>
      </c>
      <c r="F296"/>
      <c r="G296" s="17" t="s">
        <v>1</v>
      </c>
      <c r="H296" s="132">
        <v>46087</v>
      </c>
      <c r="I296" s="127">
        <v>0.42291666666666666</v>
      </c>
      <c r="J296"/>
      <c r="K296"/>
      <c r="L296"/>
    </row>
    <row r="297" spans="1:12">
      <c r="A297" s="94" t="s">
        <v>12</v>
      </c>
      <c r="B297" s="98" t="s">
        <v>3054</v>
      </c>
      <c r="C297" s="92"/>
      <c r="D297" s="17" t="s">
        <v>3177</v>
      </c>
      <c r="E297" s="93" t="s">
        <v>3178</v>
      </c>
      <c r="F297"/>
      <c r="G297" s="17" t="s">
        <v>6</v>
      </c>
      <c r="H297" s="132">
        <v>46087</v>
      </c>
      <c r="I297" s="127">
        <v>0.42291666666666666</v>
      </c>
      <c r="J297"/>
      <c r="K297"/>
      <c r="L297"/>
    </row>
    <row r="298" spans="1:12">
      <c r="A298" s="94" t="s">
        <v>12</v>
      </c>
      <c r="B298" s="98" t="s">
        <v>3054</v>
      </c>
      <c r="C298" s="92"/>
      <c r="D298" s="17" t="s">
        <v>3179</v>
      </c>
      <c r="E298" s="93" t="s">
        <v>3180</v>
      </c>
      <c r="F298"/>
      <c r="G298" s="17" t="s">
        <v>1</v>
      </c>
      <c r="H298" s="132">
        <v>46087</v>
      </c>
      <c r="I298" s="127">
        <v>0.42499999999999999</v>
      </c>
      <c r="J298"/>
      <c r="K298"/>
      <c r="L298" t="s">
        <v>3181</v>
      </c>
    </row>
    <row r="299" spans="1:12">
      <c r="A299" s="94" t="s">
        <v>12</v>
      </c>
      <c r="B299" s="98" t="s">
        <v>3054</v>
      </c>
      <c r="C299" s="92"/>
      <c r="D299" s="17" t="s">
        <v>3182</v>
      </c>
      <c r="E299" s="93" t="s">
        <v>3183</v>
      </c>
      <c r="F299"/>
      <c r="G299" s="17" t="s">
        <v>6</v>
      </c>
      <c r="H299" s="132">
        <v>46087</v>
      </c>
      <c r="I299" s="127">
        <v>0.55763888888888891</v>
      </c>
      <c r="J299"/>
      <c r="K299"/>
      <c r="L299"/>
    </row>
    <row r="300" spans="1:12">
      <c r="A300" s="94" t="s">
        <v>12</v>
      </c>
      <c r="B300" s="98" t="s">
        <v>3054</v>
      </c>
      <c r="C300" s="92"/>
      <c r="D300" s="17" t="s">
        <v>3184</v>
      </c>
      <c r="E300" s="93" t="s">
        <v>3185</v>
      </c>
      <c r="F300"/>
      <c r="G300" s="17" t="s">
        <v>2</v>
      </c>
      <c r="H300" s="132">
        <v>46087</v>
      </c>
      <c r="I300" s="127">
        <v>0.55763888888888891</v>
      </c>
      <c r="J300"/>
      <c r="K300"/>
      <c r="L300"/>
    </row>
    <row r="301" spans="1:12">
      <c r="A301" s="94" t="s">
        <v>12</v>
      </c>
      <c r="B301" s="98" t="s">
        <v>3054</v>
      </c>
      <c r="C301" s="92"/>
      <c r="D301" s="17" t="s">
        <v>3186</v>
      </c>
      <c r="E301" s="93">
        <v>69414665</v>
      </c>
      <c r="F301" s="99" t="s">
        <v>3187</v>
      </c>
      <c r="G301" s="17" t="s">
        <v>1</v>
      </c>
      <c r="H301" s="132">
        <v>46087</v>
      </c>
      <c r="I301" s="127">
        <v>0.55833333333333335</v>
      </c>
      <c r="J301"/>
      <c r="K301"/>
      <c r="L301"/>
    </row>
    <row r="302" spans="1:12">
      <c r="A302" s="94" t="s">
        <v>12</v>
      </c>
      <c r="B302" s="98" t="s">
        <v>3054</v>
      </c>
      <c r="C302" s="92"/>
      <c r="D302" s="17" t="s">
        <v>3188</v>
      </c>
      <c r="E302" s="93">
        <v>62489177</v>
      </c>
      <c r="F302" s="99" t="s">
        <v>3189</v>
      </c>
      <c r="G302" s="17" t="s">
        <v>1</v>
      </c>
      <c r="H302" s="132">
        <v>46087</v>
      </c>
      <c r="I302" s="127">
        <v>0.56944444444444442</v>
      </c>
      <c r="J302"/>
      <c r="K302"/>
      <c r="L302"/>
    </row>
    <row r="303" spans="1:12">
      <c r="A303" s="94" t="s">
        <v>12</v>
      </c>
      <c r="B303" s="98" t="s">
        <v>3054</v>
      </c>
      <c r="C303" s="92"/>
      <c r="D303" s="17" t="s">
        <v>3190</v>
      </c>
      <c r="E303" s="93">
        <v>63411025</v>
      </c>
      <c r="F303"/>
      <c r="G303" s="17" t="s">
        <v>3</v>
      </c>
      <c r="H303" s="132">
        <v>46087</v>
      </c>
      <c r="I303" s="127">
        <v>0.5708333333333333</v>
      </c>
      <c r="J303"/>
      <c r="K303"/>
      <c r="L303"/>
    </row>
    <row r="304" spans="1:12">
      <c r="A304" s="94" t="s">
        <v>12</v>
      </c>
      <c r="B304" s="98" t="s">
        <v>3191</v>
      </c>
      <c r="C304" s="92"/>
      <c r="D304" s="17" t="s">
        <v>3192</v>
      </c>
      <c r="E304" s="93" t="s">
        <v>3193</v>
      </c>
      <c r="F304"/>
      <c r="G304" s="17" t="s">
        <v>9</v>
      </c>
      <c r="H304" s="132">
        <v>46090</v>
      </c>
      <c r="I304" s="127">
        <v>0.55763888888888891</v>
      </c>
      <c r="J304"/>
      <c r="K304"/>
      <c r="L304"/>
    </row>
    <row r="305" spans="1:12">
      <c r="A305" s="94" t="s">
        <v>12</v>
      </c>
      <c r="B305" s="98" t="s">
        <v>3191</v>
      </c>
      <c r="C305" s="92"/>
      <c r="D305" s="17" t="s">
        <v>3194</v>
      </c>
      <c r="E305" s="93" t="s">
        <v>3195</v>
      </c>
      <c r="F305"/>
      <c r="G305" s="17" t="s">
        <v>1</v>
      </c>
      <c r="H305" s="132">
        <v>46090</v>
      </c>
      <c r="I305" s="127">
        <v>0.55972222222222223</v>
      </c>
      <c r="J305"/>
      <c r="K305"/>
      <c r="L305"/>
    </row>
    <row r="306" spans="1:12">
      <c r="A306" s="94" t="s">
        <v>12</v>
      </c>
      <c r="B306" s="98" t="s">
        <v>3196</v>
      </c>
      <c r="C306" s="92"/>
      <c r="D306" s="17" t="s">
        <v>3197</v>
      </c>
      <c r="E306" s="93" t="s">
        <v>3198</v>
      </c>
      <c r="F306"/>
      <c r="G306" s="17" t="s">
        <v>1</v>
      </c>
      <c r="H306" s="132">
        <v>46090</v>
      </c>
      <c r="I306" s="127">
        <v>0.5625</v>
      </c>
      <c r="J306"/>
      <c r="K306"/>
      <c r="L306"/>
    </row>
    <row r="307" spans="1:12">
      <c r="A307" s="94" t="s">
        <v>12</v>
      </c>
      <c r="B307" s="98" t="s">
        <v>3199</v>
      </c>
      <c r="C307" s="92"/>
      <c r="D307" s="17" t="s">
        <v>3200</v>
      </c>
      <c r="E307" s="93" t="s">
        <v>3201</v>
      </c>
      <c r="F307"/>
      <c r="G307" s="17" t="s">
        <v>6</v>
      </c>
      <c r="H307" s="132">
        <v>46090</v>
      </c>
      <c r="I307" s="127">
        <v>0.56319444444444444</v>
      </c>
      <c r="J307"/>
      <c r="K307"/>
      <c r="L307"/>
    </row>
    <row r="308" spans="1:12">
      <c r="A308" s="94" t="s">
        <v>12</v>
      </c>
      <c r="B308" s="98" t="s">
        <v>3191</v>
      </c>
      <c r="C308" s="92"/>
      <c r="D308" s="17" t="s">
        <v>3202</v>
      </c>
      <c r="E308" s="93" t="s">
        <v>3203</v>
      </c>
      <c r="F308"/>
      <c r="G308" s="17" t="s">
        <v>1</v>
      </c>
      <c r="H308" s="132">
        <v>46090</v>
      </c>
      <c r="I308" s="127">
        <v>0.56527777777777777</v>
      </c>
      <c r="J308"/>
      <c r="K308"/>
      <c r="L308"/>
    </row>
    <row r="309" spans="1:12">
      <c r="A309" s="94" t="s">
        <v>12</v>
      </c>
      <c r="B309" s="98" t="s">
        <v>3199</v>
      </c>
      <c r="C309" s="92"/>
      <c r="D309" s="17" t="s">
        <v>3204</v>
      </c>
      <c r="E309" s="93" t="s">
        <v>3205</v>
      </c>
      <c r="F309"/>
      <c r="G309" s="17" t="s">
        <v>4</v>
      </c>
      <c r="H309" s="132">
        <v>46090</v>
      </c>
      <c r="I309" s="127">
        <v>0.57222222222222219</v>
      </c>
      <c r="J309"/>
      <c r="K309"/>
      <c r="L309" t="s">
        <v>3159</v>
      </c>
    </row>
    <row r="310" spans="1:12">
      <c r="A310" s="94" t="s">
        <v>12</v>
      </c>
      <c r="B310" s="98" t="s">
        <v>3199</v>
      </c>
      <c r="C310" s="92"/>
      <c r="D310" s="17" t="s">
        <v>3206</v>
      </c>
      <c r="E310" s="93" t="s">
        <v>3207</v>
      </c>
      <c r="F310"/>
      <c r="G310" s="17" t="s">
        <v>1</v>
      </c>
      <c r="H310" s="132">
        <v>46090</v>
      </c>
      <c r="I310" s="127">
        <v>0.57291666666666663</v>
      </c>
      <c r="J310"/>
      <c r="K310"/>
      <c r="L310"/>
    </row>
    <row r="311" spans="1:12">
      <c r="A311" s="94" t="s">
        <v>12</v>
      </c>
      <c r="B311" s="98" t="s">
        <v>3191</v>
      </c>
      <c r="C311" s="92"/>
      <c r="D311" s="17" t="s">
        <v>3208</v>
      </c>
      <c r="E311" s="93" t="s">
        <v>3209</v>
      </c>
      <c r="F311"/>
      <c r="G311" s="17" t="s">
        <v>2</v>
      </c>
      <c r="H311" s="132">
        <v>46090</v>
      </c>
      <c r="I311" s="127">
        <v>0.57361111111111107</v>
      </c>
      <c r="J311"/>
      <c r="K311"/>
      <c r="L311"/>
    </row>
    <row r="312" spans="1:12">
      <c r="A312" s="94" t="s">
        <v>12</v>
      </c>
      <c r="B312" s="98" t="s">
        <v>3199</v>
      </c>
      <c r="C312" s="92"/>
      <c r="D312" s="17" t="s">
        <v>3210</v>
      </c>
      <c r="E312" s="93" t="s">
        <v>3211</v>
      </c>
      <c r="F312"/>
      <c r="G312" s="17" t="s">
        <v>2</v>
      </c>
      <c r="H312" s="132">
        <v>46090</v>
      </c>
      <c r="I312" s="127">
        <v>0.57430555555555551</v>
      </c>
      <c r="J312"/>
      <c r="K312"/>
      <c r="L312"/>
    </row>
    <row r="313" spans="1:12">
      <c r="A313" s="94" t="s">
        <v>12</v>
      </c>
      <c r="B313" s="98" t="s">
        <v>3199</v>
      </c>
      <c r="C313" s="92"/>
      <c r="D313" s="17" t="s">
        <v>3212</v>
      </c>
      <c r="E313" s="93" t="s">
        <v>3213</v>
      </c>
      <c r="F313"/>
      <c r="G313" s="17" t="s">
        <v>2</v>
      </c>
      <c r="H313" s="132">
        <v>46090</v>
      </c>
      <c r="I313" s="127">
        <v>0.57916666666666672</v>
      </c>
      <c r="J313"/>
      <c r="K313"/>
      <c r="L313"/>
    </row>
    <row r="314" spans="1:12">
      <c r="A314" s="94" t="s">
        <v>12</v>
      </c>
      <c r="B314" s="98" t="s">
        <v>3199</v>
      </c>
      <c r="C314" s="92"/>
      <c r="D314" s="17" t="s">
        <v>3214</v>
      </c>
      <c r="E314" s="93" t="s">
        <v>3215</v>
      </c>
      <c r="F314"/>
      <c r="G314" s="17" t="s">
        <v>9</v>
      </c>
      <c r="H314" s="132">
        <v>46090</v>
      </c>
      <c r="I314" s="127">
        <v>0.57986111111111116</v>
      </c>
      <c r="J314"/>
      <c r="K314"/>
      <c r="L314"/>
    </row>
    <row r="315" spans="1:12">
      <c r="A315" s="94" t="s">
        <v>12</v>
      </c>
      <c r="B315" s="98" t="s">
        <v>3199</v>
      </c>
      <c r="C315" s="92"/>
      <c r="D315" s="17" t="s">
        <v>3216</v>
      </c>
      <c r="E315" s="93" t="s">
        <v>3217</v>
      </c>
      <c r="F315"/>
      <c r="G315" s="17" t="s">
        <v>1</v>
      </c>
      <c r="H315" s="132">
        <v>46090</v>
      </c>
      <c r="I315" s="127">
        <v>0.58125000000000004</v>
      </c>
      <c r="J315"/>
      <c r="K315"/>
      <c r="L315"/>
    </row>
    <row r="316" spans="1:12">
      <c r="A316" s="94" t="s">
        <v>12</v>
      </c>
      <c r="B316" s="98" t="s">
        <v>3199</v>
      </c>
      <c r="C316" s="92"/>
      <c r="D316" s="17" t="s">
        <v>3218</v>
      </c>
      <c r="E316" s="93" t="s">
        <v>3219</v>
      </c>
      <c r="F316"/>
      <c r="G316" s="17" t="s">
        <v>1</v>
      </c>
      <c r="H316" s="132">
        <v>46090</v>
      </c>
      <c r="I316" s="127">
        <v>0.58333333333333337</v>
      </c>
      <c r="J316"/>
      <c r="K316"/>
      <c r="L316"/>
    </row>
    <row r="317" spans="1:12">
      <c r="A317" s="94" t="s">
        <v>12</v>
      </c>
      <c r="B317" s="98" t="s">
        <v>3199</v>
      </c>
      <c r="C317" s="92"/>
      <c r="D317" s="17" t="s">
        <v>3220</v>
      </c>
      <c r="E317" s="93" t="s">
        <v>3221</v>
      </c>
      <c r="F317"/>
      <c r="G317" s="17" t="s">
        <v>1</v>
      </c>
      <c r="H317" s="132">
        <v>46090</v>
      </c>
      <c r="I317" s="127">
        <v>0.59166666666666667</v>
      </c>
      <c r="J317"/>
      <c r="K317"/>
      <c r="L317"/>
    </row>
    <row r="318" spans="1:12">
      <c r="A318" s="94" t="s">
        <v>12</v>
      </c>
      <c r="B318" s="98" t="s">
        <v>3199</v>
      </c>
      <c r="C318" s="92"/>
      <c r="D318" s="17" t="s">
        <v>3222</v>
      </c>
      <c r="E318" s="93" t="s">
        <v>3223</v>
      </c>
      <c r="F318"/>
      <c r="G318" s="17" t="s">
        <v>6</v>
      </c>
      <c r="H318" s="132">
        <v>46090</v>
      </c>
      <c r="I318" s="127">
        <v>0.59583333333333333</v>
      </c>
      <c r="J318"/>
      <c r="K318"/>
      <c r="L318"/>
    </row>
    <row r="319" spans="1:12">
      <c r="A319" s="94" t="s">
        <v>12</v>
      </c>
      <c r="B319" s="98" t="s">
        <v>3199</v>
      </c>
      <c r="C319" s="92"/>
      <c r="D319" s="17" t="s">
        <v>3224</v>
      </c>
      <c r="E319" s="93" t="s">
        <v>3225</v>
      </c>
      <c r="F319"/>
      <c r="G319" s="17" t="s">
        <v>6</v>
      </c>
      <c r="H319" s="132">
        <v>46090</v>
      </c>
      <c r="I319" s="127">
        <v>0.59722222222222221</v>
      </c>
      <c r="J319"/>
      <c r="K319"/>
      <c r="L319"/>
    </row>
    <row r="320" spans="1:12">
      <c r="A320" s="94" t="s">
        <v>12</v>
      </c>
      <c r="B320" s="98" t="s">
        <v>3054</v>
      </c>
      <c r="C320" s="92"/>
      <c r="D320" s="17" t="s">
        <v>3226</v>
      </c>
      <c r="E320" s="93" t="s">
        <v>3227</v>
      </c>
      <c r="F320"/>
      <c r="G320" s="17" t="s">
        <v>1</v>
      </c>
      <c r="H320" s="132">
        <v>46090</v>
      </c>
      <c r="I320" s="127">
        <v>0.60416666666666663</v>
      </c>
      <c r="J320"/>
      <c r="K320"/>
      <c r="L320"/>
    </row>
    <row r="321" spans="1:12">
      <c r="A321" s="94" t="s">
        <v>12</v>
      </c>
      <c r="B321" s="98" t="s">
        <v>3054</v>
      </c>
      <c r="C321" s="92"/>
      <c r="D321" s="17" t="s">
        <v>3228</v>
      </c>
      <c r="E321" s="93"/>
      <c r="F321"/>
      <c r="H321" s="132"/>
      <c r="J321"/>
      <c r="K321"/>
      <c r="L321"/>
    </row>
    <row r="322" spans="1:12">
      <c r="A322" s="94" t="s">
        <v>12</v>
      </c>
      <c r="B322" s="98" t="s">
        <v>3054</v>
      </c>
      <c r="C322" s="92"/>
      <c r="D322" s="17" t="s">
        <v>3229</v>
      </c>
      <c r="E322" s="93" t="s">
        <v>3230</v>
      </c>
      <c r="F322"/>
      <c r="G322" s="17" t="s">
        <v>1</v>
      </c>
      <c r="H322" s="132">
        <v>46090</v>
      </c>
      <c r="I322" s="127">
        <v>0.60624999999999996</v>
      </c>
      <c r="J322"/>
      <c r="K322"/>
      <c r="L322"/>
    </row>
    <row r="323" spans="1:12">
      <c r="A323" s="94" t="s">
        <v>12</v>
      </c>
      <c r="B323" s="98" t="s">
        <v>3054</v>
      </c>
      <c r="C323" s="92"/>
      <c r="D323" s="17" t="s">
        <v>3231</v>
      </c>
      <c r="E323" s="93" t="s">
        <v>3232</v>
      </c>
      <c r="F323"/>
      <c r="H323" s="132"/>
      <c r="J323"/>
      <c r="K323"/>
      <c r="L323"/>
    </row>
    <row r="324" spans="1:12">
      <c r="A324" s="94" t="s">
        <v>12</v>
      </c>
      <c r="B324" s="98" t="s">
        <v>3054</v>
      </c>
      <c r="C324" s="92"/>
      <c r="D324" s="17" t="s">
        <v>3233</v>
      </c>
      <c r="E324" s="93" t="s">
        <v>3234</v>
      </c>
      <c r="F324"/>
      <c r="H324" s="132"/>
      <c r="J324"/>
      <c r="K324"/>
      <c r="L324"/>
    </row>
    <row r="325" spans="1:12">
      <c r="A325" s="94" t="s">
        <v>12</v>
      </c>
      <c r="B325" s="98" t="s">
        <v>3054</v>
      </c>
      <c r="C325" s="92"/>
      <c r="D325" s="17" t="s">
        <v>3235</v>
      </c>
      <c r="E325" s="93" t="s">
        <v>3236</v>
      </c>
      <c r="F325"/>
      <c r="H325" s="132"/>
      <c r="J325"/>
      <c r="K325"/>
      <c r="L325"/>
    </row>
    <row r="326" spans="1:12">
      <c r="A326" s="94" t="s">
        <v>12</v>
      </c>
      <c r="B326" s="98" t="s">
        <v>3054</v>
      </c>
      <c r="C326" s="92"/>
      <c r="D326" s="17" t="s">
        <v>3237</v>
      </c>
      <c r="E326" s="93" t="s">
        <v>3238</v>
      </c>
      <c r="F326"/>
      <c r="H326" s="132"/>
      <c r="J326"/>
      <c r="K326"/>
      <c r="L326"/>
    </row>
    <row r="327" spans="1:12">
      <c r="A327" s="95" t="s">
        <v>282</v>
      </c>
      <c r="B327" t="s">
        <v>3239</v>
      </c>
      <c r="C327" s="87" t="s">
        <v>283</v>
      </c>
      <c r="D327" s="88"/>
      <c r="E327" s="89">
        <v>63910095</v>
      </c>
      <c r="F327"/>
      <c r="G327" s="17" t="s">
        <v>1</v>
      </c>
      <c r="H327" s="132">
        <v>46084</v>
      </c>
      <c r="I327" s="127" t="s">
        <v>3240</v>
      </c>
      <c r="J327"/>
      <c r="K327"/>
      <c r="L327"/>
    </row>
    <row r="328" spans="1:12">
      <c r="A328" s="95" t="s">
        <v>282</v>
      </c>
      <c r="B328" t="s">
        <v>3239</v>
      </c>
      <c r="C328" s="87" t="s">
        <v>284</v>
      </c>
      <c r="D328" s="88"/>
      <c r="E328" s="89">
        <v>68672725</v>
      </c>
      <c r="F328"/>
      <c r="G328" s="17" t="s">
        <v>9</v>
      </c>
      <c r="H328" s="132">
        <v>46084</v>
      </c>
      <c r="I328" s="127" t="s">
        <v>3241</v>
      </c>
      <c r="J328"/>
      <c r="K328"/>
      <c r="L328" t="s">
        <v>3242</v>
      </c>
    </row>
    <row r="329" spans="1:12">
      <c r="A329" s="95" t="s">
        <v>282</v>
      </c>
      <c r="B329" t="s">
        <v>3239</v>
      </c>
      <c r="C329" s="87" t="s">
        <v>285</v>
      </c>
      <c r="D329" s="88"/>
      <c r="E329" s="89">
        <v>67366502</v>
      </c>
      <c r="F329"/>
      <c r="G329" s="17" t="s">
        <v>1</v>
      </c>
      <c r="H329" s="132">
        <v>46084</v>
      </c>
      <c r="I329" s="127" t="s">
        <v>3243</v>
      </c>
      <c r="J329"/>
      <c r="K329"/>
      <c r="L329"/>
    </row>
    <row r="330" spans="1:12">
      <c r="A330" s="95" t="s">
        <v>282</v>
      </c>
      <c r="B330" t="s">
        <v>3239</v>
      </c>
      <c r="C330" s="87" t="s">
        <v>286</v>
      </c>
      <c r="D330" s="88"/>
      <c r="E330" s="89">
        <v>65029724</v>
      </c>
      <c r="F330"/>
      <c r="G330" s="17" t="s">
        <v>1</v>
      </c>
      <c r="H330" s="132">
        <v>46084</v>
      </c>
      <c r="I330" s="127" t="s">
        <v>3244</v>
      </c>
      <c r="J330"/>
      <c r="K330"/>
      <c r="L330"/>
    </row>
    <row r="331" spans="1:12">
      <c r="A331" s="95" t="s">
        <v>282</v>
      </c>
      <c r="B331" t="s">
        <v>3239</v>
      </c>
      <c r="C331" s="87" t="s">
        <v>287</v>
      </c>
      <c r="D331" s="88"/>
      <c r="E331" s="89">
        <v>64456855</v>
      </c>
      <c r="F331"/>
      <c r="G331" s="17" t="s">
        <v>3</v>
      </c>
      <c r="H331" s="132">
        <v>46084</v>
      </c>
      <c r="I331" s="127" t="s">
        <v>3245</v>
      </c>
      <c r="J331"/>
      <c r="K331"/>
      <c r="L331"/>
    </row>
    <row r="332" spans="1:12">
      <c r="A332" s="95" t="s">
        <v>282</v>
      </c>
      <c r="B332" t="s">
        <v>3239</v>
      </c>
      <c r="C332" s="87" t="s">
        <v>288</v>
      </c>
      <c r="D332" s="88"/>
      <c r="E332" s="89">
        <v>65979882</v>
      </c>
      <c r="F332"/>
      <c r="G332" s="17" t="s">
        <v>2</v>
      </c>
      <c r="H332" s="132">
        <v>46084</v>
      </c>
      <c r="I332" s="127" t="s">
        <v>3246</v>
      </c>
      <c r="J332"/>
      <c r="K332"/>
      <c r="L332"/>
    </row>
    <row r="333" spans="1:12">
      <c r="A333" s="95" t="s">
        <v>282</v>
      </c>
      <c r="B333" t="s">
        <v>3239</v>
      </c>
      <c r="C333" s="87" t="s">
        <v>289</v>
      </c>
      <c r="D333" s="88"/>
      <c r="E333" s="89">
        <v>64538198</v>
      </c>
      <c r="F333"/>
      <c r="G333" s="17" t="s">
        <v>3</v>
      </c>
      <c r="H333" s="132">
        <v>46084</v>
      </c>
      <c r="I333" s="127" t="s">
        <v>3247</v>
      </c>
      <c r="J333"/>
      <c r="K333"/>
      <c r="L333"/>
    </row>
    <row r="334" spans="1:12">
      <c r="A334" s="95" t="s">
        <v>282</v>
      </c>
      <c r="B334" t="s">
        <v>3239</v>
      </c>
      <c r="C334" s="87" t="s">
        <v>290</v>
      </c>
      <c r="D334" s="88"/>
      <c r="E334" s="89">
        <v>64776316</v>
      </c>
      <c r="F334"/>
      <c r="G334" s="17" t="s">
        <v>3</v>
      </c>
      <c r="H334" s="132">
        <v>46084</v>
      </c>
      <c r="I334" s="127" t="s">
        <v>3248</v>
      </c>
      <c r="J334"/>
      <c r="K334"/>
      <c r="L334"/>
    </row>
    <row r="335" spans="1:12">
      <c r="A335" s="95" t="s">
        <v>282</v>
      </c>
      <c r="B335" t="s">
        <v>3239</v>
      </c>
      <c r="C335" s="87" t="s">
        <v>291</v>
      </c>
      <c r="D335" s="88"/>
      <c r="E335" s="89">
        <v>66717720</v>
      </c>
      <c r="F335"/>
      <c r="G335" s="17" t="s">
        <v>2</v>
      </c>
      <c r="H335" s="132">
        <v>46084</v>
      </c>
      <c r="I335" s="127" t="s">
        <v>3249</v>
      </c>
      <c r="J335"/>
      <c r="K335"/>
      <c r="L335"/>
    </row>
    <row r="336" spans="1:12">
      <c r="A336" s="95" t="s">
        <v>282</v>
      </c>
      <c r="B336" t="s">
        <v>3239</v>
      </c>
      <c r="C336" s="87" t="s">
        <v>293</v>
      </c>
      <c r="D336" s="88"/>
      <c r="E336" s="89">
        <v>66448184</v>
      </c>
      <c r="F336"/>
      <c r="G336" s="17" t="s">
        <v>6</v>
      </c>
      <c r="H336" s="132">
        <v>46084</v>
      </c>
      <c r="I336" s="127" t="s">
        <v>3250</v>
      </c>
      <c r="J336"/>
      <c r="K336"/>
      <c r="L336"/>
    </row>
    <row r="337" spans="1:12">
      <c r="A337" s="95" t="s">
        <v>282</v>
      </c>
      <c r="B337" t="s">
        <v>3239</v>
      </c>
      <c r="C337" s="87" t="s">
        <v>294</v>
      </c>
      <c r="D337" s="88"/>
      <c r="E337" s="89">
        <v>65126194</v>
      </c>
      <c r="F337"/>
      <c r="G337" s="17" t="s">
        <v>3</v>
      </c>
      <c r="H337" s="132">
        <v>46084</v>
      </c>
      <c r="I337" s="127" t="s">
        <v>3251</v>
      </c>
      <c r="J337"/>
      <c r="K337"/>
      <c r="L337"/>
    </row>
    <row r="338" spans="1:12">
      <c r="A338" s="95" t="s">
        <v>282</v>
      </c>
      <c r="B338" t="s">
        <v>3239</v>
      </c>
      <c r="C338" s="87" t="s">
        <v>295</v>
      </c>
      <c r="D338" s="88"/>
      <c r="E338" s="89">
        <v>66617517</v>
      </c>
      <c r="F338"/>
      <c r="G338" s="17" t="s">
        <v>6</v>
      </c>
      <c r="H338" s="132">
        <v>46084</v>
      </c>
      <c r="I338" s="127" t="s">
        <v>3252</v>
      </c>
      <c r="J338"/>
      <c r="K338"/>
      <c r="L338"/>
    </row>
    <row r="339" spans="1:12">
      <c r="A339" s="95" t="s">
        <v>282</v>
      </c>
      <c r="B339" t="s">
        <v>3239</v>
      </c>
      <c r="C339" s="87" t="s">
        <v>296</v>
      </c>
      <c r="D339" s="88"/>
      <c r="E339" s="89">
        <v>66609222</v>
      </c>
      <c r="F339"/>
      <c r="G339" s="17" t="s">
        <v>3</v>
      </c>
      <c r="H339" s="132">
        <v>46084</v>
      </c>
      <c r="I339" s="127" t="s">
        <v>3253</v>
      </c>
      <c r="J339"/>
      <c r="K339"/>
      <c r="L339"/>
    </row>
    <row r="340" spans="1:12">
      <c r="A340" s="95" t="s">
        <v>282</v>
      </c>
      <c r="B340" t="s">
        <v>3239</v>
      </c>
      <c r="C340" s="87" t="s">
        <v>297</v>
      </c>
      <c r="D340" s="88"/>
      <c r="E340" s="89">
        <v>68564059</v>
      </c>
      <c r="F340"/>
      <c r="G340" s="17" t="s">
        <v>2</v>
      </c>
      <c r="H340" s="132">
        <v>46084</v>
      </c>
      <c r="I340" s="127" t="s">
        <v>3254</v>
      </c>
      <c r="J340"/>
      <c r="K340"/>
      <c r="L340"/>
    </row>
    <row r="341" spans="1:12">
      <c r="A341" s="95" t="s">
        <v>282</v>
      </c>
      <c r="B341" t="s">
        <v>3239</v>
      </c>
      <c r="C341" s="87" t="s">
        <v>298</v>
      </c>
      <c r="D341" s="88"/>
      <c r="E341" s="89">
        <v>7751306</v>
      </c>
      <c r="F341"/>
      <c r="G341" s="17" t="s">
        <v>2</v>
      </c>
      <c r="H341" s="132">
        <v>46084</v>
      </c>
      <c r="I341" s="127" t="s">
        <v>3255</v>
      </c>
      <c r="J341"/>
      <c r="K341"/>
      <c r="L341"/>
    </row>
    <row r="342" spans="1:12">
      <c r="A342" s="95" t="s">
        <v>282</v>
      </c>
      <c r="B342" t="s">
        <v>3239</v>
      </c>
      <c r="C342" s="87" t="s">
        <v>299</v>
      </c>
      <c r="D342" s="88"/>
      <c r="E342" s="89">
        <v>7303199</v>
      </c>
      <c r="F342"/>
      <c r="G342" s="17" t="s">
        <v>2</v>
      </c>
      <c r="H342" s="132">
        <v>46084</v>
      </c>
      <c r="I342" s="127" t="s">
        <v>3256</v>
      </c>
      <c r="J342"/>
      <c r="K342"/>
      <c r="L342"/>
    </row>
    <row r="343" spans="1:12">
      <c r="A343" s="95" t="s">
        <v>282</v>
      </c>
      <c r="B343" t="s">
        <v>3239</v>
      </c>
      <c r="C343" s="87" t="s">
        <v>300</v>
      </c>
      <c r="D343" s="88"/>
      <c r="E343" s="89">
        <v>67019047</v>
      </c>
      <c r="F343"/>
      <c r="G343" s="17" t="s">
        <v>3</v>
      </c>
      <c r="H343" s="132">
        <v>46084</v>
      </c>
      <c r="I343" s="127" t="s">
        <v>3257</v>
      </c>
      <c r="J343"/>
      <c r="K343"/>
      <c r="L343"/>
    </row>
    <row r="344" spans="1:12">
      <c r="A344" s="95" t="s">
        <v>282</v>
      </c>
      <c r="B344" t="s">
        <v>3239</v>
      </c>
      <c r="C344" s="87" t="s">
        <v>301</v>
      </c>
      <c r="D344" s="88"/>
      <c r="E344" s="89">
        <v>66476191</v>
      </c>
      <c r="F344"/>
      <c r="G344" s="17" t="s">
        <v>1</v>
      </c>
      <c r="H344" s="132">
        <v>46084</v>
      </c>
      <c r="I344" s="127" t="s">
        <v>3258</v>
      </c>
      <c r="J344"/>
      <c r="K344"/>
      <c r="L344"/>
    </row>
    <row r="345" spans="1:12">
      <c r="A345" s="95" t="s">
        <v>282</v>
      </c>
      <c r="B345" t="s">
        <v>3239</v>
      </c>
      <c r="C345" s="87" t="s">
        <v>302</v>
      </c>
      <c r="D345" s="88"/>
      <c r="E345" s="89">
        <v>65020773</v>
      </c>
      <c r="F345"/>
      <c r="G345" s="17" t="s">
        <v>9</v>
      </c>
      <c r="H345" s="132">
        <v>46084</v>
      </c>
      <c r="I345" s="127" t="s">
        <v>3259</v>
      </c>
      <c r="J345"/>
      <c r="K345"/>
      <c r="L345"/>
    </row>
    <row r="346" spans="1:12">
      <c r="A346" s="95" t="s">
        <v>282</v>
      </c>
      <c r="B346" t="s">
        <v>3239</v>
      </c>
      <c r="C346" s="87" t="s">
        <v>303</v>
      </c>
      <c r="D346" s="88"/>
      <c r="E346" s="89">
        <v>68931466</v>
      </c>
      <c r="F346"/>
      <c r="G346" s="17" t="s">
        <v>6</v>
      </c>
      <c r="H346" s="132">
        <v>46084</v>
      </c>
      <c r="I346" s="127" t="s">
        <v>3260</v>
      </c>
      <c r="J346"/>
      <c r="K346"/>
      <c r="L346"/>
    </row>
    <row r="347" spans="1:12">
      <c r="A347" s="95" t="s">
        <v>282</v>
      </c>
      <c r="B347" t="s">
        <v>3239</v>
      </c>
      <c r="C347" s="87" t="s">
        <v>304</v>
      </c>
      <c r="D347" s="88"/>
      <c r="E347" s="89">
        <v>68640875</v>
      </c>
      <c r="F347"/>
      <c r="G347" s="17" t="s">
        <v>3</v>
      </c>
      <c r="H347" s="132">
        <v>46084</v>
      </c>
      <c r="I347" s="127" t="s">
        <v>3261</v>
      </c>
      <c r="J347"/>
      <c r="K347"/>
      <c r="L347"/>
    </row>
    <row r="348" spans="1:12">
      <c r="A348" s="95" t="s">
        <v>282</v>
      </c>
      <c r="B348" t="s">
        <v>3239</v>
      </c>
      <c r="C348" s="87" t="s">
        <v>305</v>
      </c>
      <c r="D348" s="88"/>
      <c r="E348" s="89">
        <v>69163664</v>
      </c>
      <c r="F348"/>
      <c r="G348" s="17" t="s">
        <v>3</v>
      </c>
      <c r="H348" s="132">
        <v>46084</v>
      </c>
      <c r="I348" s="127" t="s">
        <v>3262</v>
      </c>
      <c r="J348"/>
      <c r="K348"/>
      <c r="L348"/>
    </row>
    <row r="349" spans="1:12">
      <c r="A349" s="95" t="s">
        <v>282</v>
      </c>
      <c r="B349" t="s">
        <v>3239</v>
      </c>
      <c r="C349" s="87" t="s">
        <v>306</v>
      </c>
      <c r="D349" s="88"/>
      <c r="E349" s="89">
        <v>64976069</v>
      </c>
      <c r="F349"/>
      <c r="G349" s="17" t="s">
        <v>2</v>
      </c>
      <c r="H349" s="132">
        <v>46084</v>
      </c>
      <c r="I349" s="127" t="s">
        <v>3263</v>
      </c>
      <c r="J349"/>
      <c r="K349"/>
      <c r="L349"/>
    </row>
    <row r="350" spans="1:12">
      <c r="A350" s="95" t="s">
        <v>282</v>
      </c>
      <c r="B350" t="s">
        <v>3239</v>
      </c>
      <c r="C350" s="87" t="s">
        <v>307</v>
      </c>
      <c r="D350" s="88"/>
      <c r="E350" s="89">
        <v>63560133</v>
      </c>
      <c r="F350"/>
      <c r="G350" s="17" t="s">
        <v>6</v>
      </c>
      <c r="H350" s="132">
        <v>46084</v>
      </c>
      <c r="I350" s="127" t="s">
        <v>3264</v>
      </c>
      <c r="J350"/>
      <c r="K350"/>
      <c r="L350"/>
    </row>
    <row r="351" spans="1:12">
      <c r="A351" s="95" t="s">
        <v>282</v>
      </c>
      <c r="B351" t="s">
        <v>3239</v>
      </c>
      <c r="C351" s="87" t="s">
        <v>308</v>
      </c>
      <c r="D351" s="88"/>
      <c r="E351" s="89">
        <v>69803507</v>
      </c>
      <c r="F351"/>
      <c r="G351" s="17" t="s">
        <v>6</v>
      </c>
      <c r="H351" s="132">
        <v>46084</v>
      </c>
      <c r="I351" s="127" t="s">
        <v>3265</v>
      </c>
      <c r="J351"/>
      <c r="K351"/>
      <c r="L351"/>
    </row>
    <row r="352" spans="1:12">
      <c r="A352" s="95" t="s">
        <v>282</v>
      </c>
      <c r="B352" t="s">
        <v>3239</v>
      </c>
      <c r="C352" s="87" t="s">
        <v>309</v>
      </c>
      <c r="D352" s="88"/>
      <c r="E352" s="89">
        <v>66862480</v>
      </c>
      <c r="F352"/>
      <c r="G352" s="17" t="s">
        <v>3</v>
      </c>
      <c r="H352" s="132">
        <v>46084</v>
      </c>
      <c r="I352" s="127" t="s">
        <v>3266</v>
      </c>
      <c r="J352"/>
      <c r="K352"/>
      <c r="L352"/>
    </row>
    <row r="353" spans="1:12">
      <c r="A353" s="95" t="s">
        <v>282</v>
      </c>
      <c r="B353" t="s">
        <v>3239</v>
      </c>
      <c r="C353" s="87" t="s">
        <v>310</v>
      </c>
      <c r="D353" s="88"/>
      <c r="E353" s="89">
        <v>67713561</v>
      </c>
      <c r="F353"/>
      <c r="G353" s="17" t="s">
        <v>3</v>
      </c>
      <c r="H353" s="132">
        <v>46084</v>
      </c>
      <c r="I353" s="127" t="s">
        <v>3267</v>
      </c>
      <c r="J353"/>
      <c r="K353"/>
      <c r="L353"/>
    </row>
    <row r="354" spans="1:12">
      <c r="A354" s="95" t="s">
        <v>282</v>
      </c>
      <c r="B354" t="s">
        <v>3239</v>
      </c>
      <c r="C354" s="87" t="s">
        <v>311</v>
      </c>
      <c r="D354" s="88"/>
      <c r="E354" s="89">
        <v>66032251</v>
      </c>
      <c r="F354"/>
      <c r="G354" s="17" t="s">
        <v>2</v>
      </c>
      <c r="H354" s="132">
        <v>46084</v>
      </c>
      <c r="I354" s="127" t="s">
        <v>3268</v>
      </c>
      <c r="J354"/>
      <c r="K354"/>
      <c r="L354"/>
    </row>
    <row r="355" spans="1:12">
      <c r="A355" s="95" t="s">
        <v>282</v>
      </c>
      <c r="B355" t="s">
        <v>3239</v>
      </c>
      <c r="C355" s="87" t="s">
        <v>312</v>
      </c>
      <c r="D355" s="88"/>
      <c r="E355" s="89">
        <v>63740719</v>
      </c>
      <c r="F355"/>
      <c r="G355" s="17" t="s">
        <v>6</v>
      </c>
      <c r="H355" s="132">
        <v>46084</v>
      </c>
      <c r="I355" s="127" t="s">
        <v>3269</v>
      </c>
      <c r="J355"/>
      <c r="K355"/>
      <c r="L355"/>
    </row>
    <row r="356" spans="1:12">
      <c r="A356" s="95" t="s">
        <v>282</v>
      </c>
      <c r="B356" t="s">
        <v>3239</v>
      </c>
      <c r="C356" s="87" t="s">
        <v>313</v>
      </c>
      <c r="D356" s="88"/>
      <c r="E356" s="89">
        <v>61884689</v>
      </c>
      <c r="F356"/>
      <c r="G356" s="17" t="s">
        <v>9</v>
      </c>
      <c r="H356" s="132">
        <v>46084</v>
      </c>
      <c r="I356" s="127" t="s">
        <v>3270</v>
      </c>
      <c r="J356"/>
      <c r="K356"/>
      <c r="L356" t="s">
        <v>3271</v>
      </c>
    </row>
    <row r="357" spans="1:12">
      <c r="A357" s="95" t="s">
        <v>282</v>
      </c>
      <c r="B357" t="s">
        <v>3239</v>
      </c>
      <c r="C357" s="87" t="s">
        <v>314</v>
      </c>
      <c r="D357" s="88"/>
      <c r="E357" s="89">
        <v>67550494</v>
      </c>
      <c r="F357"/>
      <c r="G357" s="17" t="s">
        <v>3</v>
      </c>
      <c r="H357" s="132">
        <v>46084</v>
      </c>
      <c r="I357" s="127" t="s">
        <v>3272</v>
      </c>
      <c r="J357"/>
      <c r="K357"/>
      <c r="L357"/>
    </row>
    <row r="358" spans="1:12">
      <c r="A358" s="95" t="s">
        <v>282</v>
      </c>
      <c r="B358" t="s">
        <v>3239</v>
      </c>
      <c r="C358" s="87" t="s">
        <v>315</v>
      </c>
      <c r="D358" s="88"/>
      <c r="E358" s="89">
        <v>62310872</v>
      </c>
      <c r="F358"/>
      <c r="G358" s="17" t="s">
        <v>6</v>
      </c>
      <c r="H358" s="132">
        <v>46084</v>
      </c>
      <c r="I358" s="127" t="s">
        <v>3273</v>
      </c>
      <c r="J358"/>
      <c r="K358"/>
      <c r="L358"/>
    </row>
    <row r="359" spans="1:12">
      <c r="A359" s="95" t="s">
        <v>282</v>
      </c>
      <c r="B359" t="s">
        <v>3239</v>
      </c>
      <c r="C359" s="87" t="s">
        <v>316</v>
      </c>
      <c r="D359" s="88"/>
      <c r="E359" s="89">
        <v>67850982</v>
      </c>
      <c r="F359"/>
      <c r="G359" s="17" t="s">
        <v>2</v>
      </c>
      <c r="H359" s="132">
        <v>46084</v>
      </c>
      <c r="I359" s="127" t="s">
        <v>3274</v>
      </c>
      <c r="J359"/>
      <c r="K359"/>
      <c r="L359"/>
    </row>
    <row r="360" spans="1:12">
      <c r="A360" s="95" t="s">
        <v>282</v>
      </c>
      <c r="B360" t="s">
        <v>3239</v>
      </c>
      <c r="C360" s="87" t="s">
        <v>317</v>
      </c>
      <c r="D360" s="88"/>
      <c r="E360" s="89">
        <v>66994777</v>
      </c>
      <c r="F360"/>
      <c r="G360" s="17" t="s">
        <v>9</v>
      </c>
      <c r="H360" s="132">
        <v>46084</v>
      </c>
      <c r="I360" s="127" t="s">
        <v>3275</v>
      </c>
      <c r="J360"/>
      <c r="K360"/>
      <c r="L360"/>
    </row>
    <row r="361" spans="1:12">
      <c r="A361" s="95" t="s">
        <v>282</v>
      </c>
      <c r="B361" t="s">
        <v>3239</v>
      </c>
      <c r="C361" s="87" t="s">
        <v>318</v>
      </c>
      <c r="D361" s="88"/>
      <c r="E361" s="89">
        <v>66814620</v>
      </c>
      <c r="F361"/>
      <c r="G361" s="17" t="s">
        <v>9</v>
      </c>
      <c r="H361" s="132">
        <v>46084</v>
      </c>
      <c r="I361" s="127" t="s">
        <v>3276</v>
      </c>
      <c r="J361"/>
      <c r="K361"/>
      <c r="L361"/>
    </row>
    <row r="362" spans="1:12">
      <c r="A362" s="95" t="s">
        <v>282</v>
      </c>
      <c r="B362" t="s">
        <v>3239</v>
      </c>
      <c r="C362" s="87" t="s">
        <v>319</v>
      </c>
      <c r="D362" s="88"/>
      <c r="E362" s="89">
        <v>61274795</v>
      </c>
      <c r="F362"/>
      <c r="G362" s="17" t="s">
        <v>1</v>
      </c>
      <c r="H362" s="132">
        <v>46084</v>
      </c>
      <c r="I362" s="127" t="s">
        <v>3277</v>
      </c>
      <c r="J362"/>
      <c r="K362"/>
      <c r="L362"/>
    </row>
    <row r="363" spans="1:12">
      <c r="A363" s="95" t="s">
        <v>282</v>
      </c>
      <c r="B363" t="s">
        <v>3239</v>
      </c>
      <c r="C363" s="87" t="s">
        <v>320</v>
      </c>
      <c r="D363" s="88"/>
      <c r="E363" s="89">
        <v>67454990</v>
      </c>
      <c r="F363"/>
      <c r="G363" s="17" t="s">
        <v>3</v>
      </c>
      <c r="H363" s="132">
        <v>46084</v>
      </c>
      <c r="I363" s="127" t="s">
        <v>3278</v>
      </c>
      <c r="J363"/>
      <c r="K363"/>
      <c r="L363"/>
    </row>
    <row r="364" spans="1:12">
      <c r="A364" s="95" t="s">
        <v>282</v>
      </c>
      <c r="B364" t="s">
        <v>3239</v>
      </c>
      <c r="C364" s="87" t="s">
        <v>321</v>
      </c>
      <c r="D364" s="88"/>
      <c r="E364" s="89">
        <v>64579273</v>
      </c>
      <c r="F364"/>
      <c r="G364" s="17" t="s">
        <v>2</v>
      </c>
      <c r="H364" s="132">
        <v>46084</v>
      </c>
      <c r="I364" s="127" t="s">
        <v>3279</v>
      </c>
      <c r="J364"/>
      <c r="K364"/>
      <c r="L364"/>
    </row>
    <row r="365" spans="1:12">
      <c r="A365" s="95" t="s">
        <v>282</v>
      </c>
      <c r="B365" t="s">
        <v>3239</v>
      </c>
      <c r="C365" s="87" t="s">
        <v>322</v>
      </c>
      <c r="D365" s="88"/>
      <c r="E365" s="89">
        <v>65841226</v>
      </c>
      <c r="F365"/>
      <c r="G365" s="17" t="s">
        <v>1</v>
      </c>
      <c r="H365" s="132">
        <v>46084</v>
      </c>
      <c r="I365" s="127" t="s">
        <v>3280</v>
      </c>
      <c r="J365"/>
      <c r="K365"/>
      <c r="L365"/>
    </row>
    <row r="366" spans="1:12">
      <c r="A366" s="95" t="s">
        <v>282</v>
      </c>
      <c r="B366" t="s">
        <v>3239</v>
      </c>
      <c r="C366" s="87" t="s">
        <v>323</v>
      </c>
      <c r="D366" s="88"/>
      <c r="E366" s="89">
        <v>67492057</v>
      </c>
      <c r="F366"/>
      <c r="G366" s="17" t="s">
        <v>6</v>
      </c>
      <c r="H366" s="132">
        <v>46084</v>
      </c>
      <c r="I366" s="127" t="s">
        <v>3281</v>
      </c>
      <c r="J366"/>
      <c r="K366"/>
      <c r="L366"/>
    </row>
    <row r="367" spans="1:12">
      <c r="A367" s="95" t="s">
        <v>282</v>
      </c>
      <c r="B367" t="s">
        <v>3239</v>
      </c>
      <c r="C367" s="87" t="s">
        <v>324</v>
      </c>
      <c r="D367" s="88"/>
      <c r="E367" s="89">
        <v>66681534</v>
      </c>
      <c r="F367"/>
      <c r="G367" s="17" t="s">
        <v>3</v>
      </c>
      <c r="H367" s="132">
        <v>46084</v>
      </c>
      <c r="I367" s="127" t="s">
        <v>3282</v>
      </c>
      <c r="J367"/>
      <c r="K367"/>
      <c r="L367"/>
    </row>
    <row r="368" spans="1:12">
      <c r="A368" s="95" t="s">
        <v>282</v>
      </c>
      <c r="B368" t="s">
        <v>3239</v>
      </c>
      <c r="C368" s="87" t="s">
        <v>325</v>
      </c>
      <c r="D368" s="88"/>
      <c r="E368" s="89">
        <v>64342482</v>
      </c>
      <c r="F368"/>
      <c r="G368" s="17" t="s">
        <v>2</v>
      </c>
      <c r="H368" s="132">
        <v>46085</v>
      </c>
      <c r="I368" s="127" t="s">
        <v>3283</v>
      </c>
      <c r="J368"/>
      <c r="K368"/>
      <c r="L368"/>
    </row>
    <row r="369" spans="1:12">
      <c r="A369" s="95" t="s">
        <v>282</v>
      </c>
      <c r="B369" t="s">
        <v>3239</v>
      </c>
      <c r="C369" s="87" t="s">
        <v>326</v>
      </c>
      <c r="D369" s="88"/>
      <c r="E369" s="89">
        <v>66616474</v>
      </c>
      <c r="F369"/>
      <c r="G369" s="17" t="s">
        <v>3</v>
      </c>
      <c r="H369" s="132">
        <v>46085</v>
      </c>
      <c r="I369" s="127" t="s">
        <v>3284</v>
      </c>
      <c r="J369"/>
      <c r="K369"/>
      <c r="L369"/>
    </row>
    <row r="370" spans="1:12">
      <c r="A370" s="95" t="s">
        <v>282</v>
      </c>
      <c r="B370" t="s">
        <v>3239</v>
      </c>
      <c r="C370" s="87" t="s">
        <v>327</v>
      </c>
      <c r="D370" s="88"/>
      <c r="E370" s="89">
        <v>68439942</v>
      </c>
      <c r="F370"/>
      <c r="G370" s="17" t="s">
        <v>2</v>
      </c>
      <c r="H370" s="132">
        <v>46085</v>
      </c>
      <c r="I370" s="127" t="s">
        <v>3285</v>
      </c>
      <c r="J370"/>
      <c r="K370"/>
      <c r="L370"/>
    </row>
    <row r="371" spans="1:12">
      <c r="A371" s="95" t="s">
        <v>282</v>
      </c>
      <c r="B371" t="s">
        <v>3239</v>
      </c>
      <c r="C371" s="87" t="s">
        <v>328</v>
      </c>
      <c r="D371" s="88"/>
      <c r="E371" s="89">
        <v>61799682</v>
      </c>
      <c r="F371"/>
      <c r="G371" s="17" t="s">
        <v>9</v>
      </c>
      <c r="H371" s="132">
        <v>46085</v>
      </c>
      <c r="I371" s="127" t="s">
        <v>3286</v>
      </c>
      <c r="J371"/>
      <c r="K371"/>
      <c r="L371" t="s">
        <v>3287</v>
      </c>
    </row>
    <row r="372" spans="1:12">
      <c r="A372" s="95" t="s">
        <v>282</v>
      </c>
      <c r="B372" t="s">
        <v>3239</v>
      </c>
      <c r="C372" s="87" t="s">
        <v>329</v>
      </c>
      <c r="D372" s="88"/>
      <c r="E372" s="89">
        <v>67744661</v>
      </c>
      <c r="F372"/>
      <c r="G372" s="17" t="s">
        <v>9</v>
      </c>
      <c r="H372" s="132">
        <v>46085</v>
      </c>
      <c r="I372" s="127" t="s">
        <v>3288</v>
      </c>
      <c r="J372"/>
      <c r="K372"/>
      <c r="L372" t="s">
        <v>3271</v>
      </c>
    </row>
    <row r="373" spans="1:12">
      <c r="A373" s="95" t="s">
        <v>282</v>
      </c>
      <c r="B373" t="s">
        <v>3239</v>
      </c>
      <c r="C373" s="87" t="s">
        <v>330</v>
      </c>
      <c r="D373" s="88"/>
      <c r="E373" s="89">
        <v>69427015</v>
      </c>
      <c r="F373"/>
      <c r="G373" s="17" t="s">
        <v>4</v>
      </c>
      <c r="H373" s="132">
        <v>46085</v>
      </c>
      <c r="I373" s="127" t="s">
        <v>3289</v>
      </c>
      <c r="J373"/>
      <c r="K373"/>
      <c r="L373"/>
    </row>
    <row r="374" spans="1:12">
      <c r="A374" s="95" t="s">
        <v>282</v>
      </c>
      <c r="B374" t="s">
        <v>3239</v>
      </c>
      <c r="C374" s="87" t="s">
        <v>331</v>
      </c>
      <c r="D374" s="88"/>
      <c r="E374" s="89">
        <v>67763594</v>
      </c>
      <c r="F374"/>
      <c r="G374" s="17" t="s">
        <v>4</v>
      </c>
      <c r="H374" s="132">
        <v>46085</v>
      </c>
      <c r="I374" s="127" t="s">
        <v>3290</v>
      </c>
      <c r="J374"/>
      <c r="K374"/>
      <c r="L374" t="s">
        <v>3291</v>
      </c>
    </row>
    <row r="375" spans="1:12">
      <c r="A375" s="95" t="s">
        <v>282</v>
      </c>
      <c r="B375" t="s">
        <v>3239</v>
      </c>
      <c r="C375" s="87" t="s">
        <v>332</v>
      </c>
      <c r="D375" s="88"/>
      <c r="E375" s="89">
        <v>63409905</v>
      </c>
      <c r="F375"/>
      <c r="G375" s="17" t="s">
        <v>3</v>
      </c>
      <c r="H375" s="132">
        <v>46085</v>
      </c>
      <c r="I375" s="127" t="s">
        <v>3292</v>
      </c>
      <c r="J375"/>
      <c r="K375"/>
      <c r="L375"/>
    </row>
    <row r="376" spans="1:12">
      <c r="A376" s="95" t="s">
        <v>282</v>
      </c>
      <c r="B376" t="s">
        <v>3239</v>
      </c>
      <c r="C376" s="87" t="s">
        <v>333</v>
      </c>
      <c r="D376" s="88"/>
      <c r="E376" s="89">
        <v>67851652</v>
      </c>
      <c r="F376"/>
      <c r="G376" s="17" t="s">
        <v>6</v>
      </c>
      <c r="H376" s="132">
        <v>46085</v>
      </c>
      <c r="I376" s="127" t="s">
        <v>3293</v>
      </c>
      <c r="J376"/>
      <c r="K376"/>
      <c r="L376"/>
    </row>
    <row r="377" spans="1:12">
      <c r="A377" s="95" t="s">
        <v>282</v>
      </c>
      <c r="B377" t="s">
        <v>3239</v>
      </c>
      <c r="C377" s="87" t="s">
        <v>334</v>
      </c>
      <c r="D377" s="88"/>
      <c r="E377" s="89">
        <v>64992320</v>
      </c>
      <c r="F377"/>
      <c r="G377" s="17" t="s">
        <v>9</v>
      </c>
      <c r="H377" s="132">
        <v>46085</v>
      </c>
      <c r="I377" s="127" t="s">
        <v>3294</v>
      </c>
      <c r="J377"/>
      <c r="K377"/>
      <c r="L377"/>
    </row>
    <row r="378" spans="1:12">
      <c r="A378" s="95" t="s">
        <v>282</v>
      </c>
      <c r="B378" t="s">
        <v>3239</v>
      </c>
      <c r="C378" s="87" t="s">
        <v>335</v>
      </c>
      <c r="D378" s="88"/>
      <c r="E378" s="89">
        <v>65003021</v>
      </c>
      <c r="F378"/>
      <c r="G378" s="17" t="s">
        <v>6</v>
      </c>
      <c r="H378" s="132">
        <v>46085</v>
      </c>
      <c r="I378" s="127" t="s">
        <v>3295</v>
      </c>
      <c r="J378"/>
      <c r="K378"/>
      <c r="L378"/>
    </row>
    <row r="379" spans="1:12">
      <c r="A379" s="95" t="s">
        <v>282</v>
      </c>
      <c r="B379" t="s">
        <v>3239</v>
      </c>
      <c r="C379" s="87" t="s">
        <v>336</v>
      </c>
      <c r="D379" s="88"/>
      <c r="E379" s="89">
        <v>60232740</v>
      </c>
      <c r="F379"/>
      <c r="G379" s="17" t="s">
        <v>6</v>
      </c>
      <c r="H379" s="132">
        <v>46085</v>
      </c>
      <c r="I379" s="127" t="s">
        <v>3296</v>
      </c>
      <c r="J379"/>
      <c r="K379"/>
      <c r="L379"/>
    </row>
    <row r="380" spans="1:12">
      <c r="A380" s="95" t="s">
        <v>282</v>
      </c>
      <c r="B380" t="s">
        <v>3239</v>
      </c>
      <c r="C380" s="87" t="s">
        <v>337</v>
      </c>
      <c r="D380" s="88"/>
      <c r="E380" s="89">
        <v>67005830</v>
      </c>
      <c r="F380"/>
      <c r="G380" s="17" t="s">
        <v>2</v>
      </c>
      <c r="H380" s="132">
        <v>46085</v>
      </c>
      <c r="I380" s="127" t="s">
        <v>3297</v>
      </c>
      <c r="J380"/>
      <c r="K380"/>
      <c r="L380"/>
    </row>
    <row r="381" spans="1:12">
      <c r="A381" s="95" t="s">
        <v>282</v>
      </c>
      <c r="B381" t="s">
        <v>3239</v>
      </c>
      <c r="C381" s="87" t="s">
        <v>338</v>
      </c>
      <c r="D381" s="88"/>
      <c r="E381" s="89">
        <v>66531164</v>
      </c>
      <c r="F381"/>
      <c r="G381" s="17" t="s">
        <v>4</v>
      </c>
      <c r="H381" s="132">
        <v>46085</v>
      </c>
      <c r="I381" s="127" t="s">
        <v>3298</v>
      </c>
      <c r="J381"/>
      <c r="K381"/>
      <c r="L381" t="s">
        <v>3299</v>
      </c>
    </row>
    <row r="382" spans="1:12">
      <c r="A382" s="95" t="s">
        <v>282</v>
      </c>
      <c r="B382" t="s">
        <v>3239</v>
      </c>
      <c r="C382" s="87" t="s">
        <v>339</v>
      </c>
      <c r="D382" s="88"/>
      <c r="E382" s="89">
        <v>67989874</v>
      </c>
      <c r="F382"/>
      <c r="G382" s="17" t="s">
        <v>6</v>
      </c>
      <c r="H382" s="132">
        <v>46085</v>
      </c>
      <c r="I382" s="127" t="s">
        <v>3300</v>
      </c>
      <c r="J382"/>
      <c r="K382"/>
      <c r="L382"/>
    </row>
    <row r="383" spans="1:12">
      <c r="A383" s="95" t="s">
        <v>282</v>
      </c>
      <c r="B383" t="s">
        <v>3239</v>
      </c>
      <c r="C383" s="87" t="s">
        <v>340</v>
      </c>
      <c r="D383" s="88"/>
      <c r="E383" s="89">
        <v>7707416</v>
      </c>
      <c r="F383"/>
      <c r="G383" s="17" t="s">
        <v>2</v>
      </c>
      <c r="H383" s="132">
        <v>46085</v>
      </c>
      <c r="I383" s="127" t="s">
        <v>3301</v>
      </c>
      <c r="J383"/>
      <c r="K383"/>
      <c r="L383"/>
    </row>
    <row r="384" spans="1:12">
      <c r="A384" s="95" t="s">
        <v>282</v>
      </c>
      <c r="B384" t="s">
        <v>3239</v>
      </c>
      <c r="C384" s="87" t="s">
        <v>341</v>
      </c>
      <c r="D384" s="88"/>
      <c r="E384" s="89">
        <v>66092020</v>
      </c>
      <c r="F384"/>
      <c r="G384" s="17" t="s">
        <v>1</v>
      </c>
      <c r="H384" s="132">
        <v>46085</v>
      </c>
      <c r="I384" s="127" t="s">
        <v>3302</v>
      </c>
      <c r="J384"/>
      <c r="K384"/>
      <c r="L384"/>
    </row>
    <row r="385" spans="1:12">
      <c r="A385" s="95" t="s">
        <v>282</v>
      </c>
      <c r="B385" t="s">
        <v>3239</v>
      </c>
      <c r="C385" s="87" t="s">
        <v>342</v>
      </c>
      <c r="D385" s="88"/>
      <c r="E385" s="89">
        <v>68637881</v>
      </c>
      <c r="F385"/>
      <c r="G385" s="17" t="s">
        <v>3</v>
      </c>
      <c r="H385" s="132">
        <v>46085</v>
      </c>
      <c r="I385" s="127" t="s">
        <v>3303</v>
      </c>
      <c r="J385"/>
      <c r="K385"/>
      <c r="L385" t="s">
        <v>3304</v>
      </c>
    </row>
    <row r="386" spans="1:12">
      <c r="A386" s="95" t="s">
        <v>282</v>
      </c>
      <c r="B386" t="s">
        <v>3239</v>
      </c>
      <c r="C386" s="87" t="s">
        <v>343</v>
      </c>
      <c r="D386" s="88"/>
      <c r="E386" s="89">
        <v>63969260</v>
      </c>
      <c r="F386"/>
      <c r="G386" s="17" t="s">
        <v>1</v>
      </c>
      <c r="H386" s="132">
        <v>46085</v>
      </c>
      <c r="I386" s="127" t="s">
        <v>3305</v>
      </c>
      <c r="J386"/>
      <c r="K386"/>
      <c r="L386"/>
    </row>
    <row r="387" spans="1:12">
      <c r="A387" s="95" t="s">
        <v>282</v>
      </c>
      <c r="B387" t="s">
        <v>3239</v>
      </c>
      <c r="C387" s="87" t="s">
        <v>344</v>
      </c>
      <c r="D387" s="88"/>
      <c r="E387" s="89">
        <v>69593057</v>
      </c>
      <c r="F387"/>
      <c r="G387" s="17" t="s">
        <v>1</v>
      </c>
      <c r="H387" s="132">
        <v>46085</v>
      </c>
      <c r="I387" s="127" t="s">
        <v>3306</v>
      </c>
      <c r="J387"/>
      <c r="K387"/>
      <c r="L387"/>
    </row>
    <row r="388" spans="1:12">
      <c r="A388" s="95" t="s">
        <v>282</v>
      </c>
      <c r="B388" t="s">
        <v>3239</v>
      </c>
      <c r="C388" s="87" t="s">
        <v>345</v>
      </c>
      <c r="D388" s="88"/>
      <c r="E388" s="89">
        <v>67736935</v>
      </c>
      <c r="F388"/>
      <c r="G388" s="17" t="s">
        <v>9</v>
      </c>
      <c r="H388" s="132">
        <v>46085</v>
      </c>
      <c r="I388" s="127" t="s">
        <v>3307</v>
      </c>
      <c r="J388"/>
      <c r="K388"/>
      <c r="L388"/>
    </row>
    <row r="389" spans="1:12">
      <c r="A389" s="95" t="s">
        <v>282</v>
      </c>
      <c r="B389" t="s">
        <v>3239</v>
      </c>
      <c r="C389" s="87" t="s">
        <v>346</v>
      </c>
      <c r="D389" s="88"/>
      <c r="E389" s="89">
        <v>62337284</v>
      </c>
      <c r="F389"/>
      <c r="G389" s="17" t="s">
        <v>4</v>
      </c>
      <c r="H389" s="132">
        <v>46085</v>
      </c>
      <c r="I389" s="127" t="s">
        <v>3308</v>
      </c>
      <c r="J389"/>
      <c r="K389"/>
      <c r="L389"/>
    </row>
    <row r="390" spans="1:12">
      <c r="A390" s="95" t="s">
        <v>282</v>
      </c>
      <c r="B390" t="s">
        <v>3239</v>
      </c>
      <c r="C390" s="87" t="s">
        <v>347</v>
      </c>
      <c r="D390" s="88"/>
      <c r="E390" s="89">
        <v>69738398</v>
      </c>
      <c r="F390"/>
      <c r="G390" s="17" t="s">
        <v>9</v>
      </c>
      <c r="H390" s="132">
        <v>46085</v>
      </c>
      <c r="I390" s="127" t="s">
        <v>3309</v>
      </c>
      <c r="J390"/>
      <c r="K390"/>
      <c r="L390"/>
    </row>
    <row r="391" spans="1:12">
      <c r="A391" s="95" t="s">
        <v>282</v>
      </c>
      <c r="B391" t="s">
        <v>3239</v>
      </c>
      <c r="C391" s="87" t="s">
        <v>348</v>
      </c>
      <c r="D391" s="88"/>
      <c r="E391" s="89">
        <v>68065955</v>
      </c>
      <c r="F391"/>
      <c r="G391" s="17" t="s">
        <v>9</v>
      </c>
      <c r="H391" s="132">
        <v>46085</v>
      </c>
      <c r="I391" s="127" t="s">
        <v>3310</v>
      </c>
      <c r="J391"/>
      <c r="K391"/>
      <c r="L391" t="s">
        <v>3271</v>
      </c>
    </row>
    <row r="392" spans="1:12">
      <c r="A392" s="95" t="s">
        <v>282</v>
      </c>
      <c r="B392" t="s">
        <v>3239</v>
      </c>
      <c r="C392" s="87" t="s">
        <v>349</v>
      </c>
      <c r="D392" s="88"/>
      <c r="E392" s="89">
        <v>65914992</v>
      </c>
      <c r="F392"/>
      <c r="G392" s="17" t="s">
        <v>1</v>
      </c>
      <c r="H392" s="132">
        <v>46085</v>
      </c>
      <c r="I392" s="127" t="s">
        <v>3311</v>
      </c>
      <c r="J392"/>
      <c r="K392"/>
      <c r="L392"/>
    </row>
    <row r="393" spans="1:12">
      <c r="A393" s="95" t="s">
        <v>282</v>
      </c>
      <c r="B393" t="s">
        <v>3239</v>
      </c>
      <c r="C393" s="87" t="s">
        <v>350</v>
      </c>
      <c r="D393" s="88"/>
      <c r="E393" s="89">
        <v>66980723</v>
      </c>
      <c r="F393"/>
      <c r="G393" s="17" t="s">
        <v>6</v>
      </c>
      <c r="H393" s="132">
        <v>46085</v>
      </c>
      <c r="I393" s="127" t="s">
        <v>3312</v>
      </c>
      <c r="J393"/>
      <c r="K393"/>
      <c r="L393"/>
    </row>
    <row r="394" spans="1:12">
      <c r="A394" s="95" t="s">
        <v>282</v>
      </c>
      <c r="B394" t="s">
        <v>3239</v>
      </c>
      <c r="C394" s="87" t="s">
        <v>351</v>
      </c>
      <c r="D394" s="88"/>
      <c r="E394" s="89">
        <v>66019405</v>
      </c>
      <c r="F394"/>
      <c r="G394" s="17" t="s">
        <v>9</v>
      </c>
      <c r="H394" s="132">
        <v>46085</v>
      </c>
      <c r="I394" s="127" t="s">
        <v>3313</v>
      </c>
      <c r="J394"/>
      <c r="K394"/>
      <c r="L394"/>
    </row>
    <row r="395" spans="1:12">
      <c r="A395" s="95" t="s">
        <v>282</v>
      </c>
      <c r="B395" t="s">
        <v>3239</v>
      </c>
      <c r="C395" s="87" t="s">
        <v>352</v>
      </c>
      <c r="D395" s="88"/>
      <c r="E395" s="89">
        <v>62064764</v>
      </c>
      <c r="F395"/>
      <c r="G395" s="17" t="s">
        <v>3</v>
      </c>
      <c r="H395" s="132">
        <v>46085</v>
      </c>
      <c r="I395" s="127" t="s">
        <v>3314</v>
      </c>
      <c r="J395"/>
      <c r="K395"/>
      <c r="L395"/>
    </row>
    <row r="396" spans="1:12">
      <c r="A396" s="95" t="s">
        <v>282</v>
      </c>
      <c r="B396" t="s">
        <v>3239</v>
      </c>
      <c r="C396" s="87" t="s">
        <v>353</v>
      </c>
      <c r="D396" s="88"/>
      <c r="E396" s="89">
        <v>64095684</v>
      </c>
      <c r="F396"/>
      <c r="G396" s="17" t="s">
        <v>3</v>
      </c>
      <c r="H396" s="132">
        <v>46085</v>
      </c>
      <c r="I396" s="127" t="s">
        <v>3315</v>
      </c>
      <c r="J396"/>
      <c r="K396"/>
      <c r="L396"/>
    </row>
    <row r="397" spans="1:12">
      <c r="A397" s="95" t="s">
        <v>282</v>
      </c>
      <c r="B397" t="s">
        <v>3239</v>
      </c>
      <c r="C397" s="87" t="s">
        <v>354</v>
      </c>
      <c r="D397" s="88"/>
      <c r="E397" s="89">
        <v>65387111</v>
      </c>
      <c r="F397"/>
      <c r="G397" s="17" t="s">
        <v>2</v>
      </c>
      <c r="H397" s="132">
        <v>46085</v>
      </c>
      <c r="I397" s="127" t="s">
        <v>3316</v>
      </c>
      <c r="J397"/>
      <c r="K397"/>
      <c r="L397" t="s">
        <v>3317</v>
      </c>
    </row>
    <row r="398" spans="1:12">
      <c r="A398" s="95" t="s">
        <v>282</v>
      </c>
      <c r="B398" t="s">
        <v>3239</v>
      </c>
      <c r="C398" s="87" t="s">
        <v>355</v>
      </c>
      <c r="D398" s="88"/>
      <c r="E398" s="89">
        <v>64804443</v>
      </c>
      <c r="F398"/>
      <c r="G398" s="17" t="s">
        <v>6</v>
      </c>
      <c r="H398" s="132">
        <v>46085</v>
      </c>
      <c r="I398" s="127" t="s">
        <v>3318</v>
      </c>
      <c r="J398"/>
      <c r="K398"/>
      <c r="L398"/>
    </row>
    <row r="399" spans="1:12">
      <c r="A399" s="95" t="s">
        <v>282</v>
      </c>
      <c r="B399" t="s">
        <v>3239</v>
      </c>
      <c r="C399" s="87" t="s">
        <v>356</v>
      </c>
      <c r="D399" s="88"/>
      <c r="E399" s="89">
        <v>7887083</v>
      </c>
      <c r="F399"/>
      <c r="G399" s="17" t="s">
        <v>2</v>
      </c>
      <c r="H399" s="132">
        <v>46085</v>
      </c>
      <c r="I399" s="127" t="s">
        <v>3319</v>
      </c>
      <c r="J399"/>
      <c r="K399"/>
      <c r="L399"/>
    </row>
    <row r="400" spans="1:12">
      <c r="A400" s="95" t="s">
        <v>282</v>
      </c>
      <c r="B400" t="s">
        <v>3239</v>
      </c>
      <c r="C400" s="87" t="s">
        <v>357</v>
      </c>
      <c r="D400" s="88"/>
      <c r="E400" s="89">
        <v>7752689</v>
      </c>
      <c r="F400" t="s">
        <v>3320</v>
      </c>
      <c r="G400" s="17" t="s">
        <v>1</v>
      </c>
      <c r="H400" s="132">
        <v>46085</v>
      </c>
      <c r="I400" s="127" t="s">
        <v>3321</v>
      </c>
      <c r="J400"/>
      <c r="K400"/>
      <c r="L400" t="s">
        <v>3322</v>
      </c>
    </row>
    <row r="401" spans="1:12">
      <c r="A401" s="95" t="s">
        <v>282</v>
      </c>
      <c r="B401" t="s">
        <v>3239</v>
      </c>
      <c r="C401" s="87" t="s">
        <v>358</v>
      </c>
      <c r="D401" s="88"/>
      <c r="E401" s="89">
        <v>66149087</v>
      </c>
      <c r="F401"/>
      <c r="G401" s="17" t="s">
        <v>3</v>
      </c>
      <c r="H401" s="132">
        <v>46085</v>
      </c>
      <c r="I401" s="127" t="s">
        <v>3323</v>
      </c>
      <c r="J401"/>
      <c r="K401"/>
      <c r="L401" t="s">
        <v>3324</v>
      </c>
    </row>
    <row r="402" spans="1:12">
      <c r="A402" s="95" t="s">
        <v>282</v>
      </c>
      <c r="B402" t="s">
        <v>3239</v>
      </c>
      <c r="C402" s="87" t="s">
        <v>359</v>
      </c>
      <c r="D402" s="88"/>
      <c r="E402" s="89">
        <v>64143047</v>
      </c>
      <c r="F402"/>
      <c r="G402" s="17" t="s">
        <v>3</v>
      </c>
      <c r="H402" s="132">
        <v>46085</v>
      </c>
      <c r="I402" s="127" t="s">
        <v>3325</v>
      </c>
      <c r="J402"/>
      <c r="K402"/>
      <c r="L402" t="s">
        <v>3326</v>
      </c>
    </row>
    <row r="403" spans="1:12">
      <c r="A403" s="95" t="s">
        <v>282</v>
      </c>
      <c r="B403" t="s">
        <v>3239</v>
      </c>
      <c r="C403" s="87" t="s">
        <v>360</v>
      </c>
      <c r="D403" s="88"/>
      <c r="E403" s="89">
        <v>7755357</v>
      </c>
      <c r="F403"/>
      <c r="G403" s="17" t="s">
        <v>3</v>
      </c>
      <c r="H403" s="132">
        <v>46085</v>
      </c>
      <c r="I403" s="127" t="s">
        <v>3327</v>
      </c>
      <c r="J403"/>
      <c r="K403"/>
      <c r="L403"/>
    </row>
    <row r="404" spans="1:12">
      <c r="A404" s="95" t="s">
        <v>282</v>
      </c>
      <c r="B404" t="s">
        <v>3239</v>
      </c>
      <c r="C404" s="87" t="s">
        <v>361</v>
      </c>
      <c r="D404" s="88"/>
      <c r="E404" s="89">
        <v>68231511</v>
      </c>
      <c r="F404"/>
      <c r="G404" s="17" t="s">
        <v>6</v>
      </c>
      <c r="H404" s="132">
        <v>46085</v>
      </c>
      <c r="I404" s="127" t="s">
        <v>3328</v>
      </c>
      <c r="J404"/>
      <c r="K404"/>
      <c r="L404"/>
    </row>
    <row r="405" spans="1:12">
      <c r="A405" s="95" t="s">
        <v>282</v>
      </c>
      <c r="B405" t="s">
        <v>3239</v>
      </c>
      <c r="C405" s="87" t="s">
        <v>362</v>
      </c>
      <c r="D405" s="88"/>
      <c r="E405" s="89">
        <v>68238680</v>
      </c>
      <c r="F405"/>
      <c r="G405" s="17" t="s">
        <v>8</v>
      </c>
      <c r="H405" s="132">
        <v>46085</v>
      </c>
      <c r="I405" s="127" t="s">
        <v>3329</v>
      </c>
      <c r="J405"/>
      <c r="K405"/>
      <c r="L405" t="s">
        <v>3322</v>
      </c>
    </row>
    <row r="406" spans="1:12">
      <c r="A406" s="95" t="s">
        <v>282</v>
      </c>
      <c r="B406" t="s">
        <v>3239</v>
      </c>
      <c r="C406" s="87" t="s">
        <v>363</v>
      </c>
      <c r="D406" s="88"/>
      <c r="E406" s="89">
        <v>66791956</v>
      </c>
      <c r="F406"/>
      <c r="G406" s="17" t="s">
        <v>1</v>
      </c>
      <c r="H406" s="132">
        <v>46085</v>
      </c>
      <c r="I406" s="127" t="s">
        <v>3330</v>
      </c>
      <c r="J406"/>
      <c r="K406"/>
      <c r="L406"/>
    </row>
    <row r="407" spans="1:12">
      <c r="A407" s="95" t="s">
        <v>282</v>
      </c>
      <c r="B407" t="s">
        <v>3239</v>
      </c>
      <c r="C407" s="87" t="s">
        <v>364</v>
      </c>
      <c r="D407" s="88"/>
      <c r="E407" s="89">
        <v>62927711</v>
      </c>
      <c r="F407"/>
      <c r="G407" s="17" t="s">
        <v>6</v>
      </c>
      <c r="H407" s="132">
        <v>46085</v>
      </c>
      <c r="I407" s="127" t="s">
        <v>3331</v>
      </c>
      <c r="J407"/>
      <c r="K407"/>
      <c r="L407"/>
    </row>
    <row r="408" spans="1:12">
      <c r="A408" s="95" t="s">
        <v>282</v>
      </c>
      <c r="B408" t="s">
        <v>3239</v>
      </c>
      <c r="C408" s="87" t="s">
        <v>365</v>
      </c>
      <c r="D408" s="88"/>
      <c r="E408" s="89">
        <v>67702140</v>
      </c>
      <c r="F408"/>
      <c r="G408" s="17" t="s">
        <v>9</v>
      </c>
      <c r="H408" s="132">
        <v>46085</v>
      </c>
      <c r="I408" s="127" t="s">
        <v>3332</v>
      </c>
      <c r="J408"/>
      <c r="K408"/>
      <c r="L408"/>
    </row>
    <row r="409" spans="1:12">
      <c r="A409" s="95" t="s">
        <v>282</v>
      </c>
      <c r="B409" t="s">
        <v>3239</v>
      </c>
      <c r="C409" s="87" t="s">
        <v>366</v>
      </c>
      <c r="D409" s="88"/>
      <c r="E409" s="89">
        <v>69550066</v>
      </c>
      <c r="F409"/>
      <c r="G409" s="17" t="s">
        <v>9</v>
      </c>
      <c r="H409" s="132">
        <v>46085</v>
      </c>
      <c r="I409" s="127" t="s">
        <v>3333</v>
      </c>
      <c r="J409"/>
      <c r="K409"/>
      <c r="L409" t="s">
        <v>3334</v>
      </c>
    </row>
    <row r="410" spans="1:12">
      <c r="A410" s="95" t="s">
        <v>282</v>
      </c>
      <c r="B410" t="s">
        <v>3239</v>
      </c>
      <c r="C410" s="87" t="s">
        <v>367</v>
      </c>
      <c r="D410" s="88"/>
      <c r="E410" s="89">
        <v>7749319</v>
      </c>
      <c r="F410"/>
      <c r="G410" s="17" t="s">
        <v>6</v>
      </c>
      <c r="H410" s="132">
        <v>46085</v>
      </c>
      <c r="I410" s="127" t="s">
        <v>3335</v>
      </c>
      <c r="J410"/>
      <c r="K410"/>
      <c r="L410"/>
    </row>
    <row r="411" spans="1:12">
      <c r="A411" s="95" t="s">
        <v>282</v>
      </c>
      <c r="B411" t="s">
        <v>3239</v>
      </c>
      <c r="C411" s="87" t="s">
        <v>368</v>
      </c>
      <c r="D411" s="88"/>
      <c r="E411" s="89">
        <v>7740260</v>
      </c>
      <c r="F411"/>
      <c r="G411" s="17" t="s">
        <v>9</v>
      </c>
      <c r="H411" s="132">
        <v>46085</v>
      </c>
      <c r="I411" s="127" t="s">
        <v>3336</v>
      </c>
      <c r="J411"/>
      <c r="K411"/>
      <c r="L411" t="s">
        <v>3337</v>
      </c>
    </row>
    <row r="412" spans="1:12">
      <c r="A412" s="95" t="s">
        <v>282</v>
      </c>
      <c r="B412" t="s">
        <v>3239</v>
      </c>
      <c r="C412" s="87" t="s">
        <v>369</v>
      </c>
      <c r="D412" s="88"/>
      <c r="E412" s="89">
        <v>7753337</v>
      </c>
      <c r="F412"/>
      <c r="G412" s="17" t="s">
        <v>9</v>
      </c>
      <c r="H412" s="132">
        <v>46085</v>
      </c>
      <c r="I412" s="127" t="s">
        <v>3338</v>
      </c>
      <c r="J412"/>
      <c r="K412"/>
      <c r="L412" t="s">
        <v>3339</v>
      </c>
    </row>
    <row r="413" spans="1:12">
      <c r="A413" s="95" t="s">
        <v>282</v>
      </c>
      <c r="B413" t="s">
        <v>3239</v>
      </c>
      <c r="C413" s="87" t="s">
        <v>370</v>
      </c>
      <c r="D413" s="88"/>
      <c r="E413" s="89">
        <v>7881599</v>
      </c>
      <c r="F413"/>
      <c r="G413" s="17" t="s">
        <v>9</v>
      </c>
      <c r="H413" s="132">
        <v>46085</v>
      </c>
      <c r="I413" s="127" t="s">
        <v>3340</v>
      </c>
      <c r="J413"/>
      <c r="K413"/>
      <c r="L413" t="s">
        <v>3341</v>
      </c>
    </row>
    <row r="414" spans="1:12">
      <c r="A414" s="95" t="s">
        <v>282</v>
      </c>
      <c r="B414" t="s">
        <v>3239</v>
      </c>
      <c r="C414" s="87" t="s">
        <v>371</v>
      </c>
      <c r="D414" s="88"/>
      <c r="E414" s="89">
        <v>7743209</v>
      </c>
      <c r="F414"/>
      <c r="G414" s="17" t="s">
        <v>3</v>
      </c>
      <c r="H414" s="132">
        <v>46085</v>
      </c>
      <c r="I414" s="127" t="s">
        <v>3342</v>
      </c>
      <c r="J414"/>
      <c r="K414"/>
      <c r="L414" t="s">
        <v>3343</v>
      </c>
    </row>
    <row r="415" spans="1:12">
      <c r="A415" s="95" t="s">
        <v>282</v>
      </c>
      <c r="B415" t="s">
        <v>3239</v>
      </c>
      <c r="C415" s="87" t="s">
        <v>372</v>
      </c>
      <c r="D415" s="88"/>
      <c r="E415" s="89">
        <v>65135859</v>
      </c>
      <c r="F415"/>
      <c r="G415" s="17" t="s">
        <v>6</v>
      </c>
      <c r="H415" s="132">
        <v>46085</v>
      </c>
      <c r="I415" s="127" t="s">
        <v>3344</v>
      </c>
      <c r="J415"/>
      <c r="K415"/>
      <c r="L415"/>
    </row>
    <row r="416" spans="1:12">
      <c r="A416" s="95" t="s">
        <v>282</v>
      </c>
      <c r="B416" t="s">
        <v>3239</v>
      </c>
      <c r="C416" s="87" t="s">
        <v>373</v>
      </c>
      <c r="D416" s="88"/>
      <c r="E416" s="89">
        <v>65941795</v>
      </c>
      <c r="F416"/>
      <c r="G416" s="17" t="s">
        <v>6</v>
      </c>
      <c r="H416" s="132">
        <v>46085</v>
      </c>
      <c r="I416" s="127" t="s">
        <v>3345</v>
      </c>
      <c r="J416"/>
      <c r="K416"/>
      <c r="L416"/>
    </row>
    <row r="417" spans="1:12">
      <c r="A417" s="95" t="s">
        <v>282</v>
      </c>
      <c r="B417" t="s">
        <v>3239</v>
      </c>
      <c r="C417" s="87" t="s">
        <v>374</v>
      </c>
      <c r="D417" s="88"/>
      <c r="E417" s="89">
        <v>65118165</v>
      </c>
      <c r="F417"/>
      <c r="G417" s="17" t="s">
        <v>1</v>
      </c>
      <c r="H417" s="132">
        <v>46085</v>
      </c>
      <c r="I417" s="127" t="s">
        <v>3346</v>
      </c>
      <c r="J417"/>
      <c r="K417"/>
      <c r="L417"/>
    </row>
    <row r="418" spans="1:12">
      <c r="A418" s="95" t="s">
        <v>282</v>
      </c>
      <c r="B418" t="s">
        <v>3239</v>
      </c>
      <c r="C418" s="87" t="s">
        <v>375</v>
      </c>
      <c r="D418" s="88"/>
      <c r="E418" s="89">
        <v>63033110</v>
      </c>
      <c r="F418"/>
      <c r="G418" s="17" t="s">
        <v>9</v>
      </c>
      <c r="H418" s="132">
        <v>46085</v>
      </c>
      <c r="I418" s="127" t="s">
        <v>3347</v>
      </c>
      <c r="J418"/>
      <c r="K418"/>
      <c r="L418"/>
    </row>
    <row r="419" spans="1:12">
      <c r="A419" s="95" t="s">
        <v>282</v>
      </c>
      <c r="B419" t="s">
        <v>3239</v>
      </c>
      <c r="C419" s="87" t="s">
        <v>376</v>
      </c>
      <c r="D419" s="88"/>
      <c r="E419" s="89">
        <v>69665406</v>
      </c>
      <c r="F419"/>
      <c r="G419" s="17" t="s">
        <v>1</v>
      </c>
      <c r="H419" s="132">
        <v>46085</v>
      </c>
      <c r="I419" s="127" t="s">
        <v>3348</v>
      </c>
      <c r="J419"/>
      <c r="K419"/>
      <c r="L419"/>
    </row>
    <row r="420" spans="1:12">
      <c r="A420" s="95" t="s">
        <v>282</v>
      </c>
      <c r="B420" t="s">
        <v>3239</v>
      </c>
      <c r="C420" s="87" t="s">
        <v>377</v>
      </c>
      <c r="D420" s="88"/>
      <c r="E420" s="89">
        <v>65809037</v>
      </c>
      <c r="F420"/>
      <c r="G420" s="17" t="s">
        <v>6</v>
      </c>
      <c r="H420" s="132">
        <v>46085</v>
      </c>
      <c r="I420" s="127" t="s">
        <v>3349</v>
      </c>
      <c r="J420"/>
      <c r="K420"/>
      <c r="L420"/>
    </row>
    <row r="421" spans="1:12">
      <c r="A421" s="95" t="s">
        <v>282</v>
      </c>
      <c r="B421" t="s">
        <v>3239</v>
      </c>
      <c r="C421" s="87" t="s">
        <v>378</v>
      </c>
      <c r="D421" s="88"/>
      <c r="E421" s="89">
        <v>68135479</v>
      </c>
      <c r="F421"/>
      <c r="G421" s="17" t="s">
        <v>3</v>
      </c>
      <c r="H421" s="132">
        <v>46085</v>
      </c>
      <c r="I421" s="127" t="s">
        <v>3350</v>
      </c>
      <c r="J421"/>
      <c r="K421"/>
      <c r="L421"/>
    </row>
    <row r="422" spans="1:12">
      <c r="A422" s="95" t="s">
        <v>282</v>
      </c>
      <c r="B422" t="s">
        <v>3239</v>
      </c>
      <c r="C422" s="87" t="s">
        <v>379</v>
      </c>
      <c r="D422" s="88"/>
      <c r="E422" s="89">
        <v>62985166</v>
      </c>
      <c r="F422"/>
      <c r="G422" s="17" t="s">
        <v>6</v>
      </c>
      <c r="H422" s="132">
        <v>46085</v>
      </c>
      <c r="I422" s="127" t="s">
        <v>3351</v>
      </c>
      <c r="J422"/>
      <c r="K422"/>
      <c r="L422"/>
    </row>
    <row r="423" spans="1:12">
      <c r="A423" s="95" t="s">
        <v>282</v>
      </c>
      <c r="B423" t="s">
        <v>3239</v>
      </c>
      <c r="C423" s="87" t="s">
        <v>380</v>
      </c>
      <c r="D423" s="88"/>
      <c r="E423" s="89">
        <v>62884184</v>
      </c>
      <c r="F423"/>
      <c r="G423" s="17" t="s">
        <v>3</v>
      </c>
      <c r="H423" s="132">
        <v>46085</v>
      </c>
      <c r="I423" s="127" t="s">
        <v>3352</v>
      </c>
      <c r="J423"/>
      <c r="K423"/>
      <c r="L423"/>
    </row>
    <row r="424" spans="1:12">
      <c r="A424" s="95" t="s">
        <v>282</v>
      </c>
      <c r="B424" t="s">
        <v>3239</v>
      </c>
      <c r="C424" s="87" t="s">
        <v>381</v>
      </c>
      <c r="D424" s="88"/>
      <c r="E424" s="89">
        <v>67165800</v>
      </c>
      <c r="F424"/>
      <c r="G424" s="17" t="s">
        <v>3</v>
      </c>
      <c r="H424" s="132">
        <v>46085</v>
      </c>
      <c r="I424" s="127" t="s">
        <v>3353</v>
      </c>
      <c r="J424"/>
      <c r="K424"/>
      <c r="L424"/>
    </row>
    <row r="425" spans="1:12">
      <c r="A425" s="95" t="s">
        <v>282</v>
      </c>
      <c r="B425" t="s">
        <v>3239</v>
      </c>
      <c r="C425" s="87" t="s">
        <v>382</v>
      </c>
      <c r="D425" s="88"/>
      <c r="E425" s="89">
        <v>63256669</v>
      </c>
      <c r="F425"/>
      <c r="G425" s="17" t="s">
        <v>1</v>
      </c>
      <c r="H425" s="132">
        <v>46085</v>
      </c>
      <c r="I425" s="127" t="s">
        <v>3354</v>
      </c>
      <c r="J425"/>
      <c r="K425"/>
      <c r="L425"/>
    </row>
    <row r="426" spans="1:12">
      <c r="A426" s="95" t="s">
        <v>282</v>
      </c>
      <c r="B426" t="s">
        <v>3239</v>
      </c>
      <c r="C426" s="87" t="s">
        <v>383</v>
      </c>
      <c r="D426" s="88"/>
      <c r="E426" s="89">
        <v>7712811</v>
      </c>
      <c r="F426"/>
      <c r="G426" s="17" t="s">
        <v>6</v>
      </c>
      <c r="H426" s="132">
        <v>46085</v>
      </c>
      <c r="I426" s="127" t="s">
        <v>3355</v>
      </c>
      <c r="J426"/>
      <c r="K426"/>
      <c r="L426"/>
    </row>
    <row r="427" spans="1:12">
      <c r="A427" s="95" t="s">
        <v>282</v>
      </c>
      <c r="B427" t="s">
        <v>3239</v>
      </c>
      <c r="C427" s="87" t="s">
        <v>384</v>
      </c>
      <c r="D427" s="88"/>
      <c r="E427" s="89">
        <v>69216799</v>
      </c>
      <c r="F427"/>
      <c r="G427" s="17" t="s">
        <v>6</v>
      </c>
      <c r="H427" s="132">
        <v>46085</v>
      </c>
      <c r="I427" s="127" t="s">
        <v>3356</v>
      </c>
      <c r="J427"/>
      <c r="K427"/>
      <c r="L427"/>
    </row>
    <row r="428" spans="1:12">
      <c r="A428" s="95" t="s">
        <v>282</v>
      </c>
      <c r="B428" t="s">
        <v>3239</v>
      </c>
      <c r="C428" s="87" t="s">
        <v>385</v>
      </c>
      <c r="D428" s="88"/>
      <c r="E428" s="89">
        <v>68483889</v>
      </c>
      <c r="F428"/>
      <c r="G428" s="17" t="s">
        <v>3</v>
      </c>
      <c r="H428" s="132">
        <v>46085</v>
      </c>
      <c r="I428" s="127" t="s">
        <v>3357</v>
      </c>
      <c r="J428"/>
      <c r="K428"/>
      <c r="L428"/>
    </row>
    <row r="429" spans="1:12">
      <c r="A429" s="95" t="s">
        <v>282</v>
      </c>
      <c r="B429" t="s">
        <v>3239</v>
      </c>
      <c r="C429" s="87" t="s">
        <v>386</v>
      </c>
      <c r="D429" s="88"/>
      <c r="E429" s="89">
        <v>7715632</v>
      </c>
      <c r="F429"/>
      <c r="G429" s="17" t="s">
        <v>9</v>
      </c>
      <c r="H429" s="132">
        <v>46085</v>
      </c>
      <c r="I429" s="127" t="s">
        <v>3358</v>
      </c>
      <c r="J429"/>
      <c r="K429"/>
      <c r="L429" t="s">
        <v>3287</v>
      </c>
    </row>
    <row r="430" spans="1:12">
      <c r="A430" s="95" t="s">
        <v>282</v>
      </c>
      <c r="B430" t="s">
        <v>3239</v>
      </c>
      <c r="C430" s="87" t="s">
        <v>387</v>
      </c>
      <c r="D430" s="88"/>
      <c r="E430" s="89">
        <v>67414183</v>
      </c>
      <c r="F430"/>
      <c r="G430" s="17" t="s">
        <v>3</v>
      </c>
      <c r="H430" s="132">
        <v>46085</v>
      </c>
      <c r="I430" s="127" t="s">
        <v>3359</v>
      </c>
      <c r="J430"/>
      <c r="K430"/>
      <c r="L430"/>
    </row>
    <row r="431" spans="1:12">
      <c r="A431" s="95" t="s">
        <v>282</v>
      </c>
      <c r="B431" t="s">
        <v>3239</v>
      </c>
      <c r="C431" s="87" t="s">
        <v>388</v>
      </c>
      <c r="D431" s="88"/>
      <c r="E431" s="89">
        <v>67322404</v>
      </c>
      <c r="F431"/>
      <c r="G431" s="17" t="s">
        <v>6</v>
      </c>
      <c r="H431" s="132">
        <v>46085</v>
      </c>
      <c r="I431" s="127" t="s">
        <v>3360</v>
      </c>
      <c r="J431"/>
      <c r="K431"/>
      <c r="L431"/>
    </row>
    <row r="432" spans="1:12">
      <c r="A432" s="95" t="s">
        <v>282</v>
      </c>
      <c r="B432" t="s">
        <v>3239</v>
      </c>
      <c r="C432" s="87" t="s">
        <v>389</v>
      </c>
      <c r="D432" s="88"/>
      <c r="E432" s="89">
        <v>63932885</v>
      </c>
      <c r="F432"/>
      <c r="G432" s="17" t="s">
        <v>9</v>
      </c>
      <c r="H432" s="132">
        <v>46085</v>
      </c>
      <c r="I432" s="127" t="s">
        <v>3361</v>
      </c>
      <c r="J432"/>
      <c r="K432"/>
      <c r="L432"/>
    </row>
    <row r="433" spans="1:12">
      <c r="A433" s="95" t="s">
        <v>282</v>
      </c>
      <c r="B433" t="s">
        <v>3239</v>
      </c>
      <c r="C433" s="87" t="s">
        <v>390</v>
      </c>
      <c r="D433" s="88"/>
      <c r="E433" s="89">
        <v>66545726</v>
      </c>
      <c r="F433"/>
      <c r="G433" s="17" t="s">
        <v>6</v>
      </c>
      <c r="H433" s="132">
        <v>46085</v>
      </c>
      <c r="I433" s="127" t="s">
        <v>3362</v>
      </c>
      <c r="J433"/>
      <c r="K433"/>
      <c r="L433"/>
    </row>
    <row r="434" spans="1:12">
      <c r="A434" s="95" t="s">
        <v>282</v>
      </c>
      <c r="B434" t="s">
        <v>3239</v>
      </c>
      <c r="C434" s="87" t="s">
        <v>391</v>
      </c>
      <c r="D434" s="88"/>
      <c r="E434" s="89">
        <v>67075265</v>
      </c>
      <c r="F434"/>
      <c r="G434" s="17" t="s">
        <v>3</v>
      </c>
      <c r="H434" s="132">
        <v>46085</v>
      </c>
      <c r="I434" s="127" t="s">
        <v>3363</v>
      </c>
      <c r="J434"/>
      <c r="K434"/>
      <c r="L434"/>
    </row>
    <row r="435" spans="1:12">
      <c r="A435" s="95" t="s">
        <v>282</v>
      </c>
      <c r="B435" t="s">
        <v>3239</v>
      </c>
      <c r="C435" s="87" t="s">
        <v>392</v>
      </c>
      <c r="D435" s="88"/>
      <c r="E435" s="89">
        <v>64984044</v>
      </c>
      <c r="F435"/>
      <c r="G435" s="17" t="s">
        <v>6</v>
      </c>
      <c r="H435" s="132">
        <v>46085</v>
      </c>
      <c r="I435" s="127" t="s">
        <v>3364</v>
      </c>
      <c r="J435"/>
      <c r="K435"/>
      <c r="L435"/>
    </row>
    <row r="436" spans="1:12">
      <c r="A436" s="95" t="s">
        <v>282</v>
      </c>
      <c r="B436" t="s">
        <v>3239</v>
      </c>
      <c r="C436" s="87" t="s">
        <v>393</v>
      </c>
      <c r="D436" s="88"/>
      <c r="E436" s="89">
        <v>62871278</v>
      </c>
      <c r="F436"/>
      <c r="G436" s="17" t="s">
        <v>1</v>
      </c>
      <c r="H436" s="132">
        <v>46085</v>
      </c>
      <c r="I436" s="127" t="s">
        <v>3365</v>
      </c>
      <c r="J436"/>
      <c r="K436"/>
      <c r="L436"/>
    </row>
    <row r="437" spans="1:12">
      <c r="A437" s="95" t="s">
        <v>282</v>
      </c>
      <c r="B437" t="s">
        <v>3239</v>
      </c>
      <c r="C437" s="87" t="s">
        <v>394</v>
      </c>
      <c r="D437" s="88"/>
      <c r="E437" s="89">
        <v>65694856</v>
      </c>
      <c r="F437"/>
      <c r="G437" s="17" t="s">
        <v>1</v>
      </c>
      <c r="H437" s="132">
        <v>46085</v>
      </c>
      <c r="I437" s="127" t="s">
        <v>3366</v>
      </c>
      <c r="J437"/>
      <c r="K437"/>
      <c r="L437"/>
    </row>
    <row r="438" spans="1:12">
      <c r="A438" s="95" t="s">
        <v>282</v>
      </c>
      <c r="B438" t="s">
        <v>3239</v>
      </c>
      <c r="C438" s="87" t="s">
        <v>395</v>
      </c>
      <c r="D438" s="88"/>
      <c r="E438" s="89">
        <v>68024479</v>
      </c>
      <c r="F438"/>
      <c r="G438" s="17" t="s">
        <v>6</v>
      </c>
      <c r="H438" s="132">
        <v>46085</v>
      </c>
      <c r="I438" s="127" t="s">
        <v>3367</v>
      </c>
      <c r="J438"/>
      <c r="K438"/>
      <c r="L438"/>
    </row>
    <row r="439" spans="1:12">
      <c r="A439" s="95" t="s">
        <v>282</v>
      </c>
      <c r="B439" t="s">
        <v>3239</v>
      </c>
      <c r="C439" s="87" t="s">
        <v>396</v>
      </c>
      <c r="D439" s="88"/>
      <c r="E439" s="89">
        <v>67796479</v>
      </c>
      <c r="F439"/>
      <c r="G439" s="17" t="s">
        <v>6</v>
      </c>
      <c r="H439" s="132">
        <v>46085</v>
      </c>
      <c r="I439" s="127" t="s">
        <v>3368</v>
      </c>
      <c r="J439"/>
      <c r="K439"/>
      <c r="L439"/>
    </row>
    <row r="440" spans="1:12">
      <c r="A440" s="95" t="s">
        <v>282</v>
      </c>
      <c r="B440" t="s">
        <v>3239</v>
      </c>
      <c r="C440" s="87" t="s">
        <v>397</v>
      </c>
      <c r="D440" s="88"/>
      <c r="E440" s="89">
        <v>67963900</v>
      </c>
      <c r="F440"/>
      <c r="G440" s="17" t="s">
        <v>3</v>
      </c>
      <c r="H440" s="132">
        <v>46085</v>
      </c>
      <c r="I440" s="127" t="s">
        <v>3369</v>
      </c>
      <c r="J440"/>
      <c r="K440"/>
      <c r="L440"/>
    </row>
    <row r="441" spans="1:12">
      <c r="A441" s="95" t="s">
        <v>282</v>
      </c>
      <c r="B441" t="s">
        <v>3239</v>
      </c>
      <c r="C441" s="87" t="s">
        <v>398</v>
      </c>
      <c r="D441" s="88"/>
      <c r="E441" s="89">
        <v>7752641</v>
      </c>
      <c r="F441"/>
      <c r="G441" s="17" t="s">
        <v>1</v>
      </c>
      <c r="H441" s="132">
        <v>46085</v>
      </c>
      <c r="I441" s="127" t="s">
        <v>3370</v>
      </c>
      <c r="J441"/>
      <c r="K441"/>
      <c r="L441"/>
    </row>
    <row r="442" spans="1:12">
      <c r="A442" s="95" t="s">
        <v>282</v>
      </c>
      <c r="B442" t="s">
        <v>3239</v>
      </c>
      <c r="C442" s="87" t="s">
        <v>399</v>
      </c>
      <c r="D442" s="88"/>
      <c r="E442" s="89">
        <v>66204719</v>
      </c>
      <c r="F442"/>
      <c r="G442" s="17" t="s">
        <v>1</v>
      </c>
      <c r="H442" s="132">
        <v>46085</v>
      </c>
      <c r="I442" s="127" t="s">
        <v>3371</v>
      </c>
      <c r="J442"/>
      <c r="K442"/>
      <c r="L442"/>
    </row>
    <row r="443" spans="1:12">
      <c r="A443" s="95" t="s">
        <v>282</v>
      </c>
      <c r="B443" t="s">
        <v>3239</v>
      </c>
      <c r="C443" s="87" t="s">
        <v>400</v>
      </c>
      <c r="D443" s="88"/>
      <c r="E443" s="89">
        <v>63902496</v>
      </c>
      <c r="F443"/>
      <c r="G443" s="17" t="s">
        <v>4</v>
      </c>
      <c r="H443" s="132">
        <v>46085</v>
      </c>
      <c r="I443" s="127" t="s">
        <v>3372</v>
      </c>
      <c r="J443"/>
      <c r="K443"/>
      <c r="L443"/>
    </row>
    <row r="444" spans="1:12">
      <c r="A444" s="95" t="s">
        <v>282</v>
      </c>
      <c r="B444" t="s">
        <v>3239</v>
      </c>
      <c r="C444" s="87" t="s">
        <v>401</v>
      </c>
      <c r="D444" s="88"/>
      <c r="E444" s="89">
        <v>7740672</v>
      </c>
      <c r="F444"/>
      <c r="G444" s="17" t="s">
        <v>9</v>
      </c>
      <c r="H444" s="132">
        <v>46085</v>
      </c>
      <c r="I444" s="127" t="s">
        <v>3373</v>
      </c>
      <c r="J444"/>
      <c r="K444"/>
      <c r="L444"/>
    </row>
    <row r="445" spans="1:12">
      <c r="A445" s="95" t="s">
        <v>282</v>
      </c>
      <c r="B445" t="s">
        <v>3239</v>
      </c>
      <c r="C445" s="87" t="s">
        <v>402</v>
      </c>
      <c r="D445" s="88"/>
      <c r="E445" s="89">
        <v>65060397</v>
      </c>
      <c r="F445"/>
      <c r="G445" s="17" t="s">
        <v>3</v>
      </c>
      <c r="H445" s="132">
        <v>46085</v>
      </c>
      <c r="I445" s="127" t="s">
        <v>3374</v>
      </c>
      <c r="J445"/>
      <c r="K445"/>
      <c r="L445"/>
    </row>
    <row r="446" spans="1:12">
      <c r="A446" s="95" t="s">
        <v>282</v>
      </c>
      <c r="B446" t="s">
        <v>3239</v>
      </c>
      <c r="C446" s="87" t="s">
        <v>403</v>
      </c>
      <c r="D446" s="88"/>
      <c r="E446" s="89">
        <v>66970527</v>
      </c>
      <c r="F446"/>
      <c r="G446" s="17" t="s">
        <v>9</v>
      </c>
      <c r="H446" s="132">
        <v>46085</v>
      </c>
      <c r="I446" s="127" t="s">
        <v>3375</v>
      </c>
      <c r="J446"/>
      <c r="K446"/>
      <c r="L446" t="s">
        <v>3317</v>
      </c>
    </row>
    <row r="447" spans="1:12">
      <c r="A447" s="95" t="s">
        <v>282</v>
      </c>
      <c r="B447" t="s">
        <v>3239</v>
      </c>
      <c r="C447" s="87" t="s">
        <v>404</v>
      </c>
      <c r="D447" s="88"/>
      <c r="E447" s="89">
        <v>62563188</v>
      </c>
      <c r="F447"/>
      <c r="G447" s="17" t="s">
        <v>6</v>
      </c>
      <c r="H447" s="132">
        <v>46085</v>
      </c>
      <c r="I447" s="127" t="s">
        <v>3376</v>
      </c>
      <c r="J447"/>
      <c r="K447"/>
      <c r="L447"/>
    </row>
    <row r="448" spans="1:12">
      <c r="A448" s="95" t="s">
        <v>282</v>
      </c>
      <c r="B448" t="s">
        <v>3239</v>
      </c>
      <c r="C448" s="87" t="s">
        <v>405</v>
      </c>
      <c r="D448" s="88"/>
      <c r="E448" s="89">
        <v>66136808</v>
      </c>
      <c r="F448"/>
      <c r="G448" s="17" t="s">
        <v>9</v>
      </c>
      <c r="H448" s="132">
        <v>46085</v>
      </c>
      <c r="I448" s="127" t="s">
        <v>3377</v>
      </c>
      <c r="J448"/>
      <c r="K448"/>
      <c r="L448"/>
    </row>
    <row r="449" spans="1:12">
      <c r="A449" s="95" t="s">
        <v>282</v>
      </c>
      <c r="B449" t="s">
        <v>3239</v>
      </c>
      <c r="C449" s="87" t="s">
        <v>406</v>
      </c>
      <c r="D449" s="88"/>
      <c r="E449" s="89">
        <v>67243030</v>
      </c>
      <c r="F449"/>
      <c r="G449" s="17" t="s">
        <v>9</v>
      </c>
      <c r="H449" s="132">
        <v>46085</v>
      </c>
      <c r="I449" s="127" t="s">
        <v>3378</v>
      </c>
      <c r="J449"/>
      <c r="K449"/>
      <c r="L449" t="s">
        <v>3379</v>
      </c>
    </row>
    <row r="450" spans="1:12">
      <c r="A450" s="95" t="s">
        <v>282</v>
      </c>
      <c r="B450" t="s">
        <v>3239</v>
      </c>
      <c r="C450" s="87" t="s">
        <v>407</v>
      </c>
      <c r="D450" s="88"/>
      <c r="E450" s="89">
        <v>66266871</v>
      </c>
      <c r="F450"/>
      <c r="G450" s="17" t="s">
        <v>9</v>
      </c>
      <c r="H450" s="132">
        <v>46085</v>
      </c>
      <c r="I450" s="127" t="s">
        <v>3380</v>
      </c>
      <c r="J450"/>
      <c r="K450"/>
      <c r="L450"/>
    </row>
    <row r="451" spans="1:12">
      <c r="A451" s="95" t="s">
        <v>282</v>
      </c>
      <c r="B451" t="s">
        <v>3239</v>
      </c>
      <c r="C451" s="87" t="s">
        <v>408</v>
      </c>
      <c r="D451" s="88"/>
      <c r="E451" s="89">
        <v>60007184</v>
      </c>
      <c r="F451"/>
      <c r="G451" s="17" t="s">
        <v>6</v>
      </c>
      <c r="H451" s="132">
        <v>46085</v>
      </c>
      <c r="I451" s="127" t="s">
        <v>3381</v>
      </c>
      <c r="J451"/>
      <c r="K451"/>
      <c r="L451"/>
    </row>
    <row r="452" spans="1:12">
      <c r="A452" s="95" t="s">
        <v>282</v>
      </c>
      <c r="B452" t="s">
        <v>3239</v>
      </c>
      <c r="C452" s="87" t="s">
        <v>409</v>
      </c>
      <c r="D452" s="88"/>
      <c r="E452" s="89">
        <v>68281995</v>
      </c>
      <c r="F452"/>
      <c r="G452" s="17" t="s">
        <v>1</v>
      </c>
      <c r="H452" s="132">
        <v>46085</v>
      </c>
      <c r="I452" s="127" t="s">
        <v>3382</v>
      </c>
      <c r="J452"/>
      <c r="K452"/>
      <c r="L452"/>
    </row>
    <row r="453" spans="1:12">
      <c r="A453" s="95" t="s">
        <v>282</v>
      </c>
      <c r="B453" t="s">
        <v>3239</v>
      </c>
      <c r="C453" s="87" t="s">
        <v>410</v>
      </c>
      <c r="D453" s="88"/>
      <c r="E453" s="89">
        <v>7768277</v>
      </c>
      <c r="F453"/>
      <c r="G453" s="17" t="s">
        <v>3</v>
      </c>
      <c r="H453" s="132">
        <v>46085</v>
      </c>
      <c r="I453" s="127" t="s">
        <v>3383</v>
      </c>
      <c r="J453"/>
      <c r="K453"/>
      <c r="L453"/>
    </row>
    <row r="454" spans="1:12">
      <c r="A454" s="95" t="s">
        <v>282</v>
      </c>
      <c r="B454" t="s">
        <v>3239</v>
      </c>
      <c r="C454" s="87" t="s">
        <v>411</v>
      </c>
      <c r="D454" s="88"/>
      <c r="E454" s="89">
        <v>66677761</v>
      </c>
      <c r="F454"/>
      <c r="G454" s="17" t="s">
        <v>9</v>
      </c>
      <c r="H454" s="132">
        <v>46085</v>
      </c>
      <c r="I454" s="127" t="s">
        <v>3384</v>
      </c>
      <c r="J454"/>
      <c r="K454"/>
      <c r="L454" t="s">
        <v>3287</v>
      </c>
    </row>
    <row r="455" spans="1:12">
      <c r="A455" s="95" t="s">
        <v>282</v>
      </c>
      <c r="B455" t="s">
        <v>3239</v>
      </c>
      <c r="C455" s="87" t="s">
        <v>412</v>
      </c>
      <c r="D455" s="88"/>
      <c r="E455" s="89">
        <v>65296399</v>
      </c>
      <c r="F455"/>
      <c r="G455" s="17" t="s">
        <v>3</v>
      </c>
      <c r="H455" s="132">
        <v>46085</v>
      </c>
      <c r="I455" s="127" t="s">
        <v>3385</v>
      </c>
      <c r="J455"/>
      <c r="K455"/>
      <c r="L455"/>
    </row>
    <row r="456" spans="1:12">
      <c r="A456" s="95" t="s">
        <v>282</v>
      </c>
      <c r="B456" t="s">
        <v>3239</v>
      </c>
      <c r="C456" s="87" t="s">
        <v>413</v>
      </c>
      <c r="D456" s="88"/>
      <c r="E456" s="89">
        <v>64613911</v>
      </c>
      <c r="F456"/>
      <c r="G456" s="17" t="s">
        <v>6</v>
      </c>
      <c r="H456" s="132">
        <v>46085</v>
      </c>
      <c r="I456" s="127" t="s">
        <v>3386</v>
      </c>
      <c r="J456"/>
      <c r="K456"/>
      <c r="L456"/>
    </row>
    <row r="457" spans="1:12">
      <c r="A457" s="95" t="s">
        <v>282</v>
      </c>
      <c r="B457" t="s">
        <v>3239</v>
      </c>
      <c r="C457" s="87" t="s">
        <v>414</v>
      </c>
      <c r="D457" s="88"/>
      <c r="E457" s="89">
        <v>63198523</v>
      </c>
      <c r="F457"/>
      <c r="G457" s="17" t="s">
        <v>5</v>
      </c>
      <c r="H457" s="132">
        <v>46085</v>
      </c>
      <c r="I457" s="127" t="s">
        <v>3387</v>
      </c>
      <c r="J457"/>
      <c r="K457"/>
      <c r="L457"/>
    </row>
    <row r="458" spans="1:12">
      <c r="A458" s="95" t="s">
        <v>282</v>
      </c>
      <c r="B458" t="s">
        <v>3239</v>
      </c>
      <c r="C458" s="87" t="s">
        <v>415</v>
      </c>
      <c r="D458" s="88"/>
      <c r="E458" s="89">
        <v>66918836</v>
      </c>
      <c r="F458"/>
      <c r="G458" s="17" t="s">
        <v>6</v>
      </c>
      <c r="H458" s="132">
        <v>46085</v>
      </c>
      <c r="I458" s="127" t="s">
        <v>3388</v>
      </c>
      <c r="J458"/>
      <c r="K458"/>
      <c r="L458"/>
    </row>
    <row r="459" spans="1:12">
      <c r="A459" s="95" t="s">
        <v>282</v>
      </c>
      <c r="B459" t="s">
        <v>3239</v>
      </c>
      <c r="C459" s="87" t="s">
        <v>416</v>
      </c>
      <c r="D459" s="88"/>
      <c r="E459" s="89">
        <v>62106991</v>
      </c>
      <c r="F459"/>
      <c r="G459" s="17" t="s">
        <v>1</v>
      </c>
      <c r="H459" s="132">
        <v>46085</v>
      </c>
      <c r="I459" s="127" t="s">
        <v>3389</v>
      </c>
      <c r="J459"/>
      <c r="K459"/>
      <c r="L459"/>
    </row>
    <row r="460" spans="1:12">
      <c r="A460" s="95" t="s">
        <v>282</v>
      </c>
      <c r="B460" t="s">
        <v>3239</v>
      </c>
      <c r="C460" s="87" t="s">
        <v>417</v>
      </c>
      <c r="D460" s="88"/>
      <c r="E460" s="89">
        <v>7706867</v>
      </c>
      <c r="F460"/>
      <c r="G460" s="17" t="s">
        <v>6</v>
      </c>
      <c r="H460" s="132">
        <v>46085</v>
      </c>
      <c r="I460" s="127" t="s">
        <v>3390</v>
      </c>
      <c r="J460"/>
      <c r="K460"/>
      <c r="L460"/>
    </row>
    <row r="461" spans="1:12">
      <c r="A461" s="95" t="s">
        <v>282</v>
      </c>
      <c r="B461" t="s">
        <v>3239</v>
      </c>
      <c r="C461" s="87" t="s">
        <v>418</v>
      </c>
      <c r="D461" s="88"/>
      <c r="E461" s="89">
        <v>64645912</v>
      </c>
      <c r="F461"/>
      <c r="G461" s="17" t="s">
        <v>6</v>
      </c>
      <c r="H461" s="132">
        <v>46085</v>
      </c>
      <c r="I461" s="127" t="s">
        <v>3391</v>
      </c>
      <c r="J461"/>
      <c r="K461"/>
      <c r="L461"/>
    </row>
    <row r="462" spans="1:12">
      <c r="A462" s="95" t="s">
        <v>282</v>
      </c>
      <c r="B462" t="s">
        <v>3239</v>
      </c>
      <c r="C462" s="87" t="s">
        <v>419</v>
      </c>
      <c r="D462" s="88"/>
      <c r="E462" s="89">
        <v>66531088</v>
      </c>
      <c r="F462"/>
      <c r="G462" s="17" t="s">
        <v>1</v>
      </c>
      <c r="H462" s="132">
        <v>46085</v>
      </c>
      <c r="I462" s="127" t="s">
        <v>3392</v>
      </c>
      <c r="J462"/>
      <c r="K462"/>
      <c r="L462"/>
    </row>
    <row r="463" spans="1:12">
      <c r="A463" s="95" t="s">
        <v>282</v>
      </c>
      <c r="B463" t="s">
        <v>3239</v>
      </c>
      <c r="C463" s="87" t="s">
        <v>420</v>
      </c>
      <c r="D463" s="88"/>
      <c r="E463" s="89">
        <v>69537392</v>
      </c>
      <c r="F463"/>
      <c r="G463" s="17" t="s">
        <v>3</v>
      </c>
      <c r="H463" s="132">
        <v>46085</v>
      </c>
      <c r="I463" s="127" t="s">
        <v>3393</v>
      </c>
      <c r="J463"/>
      <c r="K463"/>
      <c r="L463"/>
    </row>
    <row r="464" spans="1:12">
      <c r="A464" s="95" t="s">
        <v>282</v>
      </c>
      <c r="B464" t="s">
        <v>3239</v>
      </c>
      <c r="C464" s="87" t="s">
        <v>421</v>
      </c>
      <c r="D464" s="88"/>
      <c r="E464" s="89">
        <v>67667425</v>
      </c>
      <c r="F464"/>
      <c r="G464" s="17" t="s">
        <v>3</v>
      </c>
      <c r="H464" s="132">
        <v>46085</v>
      </c>
      <c r="I464" s="127" t="s">
        <v>3394</v>
      </c>
      <c r="J464"/>
      <c r="K464"/>
      <c r="L464"/>
    </row>
    <row r="465" spans="1:12">
      <c r="A465" s="95" t="s">
        <v>282</v>
      </c>
      <c r="B465" t="s">
        <v>3239</v>
      </c>
      <c r="C465" s="87" t="s">
        <v>422</v>
      </c>
      <c r="D465" s="88"/>
      <c r="E465" s="89">
        <v>65238898</v>
      </c>
      <c r="F465"/>
      <c r="G465" s="17" t="s">
        <v>6</v>
      </c>
      <c r="H465" s="132">
        <v>46085</v>
      </c>
      <c r="I465" s="127" t="s">
        <v>3395</v>
      </c>
      <c r="J465"/>
      <c r="K465"/>
      <c r="L465"/>
    </row>
    <row r="466" spans="1:12">
      <c r="A466" s="95" t="s">
        <v>282</v>
      </c>
      <c r="B466" t="s">
        <v>3239</v>
      </c>
      <c r="C466" s="87" t="s">
        <v>423</v>
      </c>
      <c r="D466" s="88"/>
      <c r="E466" s="89">
        <v>62985166</v>
      </c>
      <c r="F466"/>
      <c r="G466" s="17" t="s">
        <v>6</v>
      </c>
      <c r="H466" s="132">
        <v>46085</v>
      </c>
      <c r="I466" s="127" t="s">
        <v>3396</v>
      </c>
      <c r="J466"/>
      <c r="K466"/>
      <c r="L466"/>
    </row>
    <row r="467" spans="1:12">
      <c r="A467" s="95" t="s">
        <v>282</v>
      </c>
      <c r="B467" t="s">
        <v>3239</v>
      </c>
      <c r="C467" s="87" t="s">
        <v>424</v>
      </c>
      <c r="D467" s="88"/>
      <c r="E467" s="89">
        <v>62089083</v>
      </c>
      <c r="F467"/>
      <c r="G467" s="17" t="s">
        <v>1</v>
      </c>
      <c r="H467" s="132">
        <v>46085</v>
      </c>
      <c r="I467" s="127" t="s">
        <v>3397</v>
      </c>
      <c r="J467"/>
      <c r="K467"/>
      <c r="L467"/>
    </row>
    <row r="468" spans="1:12">
      <c r="A468" s="95" t="s">
        <v>282</v>
      </c>
      <c r="B468" t="s">
        <v>3239</v>
      </c>
      <c r="C468" s="87" t="s">
        <v>425</v>
      </c>
      <c r="D468" s="88"/>
      <c r="E468" s="89">
        <v>7729598</v>
      </c>
      <c r="F468"/>
      <c r="G468" s="17" t="s">
        <v>2</v>
      </c>
      <c r="H468" s="132">
        <v>46085</v>
      </c>
      <c r="I468" s="127" t="s">
        <v>3398</v>
      </c>
      <c r="J468"/>
      <c r="K468"/>
      <c r="L468"/>
    </row>
    <row r="469" spans="1:12">
      <c r="A469" s="95" t="s">
        <v>282</v>
      </c>
      <c r="B469" t="s">
        <v>3239</v>
      </c>
      <c r="C469" s="87" t="s">
        <v>426</v>
      </c>
      <c r="D469" s="88"/>
      <c r="E469" s="89">
        <v>7756694</v>
      </c>
      <c r="F469"/>
      <c r="G469" s="17" t="s">
        <v>6</v>
      </c>
      <c r="H469" s="132">
        <v>46085</v>
      </c>
      <c r="I469" s="127" t="s">
        <v>3399</v>
      </c>
      <c r="J469"/>
      <c r="K469"/>
      <c r="L469"/>
    </row>
    <row r="470" spans="1:12">
      <c r="A470" s="95" t="s">
        <v>282</v>
      </c>
      <c r="B470" t="s">
        <v>3239</v>
      </c>
      <c r="C470" s="87" t="s">
        <v>427</v>
      </c>
      <c r="D470" s="88"/>
      <c r="E470" s="89">
        <v>66763566</v>
      </c>
      <c r="F470"/>
      <c r="G470" s="17" t="s">
        <v>4</v>
      </c>
      <c r="H470" s="132">
        <v>46085</v>
      </c>
      <c r="I470" s="127" t="s">
        <v>3400</v>
      </c>
      <c r="J470"/>
      <c r="K470"/>
      <c r="L470"/>
    </row>
    <row r="471" spans="1:12">
      <c r="A471" s="95" t="s">
        <v>282</v>
      </c>
      <c r="B471" t="s">
        <v>3239</v>
      </c>
      <c r="C471" s="87" t="s">
        <v>428</v>
      </c>
      <c r="D471" s="88"/>
      <c r="E471" s="89">
        <v>64652633</v>
      </c>
      <c r="F471"/>
      <c r="G471" s="17" t="s">
        <v>9</v>
      </c>
      <c r="H471" s="132">
        <v>46085</v>
      </c>
      <c r="I471" s="127" t="s">
        <v>3401</v>
      </c>
      <c r="J471"/>
      <c r="K471"/>
      <c r="L471"/>
    </row>
    <row r="472" spans="1:12">
      <c r="A472" s="95" t="s">
        <v>282</v>
      </c>
      <c r="B472" t="s">
        <v>3239</v>
      </c>
      <c r="C472" s="87" t="s">
        <v>429</v>
      </c>
      <c r="D472" s="88"/>
      <c r="E472" s="89">
        <v>7300677</v>
      </c>
      <c r="F472"/>
      <c r="G472" s="17" t="s">
        <v>9</v>
      </c>
      <c r="H472" s="132">
        <v>46085</v>
      </c>
      <c r="I472" s="127" t="s">
        <v>3402</v>
      </c>
      <c r="J472"/>
      <c r="K472"/>
      <c r="L472" t="s">
        <v>3403</v>
      </c>
    </row>
    <row r="473" spans="1:12">
      <c r="A473" s="95" t="s">
        <v>282</v>
      </c>
      <c r="B473" t="s">
        <v>3239</v>
      </c>
      <c r="C473" s="87" t="s">
        <v>430</v>
      </c>
      <c r="D473" s="88"/>
      <c r="E473" s="89">
        <v>68680044</v>
      </c>
      <c r="F473"/>
      <c r="G473" s="17" t="s">
        <v>6</v>
      </c>
      <c r="H473" s="132">
        <v>46085</v>
      </c>
      <c r="I473" s="127" t="s">
        <v>3404</v>
      </c>
      <c r="J473"/>
      <c r="K473"/>
      <c r="L473"/>
    </row>
    <row r="474" spans="1:12">
      <c r="A474" s="95" t="s">
        <v>282</v>
      </c>
      <c r="B474" t="s">
        <v>3239</v>
      </c>
      <c r="C474" s="87" t="s">
        <v>431</v>
      </c>
      <c r="D474" s="88"/>
      <c r="E474" s="89">
        <v>7740540</v>
      </c>
      <c r="F474"/>
      <c r="G474" s="17" t="s">
        <v>2</v>
      </c>
      <c r="H474" s="132">
        <v>46085</v>
      </c>
      <c r="I474" s="127" t="s">
        <v>3405</v>
      </c>
      <c r="J474"/>
      <c r="K474"/>
      <c r="L474"/>
    </row>
    <row r="475" spans="1:12">
      <c r="A475" s="95" t="s">
        <v>282</v>
      </c>
      <c r="B475" t="s">
        <v>3239</v>
      </c>
      <c r="C475" s="87" t="s">
        <v>432</v>
      </c>
      <c r="D475" s="88"/>
      <c r="E475" s="89">
        <v>68838362</v>
      </c>
      <c r="F475"/>
      <c r="G475" s="17" t="s">
        <v>3</v>
      </c>
      <c r="H475" s="132">
        <v>46085</v>
      </c>
      <c r="I475" s="127" t="s">
        <v>3406</v>
      </c>
      <c r="J475"/>
      <c r="K475"/>
      <c r="L475"/>
    </row>
    <row r="476" spans="1:12">
      <c r="A476" s="95" t="s">
        <v>282</v>
      </c>
      <c r="B476" t="s">
        <v>3239</v>
      </c>
      <c r="C476" s="87" t="s">
        <v>433</v>
      </c>
      <c r="D476" s="88"/>
      <c r="E476" s="89">
        <v>66737193</v>
      </c>
      <c r="F476"/>
      <c r="G476" s="17" t="s">
        <v>6</v>
      </c>
      <c r="H476" s="132">
        <v>46085</v>
      </c>
      <c r="I476" s="127" t="s">
        <v>3407</v>
      </c>
      <c r="J476"/>
      <c r="K476"/>
      <c r="L476"/>
    </row>
    <row r="477" spans="1:12">
      <c r="A477" s="95" t="s">
        <v>282</v>
      </c>
      <c r="B477" t="s">
        <v>3239</v>
      </c>
      <c r="C477" s="87" t="s">
        <v>434</v>
      </c>
      <c r="D477" s="88"/>
      <c r="E477" s="89">
        <v>7870661</v>
      </c>
      <c r="F477"/>
      <c r="G477" s="17" t="s">
        <v>6</v>
      </c>
      <c r="H477" s="132">
        <v>46085</v>
      </c>
      <c r="I477" s="127" t="s">
        <v>3408</v>
      </c>
      <c r="J477"/>
      <c r="K477"/>
      <c r="L477"/>
    </row>
    <row r="478" spans="1:12">
      <c r="A478" s="95" t="s">
        <v>282</v>
      </c>
      <c r="B478" t="s">
        <v>3239</v>
      </c>
      <c r="C478" s="87" t="s">
        <v>435</v>
      </c>
      <c r="D478" s="88"/>
      <c r="E478" s="89">
        <v>67037691</v>
      </c>
      <c r="F478"/>
      <c r="G478" s="17" t="s">
        <v>3</v>
      </c>
      <c r="H478" s="132">
        <v>46085</v>
      </c>
      <c r="I478" s="127" t="s">
        <v>3409</v>
      </c>
      <c r="J478"/>
      <c r="K478"/>
      <c r="L478"/>
    </row>
    <row r="479" spans="1:12">
      <c r="A479" s="95" t="s">
        <v>282</v>
      </c>
      <c r="B479" t="s">
        <v>3239</v>
      </c>
      <c r="C479" s="87" t="s">
        <v>436</v>
      </c>
      <c r="D479" s="88"/>
      <c r="E479" s="89">
        <v>66768229</v>
      </c>
      <c r="F479"/>
      <c r="G479" s="17" t="s">
        <v>3</v>
      </c>
      <c r="H479" s="132">
        <v>46085</v>
      </c>
      <c r="I479" s="127" t="s">
        <v>3410</v>
      </c>
      <c r="J479"/>
      <c r="K479"/>
      <c r="L479"/>
    </row>
    <row r="480" spans="1:12">
      <c r="A480" s="95" t="s">
        <v>282</v>
      </c>
      <c r="B480" t="s">
        <v>3239</v>
      </c>
      <c r="C480" s="87" t="s">
        <v>437</v>
      </c>
      <c r="D480" s="88"/>
      <c r="E480" s="89">
        <v>67688894</v>
      </c>
      <c r="F480"/>
      <c r="G480" s="17" t="s">
        <v>9</v>
      </c>
      <c r="H480" s="132">
        <v>46085</v>
      </c>
      <c r="I480" s="127" t="s">
        <v>3411</v>
      </c>
      <c r="J480"/>
      <c r="K480"/>
      <c r="L480"/>
    </row>
    <row r="481" spans="1:12">
      <c r="A481" s="95" t="s">
        <v>282</v>
      </c>
      <c r="B481" t="s">
        <v>3239</v>
      </c>
      <c r="C481" s="87" t="s">
        <v>438</v>
      </c>
      <c r="D481" s="88"/>
      <c r="E481" s="89">
        <v>68359947</v>
      </c>
      <c r="F481"/>
      <c r="G481" s="17" t="s">
        <v>6</v>
      </c>
      <c r="H481" s="132">
        <v>46085</v>
      </c>
      <c r="I481" s="127" t="s">
        <v>3244</v>
      </c>
      <c r="J481"/>
      <c r="K481"/>
      <c r="L481"/>
    </row>
    <row r="482" spans="1:12">
      <c r="A482" s="95" t="s">
        <v>282</v>
      </c>
      <c r="B482" t="s">
        <v>3239</v>
      </c>
      <c r="C482" s="87" t="s">
        <v>439</v>
      </c>
      <c r="D482" s="88"/>
      <c r="E482" s="89">
        <v>66703511</v>
      </c>
      <c r="F482"/>
      <c r="G482" s="17" t="s">
        <v>3</v>
      </c>
      <c r="H482" s="132">
        <v>46085</v>
      </c>
      <c r="I482" s="127" t="s">
        <v>3412</v>
      </c>
      <c r="J482"/>
      <c r="K482"/>
      <c r="L482"/>
    </row>
    <row r="483" spans="1:12">
      <c r="A483" s="95" t="s">
        <v>282</v>
      </c>
      <c r="B483" t="s">
        <v>3239</v>
      </c>
      <c r="C483" s="87" t="s">
        <v>440</v>
      </c>
      <c r="D483" s="88"/>
      <c r="E483" s="89">
        <v>66831963</v>
      </c>
      <c r="F483"/>
      <c r="G483" s="17" t="s">
        <v>3</v>
      </c>
      <c r="H483" s="132">
        <v>46085</v>
      </c>
      <c r="I483" s="127" t="s">
        <v>3412</v>
      </c>
      <c r="J483"/>
      <c r="K483"/>
      <c r="L483"/>
    </row>
    <row r="484" spans="1:12">
      <c r="A484" s="95" t="s">
        <v>282</v>
      </c>
      <c r="B484" t="s">
        <v>3239</v>
      </c>
      <c r="C484" s="87" t="s">
        <v>441</v>
      </c>
      <c r="D484" s="88"/>
      <c r="E484" s="89">
        <v>68370337</v>
      </c>
      <c r="F484"/>
      <c r="G484" s="17" t="s">
        <v>2</v>
      </c>
      <c r="H484" s="132">
        <v>46085</v>
      </c>
      <c r="I484" s="127" t="s">
        <v>3251</v>
      </c>
      <c r="J484"/>
      <c r="K484"/>
      <c r="L484"/>
    </row>
    <row r="485" spans="1:12">
      <c r="A485" s="95" t="s">
        <v>282</v>
      </c>
      <c r="B485" t="s">
        <v>3239</v>
      </c>
      <c r="C485" s="87" t="s">
        <v>442</v>
      </c>
      <c r="D485" s="88"/>
      <c r="E485" s="89">
        <v>67427891</v>
      </c>
      <c r="F485"/>
      <c r="G485" s="17" t="s">
        <v>1</v>
      </c>
      <c r="H485" s="132">
        <v>46085</v>
      </c>
      <c r="I485" s="127" t="s">
        <v>3413</v>
      </c>
      <c r="J485"/>
      <c r="K485"/>
      <c r="L485"/>
    </row>
    <row r="486" spans="1:12">
      <c r="A486" s="95" t="s">
        <v>282</v>
      </c>
      <c r="B486" t="s">
        <v>3239</v>
      </c>
      <c r="C486" s="87" t="s">
        <v>443</v>
      </c>
      <c r="D486" s="88"/>
      <c r="E486" s="89">
        <v>68984222</v>
      </c>
      <c r="F486"/>
      <c r="G486" s="17" t="s">
        <v>1</v>
      </c>
      <c r="H486" s="132">
        <v>46085</v>
      </c>
      <c r="I486" s="127" t="s">
        <v>3414</v>
      </c>
      <c r="J486"/>
      <c r="K486"/>
      <c r="L486"/>
    </row>
    <row r="487" spans="1:12">
      <c r="A487" s="95" t="s">
        <v>282</v>
      </c>
      <c r="B487" t="s">
        <v>3239</v>
      </c>
      <c r="C487" s="87" t="s">
        <v>444</v>
      </c>
      <c r="D487" s="88"/>
      <c r="E487" s="89">
        <v>7765643</v>
      </c>
      <c r="F487"/>
      <c r="G487" s="17" t="s">
        <v>9</v>
      </c>
      <c r="H487" s="132">
        <v>46085</v>
      </c>
      <c r="I487" s="127" t="s">
        <v>3253</v>
      </c>
      <c r="J487"/>
      <c r="K487"/>
      <c r="L487"/>
    </row>
    <row r="488" spans="1:12">
      <c r="A488" s="95" t="s">
        <v>282</v>
      </c>
      <c r="B488" t="s">
        <v>3239</v>
      </c>
      <c r="C488" s="87" t="s">
        <v>445</v>
      </c>
      <c r="D488" s="88"/>
      <c r="E488" s="89">
        <v>67678508</v>
      </c>
      <c r="F488"/>
      <c r="G488" s="17" t="s">
        <v>2</v>
      </c>
      <c r="H488" s="132">
        <v>46085</v>
      </c>
      <c r="I488" s="127" t="s">
        <v>3254</v>
      </c>
      <c r="J488"/>
      <c r="K488"/>
      <c r="L488"/>
    </row>
    <row r="489" spans="1:12">
      <c r="A489" s="95" t="s">
        <v>282</v>
      </c>
      <c r="B489" t="s">
        <v>3239</v>
      </c>
      <c r="C489" s="87" t="s">
        <v>446</v>
      </c>
      <c r="D489" s="88"/>
      <c r="E489" s="89">
        <v>63680596</v>
      </c>
      <c r="F489"/>
      <c r="G489" s="17" t="s">
        <v>3</v>
      </c>
      <c r="H489" s="132">
        <v>46085</v>
      </c>
      <c r="I489" s="127" t="s">
        <v>3255</v>
      </c>
      <c r="J489"/>
      <c r="K489"/>
      <c r="L489"/>
    </row>
    <row r="490" spans="1:12">
      <c r="A490" s="95" t="s">
        <v>282</v>
      </c>
      <c r="B490" t="s">
        <v>3239</v>
      </c>
      <c r="C490" s="87" t="s">
        <v>447</v>
      </c>
      <c r="D490" s="88"/>
      <c r="E490" s="89">
        <v>69149308</v>
      </c>
      <c r="F490"/>
      <c r="G490" s="17" t="s">
        <v>9</v>
      </c>
      <c r="H490" s="132">
        <v>46085</v>
      </c>
      <c r="I490" s="127" t="s">
        <v>3415</v>
      </c>
      <c r="J490"/>
      <c r="K490"/>
      <c r="L490"/>
    </row>
    <row r="491" spans="1:12">
      <c r="A491" s="95" t="s">
        <v>282</v>
      </c>
      <c r="B491" t="s">
        <v>3239</v>
      </c>
      <c r="C491" s="87" t="s">
        <v>448</v>
      </c>
      <c r="D491" s="88"/>
      <c r="E491" s="89">
        <v>68034656</v>
      </c>
      <c r="F491"/>
      <c r="G491" s="17" t="s">
        <v>4</v>
      </c>
      <c r="H491" s="132">
        <v>46085</v>
      </c>
      <c r="I491" s="127" t="s">
        <v>3416</v>
      </c>
      <c r="J491"/>
      <c r="K491"/>
      <c r="L491"/>
    </row>
    <row r="492" spans="1:12">
      <c r="A492" s="95" t="s">
        <v>282</v>
      </c>
      <c r="B492" t="s">
        <v>3239</v>
      </c>
      <c r="C492" s="87" t="s">
        <v>449</v>
      </c>
      <c r="D492" s="88"/>
      <c r="E492" s="89">
        <v>62399322</v>
      </c>
      <c r="F492"/>
      <c r="G492" s="17" t="s">
        <v>9</v>
      </c>
      <c r="H492" s="132">
        <v>46085</v>
      </c>
      <c r="I492" s="127" t="s">
        <v>3417</v>
      </c>
      <c r="J492"/>
      <c r="K492"/>
      <c r="L492" t="s">
        <v>3418</v>
      </c>
    </row>
    <row r="493" spans="1:12">
      <c r="A493" s="95" t="s">
        <v>282</v>
      </c>
      <c r="B493" t="s">
        <v>3239</v>
      </c>
      <c r="C493" s="87" t="s">
        <v>450</v>
      </c>
      <c r="D493" s="88"/>
      <c r="E493" s="89">
        <v>68176270</v>
      </c>
      <c r="F493"/>
      <c r="G493" s="17" t="s">
        <v>2</v>
      </c>
      <c r="H493" s="132">
        <v>46085</v>
      </c>
      <c r="I493" s="127" t="s">
        <v>3419</v>
      </c>
      <c r="J493"/>
      <c r="K493"/>
      <c r="L493"/>
    </row>
    <row r="494" spans="1:12">
      <c r="A494" s="95" t="s">
        <v>282</v>
      </c>
      <c r="B494" t="s">
        <v>3239</v>
      </c>
      <c r="C494" s="87" t="s">
        <v>451</v>
      </c>
      <c r="D494" s="88"/>
      <c r="E494" s="89">
        <v>65726430</v>
      </c>
      <c r="F494"/>
      <c r="G494" s="17" t="s">
        <v>4</v>
      </c>
      <c r="H494" s="132">
        <v>46085</v>
      </c>
      <c r="I494" s="127" t="s">
        <v>3420</v>
      </c>
      <c r="J494"/>
      <c r="K494"/>
      <c r="L494"/>
    </row>
    <row r="495" spans="1:12">
      <c r="A495" s="95" t="s">
        <v>282</v>
      </c>
      <c r="B495" t="s">
        <v>3239</v>
      </c>
      <c r="C495" s="87" t="s">
        <v>452</v>
      </c>
      <c r="D495" s="88"/>
      <c r="E495" s="89">
        <v>68879283</v>
      </c>
      <c r="F495"/>
      <c r="G495" s="17" t="s">
        <v>6</v>
      </c>
      <c r="H495" s="132">
        <v>46085</v>
      </c>
      <c r="I495" s="127" t="s">
        <v>3421</v>
      </c>
      <c r="J495"/>
      <c r="K495"/>
      <c r="L495"/>
    </row>
    <row r="496" spans="1:12">
      <c r="A496" s="95" t="s">
        <v>282</v>
      </c>
      <c r="B496" t="s">
        <v>3239</v>
      </c>
      <c r="C496" s="87" t="s">
        <v>453</v>
      </c>
      <c r="D496" s="88"/>
      <c r="E496" s="89">
        <v>60785754</v>
      </c>
      <c r="F496"/>
      <c r="G496" s="17" t="s">
        <v>2</v>
      </c>
      <c r="H496" s="132">
        <v>46085</v>
      </c>
      <c r="I496" s="127" t="s">
        <v>3263</v>
      </c>
      <c r="J496"/>
      <c r="K496"/>
      <c r="L496"/>
    </row>
    <row r="497" spans="1:12">
      <c r="A497" s="95" t="s">
        <v>282</v>
      </c>
      <c r="B497" t="s">
        <v>3239</v>
      </c>
      <c r="C497" s="87" t="s">
        <v>454</v>
      </c>
      <c r="D497" s="88"/>
      <c r="E497" s="89">
        <v>7753436</v>
      </c>
      <c r="F497"/>
      <c r="G497" s="17" t="s">
        <v>8</v>
      </c>
      <c r="H497" s="132">
        <v>46085</v>
      </c>
      <c r="I497" s="127" t="s">
        <v>3265</v>
      </c>
      <c r="J497"/>
      <c r="K497"/>
      <c r="L497"/>
    </row>
    <row r="498" spans="1:12">
      <c r="A498" s="95" t="s">
        <v>282</v>
      </c>
      <c r="B498" t="s">
        <v>3239</v>
      </c>
      <c r="C498" s="87" t="s">
        <v>455</v>
      </c>
      <c r="D498" s="88"/>
      <c r="E498" s="89">
        <v>65977793</v>
      </c>
      <c r="F498"/>
      <c r="G498" s="17" t="s">
        <v>6</v>
      </c>
      <c r="H498" s="132">
        <v>46085</v>
      </c>
      <c r="I498" s="127" t="s">
        <v>3266</v>
      </c>
      <c r="J498"/>
      <c r="K498"/>
      <c r="L498"/>
    </row>
    <row r="499" spans="1:12">
      <c r="A499" s="95" t="s">
        <v>282</v>
      </c>
      <c r="B499" t="s">
        <v>3239</v>
      </c>
      <c r="C499" s="87" t="s">
        <v>456</v>
      </c>
      <c r="D499" s="88"/>
      <c r="E499" s="89">
        <v>69269455</v>
      </c>
      <c r="F499"/>
      <c r="G499" s="17" t="s">
        <v>3</v>
      </c>
      <c r="H499" s="132">
        <v>46085</v>
      </c>
      <c r="I499" s="127" t="s">
        <v>3267</v>
      </c>
      <c r="J499"/>
      <c r="K499"/>
      <c r="L499"/>
    </row>
    <row r="500" spans="1:12">
      <c r="A500" s="95" t="s">
        <v>282</v>
      </c>
      <c r="B500" t="s">
        <v>3239</v>
      </c>
      <c r="C500" s="87" t="s">
        <v>457</v>
      </c>
      <c r="D500" s="88"/>
      <c r="E500" s="89">
        <v>69504487</v>
      </c>
      <c r="F500"/>
      <c r="G500" s="17" t="s">
        <v>3</v>
      </c>
      <c r="H500" s="132">
        <v>46085</v>
      </c>
      <c r="I500" s="127" t="s">
        <v>3422</v>
      </c>
      <c r="J500"/>
      <c r="K500"/>
      <c r="L500"/>
    </row>
    <row r="501" spans="1:12">
      <c r="A501" s="95" t="s">
        <v>282</v>
      </c>
      <c r="B501" t="s">
        <v>3239</v>
      </c>
      <c r="C501" s="87" t="s">
        <v>458</v>
      </c>
      <c r="D501" s="88"/>
      <c r="E501" s="89">
        <v>64026239</v>
      </c>
      <c r="F501"/>
      <c r="G501" s="17" t="s">
        <v>3</v>
      </c>
      <c r="H501" s="132">
        <v>46085</v>
      </c>
      <c r="I501" s="127" t="s">
        <v>3274</v>
      </c>
      <c r="J501"/>
      <c r="K501"/>
      <c r="L501"/>
    </row>
    <row r="502" spans="1:12">
      <c r="A502" s="95" t="s">
        <v>282</v>
      </c>
      <c r="B502" t="s">
        <v>3239</v>
      </c>
      <c r="C502" s="87" t="s">
        <v>459</v>
      </c>
      <c r="D502" s="88"/>
      <c r="E502" s="89">
        <v>69571828</v>
      </c>
      <c r="F502"/>
      <c r="G502" s="17" t="s">
        <v>4</v>
      </c>
      <c r="H502" s="132">
        <v>46085</v>
      </c>
      <c r="I502" s="127" t="s">
        <v>3275</v>
      </c>
      <c r="J502"/>
      <c r="K502"/>
      <c r="L502"/>
    </row>
    <row r="503" spans="1:12">
      <c r="A503" s="95" t="s">
        <v>282</v>
      </c>
      <c r="B503" t="s">
        <v>3239</v>
      </c>
      <c r="C503" s="87" t="s">
        <v>460</v>
      </c>
      <c r="D503" s="88"/>
      <c r="E503" s="89">
        <v>63409144</v>
      </c>
      <c r="F503"/>
      <c r="G503" s="17" t="s">
        <v>9</v>
      </c>
      <c r="H503" s="132">
        <v>46086</v>
      </c>
      <c r="I503" s="127" t="s">
        <v>3423</v>
      </c>
      <c r="J503"/>
      <c r="K503"/>
      <c r="L503" t="s">
        <v>3287</v>
      </c>
    </row>
    <row r="504" spans="1:12">
      <c r="A504" s="95" t="s">
        <v>282</v>
      </c>
      <c r="B504" t="s">
        <v>3239</v>
      </c>
      <c r="C504" s="87" t="s">
        <v>461</v>
      </c>
      <c r="D504" s="88"/>
      <c r="E504" s="89">
        <v>63901806</v>
      </c>
      <c r="F504"/>
      <c r="G504" s="17" t="s">
        <v>2</v>
      </c>
      <c r="H504" s="132">
        <v>46086</v>
      </c>
      <c r="I504" s="127" t="s">
        <v>3424</v>
      </c>
      <c r="J504"/>
      <c r="K504"/>
      <c r="L504"/>
    </row>
    <row r="505" spans="1:12">
      <c r="A505" s="95" t="s">
        <v>282</v>
      </c>
      <c r="B505" t="s">
        <v>3239</v>
      </c>
      <c r="C505" s="87" t="s">
        <v>462</v>
      </c>
      <c r="D505" s="88"/>
      <c r="E505" s="89">
        <v>61678866</v>
      </c>
      <c r="F505"/>
      <c r="G505" s="17" t="s">
        <v>1</v>
      </c>
      <c r="H505" s="132">
        <v>46086</v>
      </c>
      <c r="I505" s="127" t="s">
        <v>3425</v>
      </c>
      <c r="J505"/>
      <c r="K505"/>
      <c r="L505"/>
    </row>
    <row r="506" spans="1:12">
      <c r="A506" s="94" t="s">
        <v>282</v>
      </c>
      <c r="B506" t="s">
        <v>3239</v>
      </c>
      <c r="C506" s="92"/>
      <c r="D506" s="17" t="s">
        <v>3426</v>
      </c>
      <c r="E506" s="93" t="s">
        <v>3427</v>
      </c>
      <c r="F506"/>
      <c r="G506" s="17" t="s">
        <v>4</v>
      </c>
      <c r="H506" s="132">
        <v>46086</v>
      </c>
      <c r="I506" s="127" t="s">
        <v>3428</v>
      </c>
      <c r="J506"/>
      <c r="K506"/>
      <c r="L506" t="s">
        <v>3429</v>
      </c>
    </row>
    <row r="507" spans="1:12">
      <c r="A507" s="94" t="s">
        <v>282</v>
      </c>
      <c r="B507" t="s">
        <v>3239</v>
      </c>
      <c r="C507" s="92"/>
      <c r="D507" s="17" t="s">
        <v>3430</v>
      </c>
      <c r="E507" s="93" t="s">
        <v>3431</v>
      </c>
      <c r="F507"/>
      <c r="G507" s="17" t="s">
        <v>1</v>
      </c>
      <c r="H507" s="132">
        <v>46086</v>
      </c>
      <c r="I507" s="127" t="s">
        <v>3432</v>
      </c>
      <c r="J507"/>
      <c r="K507"/>
      <c r="L507"/>
    </row>
    <row r="508" spans="1:12">
      <c r="A508" s="94" t="s">
        <v>282</v>
      </c>
      <c r="B508" t="s">
        <v>3239</v>
      </c>
      <c r="C508" s="92"/>
      <c r="D508" s="17" t="s">
        <v>3433</v>
      </c>
      <c r="E508" s="93" t="s">
        <v>3434</v>
      </c>
      <c r="F508"/>
      <c r="G508" s="17" t="s">
        <v>2</v>
      </c>
      <c r="H508" s="132">
        <v>46086</v>
      </c>
      <c r="I508" s="127" t="s">
        <v>3435</v>
      </c>
      <c r="J508"/>
      <c r="K508"/>
      <c r="L508"/>
    </row>
    <row r="509" spans="1:12">
      <c r="A509" s="94" t="s">
        <v>282</v>
      </c>
      <c r="B509" t="s">
        <v>3239</v>
      </c>
      <c r="C509" s="92"/>
      <c r="D509" s="17" t="s">
        <v>3436</v>
      </c>
      <c r="E509" s="93" t="s">
        <v>3437</v>
      </c>
      <c r="F509"/>
      <c r="G509" s="17" t="s">
        <v>9</v>
      </c>
      <c r="H509" s="132">
        <v>46086</v>
      </c>
      <c r="I509" s="127" t="s">
        <v>3288</v>
      </c>
      <c r="J509"/>
      <c r="K509"/>
      <c r="L509" t="s">
        <v>3438</v>
      </c>
    </row>
    <row r="510" spans="1:12">
      <c r="A510" s="94" t="s">
        <v>282</v>
      </c>
      <c r="B510" t="s">
        <v>3239</v>
      </c>
      <c r="C510" s="92" t="s">
        <v>3439</v>
      </c>
      <c r="D510" s="17" t="s">
        <v>3440</v>
      </c>
      <c r="E510" s="93" t="s">
        <v>3441</v>
      </c>
      <c r="F510"/>
      <c r="G510" s="17" t="s">
        <v>1</v>
      </c>
      <c r="H510" s="132">
        <v>46086</v>
      </c>
      <c r="I510" s="127" t="s">
        <v>3295</v>
      </c>
      <c r="J510"/>
      <c r="K510"/>
      <c r="L510" t="s">
        <v>3442</v>
      </c>
    </row>
    <row r="511" spans="1:12">
      <c r="A511" s="94" t="s">
        <v>282</v>
      </c>
      <c r="B511" t="s">
        <v>3239</v>
      </c>
      <c r="C511" s="92"/>
      <c r="D511" s="17" t="s">
        <v>3443</v>
      </c>
      <c r="E511" s="93" t="s">
        <v>3444</v>
      </c>
      <c r="F511"/>
      <c r="G511" s="17" t="s">
        <v>4</v>
      </c>
      <c r="H511" s="132">
        <v>46086</v>
      </c>
      <c r="I511" s="127" t="s">
        <v>3445</v>
      </c>
      <c r="J511"/>
      <c r="K511"/>
      <c r="L511"/>
    </row>
    <row r="512" spans="1:12">
      <c r="A512" s="94" t="s">
        <v>282</v>
      </c>
      <c r="B512" t="s">
        <v>3239</v>
      </c>
      <c r="C512" s="92"/>
      <c r="D512" s="17" t="s">
        <v>3446</v>
      </c>
      <c r="E512" s="93" t="s">
        <v>3447</v>
      </c>
      <c r="F512"/>
      <c r="G512" s="17" t="s">
        <v>9</v>
      </c>
      <c r="H512" s="132">
        <v>46086</v>
      </c>
      <c r="I512" s="127" t="s">
        <v>3298</v>
      </c>
      <c r="J512"/>
      <c r="K512"/>
      <c r="L512" t="s">
        <v>3448</v>
      </c>
    </row>
    <row r="513" spans="1:12">
      <c r="A513" s="94" t="s">
        <v>282</v>
      </c>
      <c r="B513" t="s">
        <v>3239</v>
      </c>
      <c r="C513" s="92"/>
      <c r="D513" s="17" t="s">
        <v>3449</v>
      </c>
      <c r="E513" s="93" t="s">
        <v>3450</v>
      </c>
      <c r="F513"/>
      <c r="G513" s="17" t="s">
        <v>1</v>
      </c>
      <c r="H513" s="132">
        <v>46086</v>
      </c>
      <c r="I513" s="127" t="s">
        <v>3451</v>
      </c>
      <c r="J513"/>
      <c r="K513"/>
      <c r="L513"/>
    </row>
    <row r="514" spans="1:12">
      <c r="A514" s="94" t="s">
        <v>282</v>
      </c>
      <c r="B514" t="s">
        <v>3239</v>
      </c>
      <c r="C514" s="92"/>
      <c r="D514" s="17" t="s">
        <v>3452</v>
      </c>
      <c r="E514" s="93" t="s">
        <v>3453</v>
      </c>
      <c r="F514"/>
      <c r="G514" s="17" t="s">
        <v>2</v>
      </c>
      <c r="H514" s="132">
        <v>46086</v>
      </c>
      <c r="I514" s="127" t="s">
        <v>3305</v>
      </c>
      <c r="J514"/>
      <c r="K514"/>
      <c r="L514"/>
    </row>
    <row r="515" spans="1:12">
      <c r="A515" s="94" t="s">
        <v>282</v>
      </c>
      <c r="B515" t="s">
        <v>3239</v>
      </c>
      <c r="C515" s="92"/>
      <c r="D515" s="17" t="s">
        <v>3454</v>
      </c>
      <c r="E515" s="93" t="s">
        <v>3455</v>
      </c>
      <c r="F515"/>
      <c r="G515" s="17" t="s">
        <v>9</v>
      </c>
      <c r="H515" s="132">
        <v>46086</v>
      </c>
      <c r="I515" s="127" t="s">
        <v>3308</v>
      </c>
      <c r="J515"/>
      <c r="K515"/>
      <c r="L515" t="s">
        <v>3456</v>
      </c>
    </row>
    <row r="516" spans="1:12">
      <c r="A516" s="94" t="s">
        <v>282</v>
      </c>
      <c r="B516" t="s">
        <v>3239</v>
      </c>
      <c r="C516" s="92"/>
      <c r="D516" s="17" t="s">
        <v>3457</v>
      </c>
      <c r="E516" s="93" t="s">
        <v>3458</v>
      </c>
      <c r="F516"/>
      <c r="G516" s="17" t="s">
        <v>2</v>
      </c>
      <c r="H516" s="132">
        <v>46086</v>
      </c>
      <c r="I516" s="127" t="s">
        <v>3309</v>
      </c>
      <c r="J516"/>
      <c r="K516"/>
      <c r="L516"/>
    </row>
    <row r="517" spans="1:12">
      <c r="A517" s="94" t="s">
        <v>282</v>
      </c>
      <c r="B517" t="s">
        <v>3239</v>
      </c>
      <c r="C517" s="92"/>
      <c r="D517" s="17" t="s">
        <v>3459</v>
      </c>
      <c r="E517" s="93" t="s">
        <v>3460</v>
      </c>
      <c r="F517"/>
      <c r="G517" s="17" t="s">
        <v>9</v>
      </c>
      <c r="H517" s="132">
        <v>46086</v>
      </c>
      <c r="I517" s="127" t="s">
        <v>3311</v>
      </c>
      <c r="J517"/>
      <c r="K517"/>
      <c r="L517" t="s">
        <v>3448</v>
      </c>
    </row>
    <row r="518" spans="1:12">
      <c r="A518" s="94" t="s">
        <v>282</v>
      </c>
      <c r="B518" t="s">
        <v>3239</v>
      </c>
      <c r="C518" s="92"/>
      <c r="D518" s="17" t="s">
        <v>3461</v>
      </c>
      <c r="E518" s="93" t="s">
        <v>3462</v>
      </c>
      <c r="F518"/>
      <c r="G518" s="17" t="s">
        <v>3</v>
      </c>
      <c r="H518" s="132">
        <v>46086</v>
      </c>
      <c r="I518" s="127" t="s">
        <v>3312</v>
      </c>
      <c r="J518"/>
      <c r="K518"/>
      <c r="L518"/>
    </row>
    <row r="519" spans="1:12">
      <c r="A519" s="94" t="s">
        <v>282</v>
      </c>
      <c r="B519" t="s">
        <v>3239</v>
      </c>
      <c r="C519" s="92"/>
      <c r="D519" s="17" t="s">
        <v>3463</v>
      </c>
      <c r="E519" s="93" t="s">
        <v>3464</v>
      </c>
      <c r="F519"/>
      <c r="G519" s="17" t="s">
        <v>1</v>
      </c>
      <c r="H519" s="132">
        <v>46086</v>
      </c>
      <c r="I519" s="127" t="s">
        <v>3465</v>
      </c>
      <c r="J519"/>
      <c r="K519"/>
      <c r="L519"/>
    </row>
    <row r="520" spans="1:12">
      <c r="A520" s="94" t="s">
        <v>282</v>
      </c>
      <c r="B520" t="s">
        <v>3239</v>
      </c>
      <c r="C520" s="92"/>
      <c r="D520" s="17" t="s">
        <v>3466</v>
      </c>
      <c r="E520" s="93" t="s">
        <v>3467</v>
      </c>
      <c r="F520"/>
      <c r="G520" s="17" t="s">
        <v>9</v>
      </c>
      <c r="H520" s="132">
        <v>46086</v>
      </c>
      <c r="I520" s="127" t="s">
        <v>3468</v>
      </c>
      <c r="J520"/>
      <c r="K520"/>
      <c r="L520" t="s">
        <v>3469</v>
      </c>
    </row>
    <row r="521" spans="1:12">
      <c r="A521" s="94" t="s">
        <v>282</v>
      </c>
      <c r="B521" t="s">
        <v>3239</v>
      </c>
      <c r="C521" s="92"/>
      <c r="D521" s="17" t="s">
        <v>3470</v>
      </c>
      <c r="E521" s="93" t="s">
        <v>3471</v>
      </c>
      <c r="F521"/>
      <c r="G521" s="17" t="s">
        <v>1</v>
      </c>
      <c r="H521" s="132">
        <v>46086</v>
      </c>
      <c r="I521" s="127" t="s">
        <v>3472</v>
      </c>
      <c r="J521"/>
      <c r="K521"/>
      <c r="L521"/>
    </row>
    <row r="522" spans="1:12">
      <c r="A522" s="94" t="s">
        <v>282</v>
      </c>
      <c r="B522" t="s">
        <v>3239</v>
      </c>
      <c r="C522" s="92"/>
      <c r="D522" s="17" t="s">
        <v>3473</v>
      </c>
      <c r="E522" s="93" t="s">
        <v>3474</v>
      </c>
      <c r="F522"/>
      <c r="G522" s="17" t="s">
        <v>6</v>
      </c>
      <c r="H522" s="132">
        <v>46086</v>
      </c>
      <c r="I522" s="127" t="s">
        <v>3475</v>
      </c>
      <c r="J522"/>
      <c r="K522"/>
      <c r="L522"/>
    </row>
    <row r="523" spans="1:12">
      <c r="A523" s="94" t="s">
        <v>282</v>
      </c>
      <c r="B523" t="s">
        <v>3239</v>
      </c>
      <c r="C523" s="92"/>
      <c r="D523" s="17" t="s">
        <v>3476</v>
      </c>
      <c r="E523" s="93" t="s">
        <v>3477</v>
      </c>
      <c r="F523"/>
      <c r="G523" s="17" t="s">
        <v>6</v>
      </c>
      <c r="H523" s="132">
        <v>46086</v>
      </c>
      <c r="I523" s="127" t="s">
        <v>3478</v>
      </c>
      <c r="J523"/>
      <c r="K523"/>
      <c r="L523"/>
    </row>
    <row r="524" spans="1:12">
      <c r="A524" s="94" t="s">
        <v>282</v>
      </c>
      <c r="B524" t="s">
        <v>3239</v>
      </c>
      <c r="C524" s="92"/>
      <c r="D524" s="17" t="s">
        <v>3479</v>
      </c>
      <c r="E524" s="93" t="s">
        <v>3480</v>
      </c>
      <c r="F524"/>
      <c r="G524" s="17" t="s">
        <v>6</v>
      </c>
      <c r="H524" s="132">
        <v>46086</v>
      </c>
      <c r="I524" s="127" t="s">
        <v>3481</v>
      </c>
      <c r="J524"/>
      <c r="K524"/>
      <c r="L524"/>
    </row>
    <row r="525" spans="1:12">
      <c r="A525" s="94" t="s">
        <v>282</v>
      </c>
      <c r="B525" t="s">
        <v>3239</v>
      </c>
      <c r="C525" s="92"/>
      <c r="D525" s="17" t="s">
        <v>3482</v>
      </c>
      <c r="E525" s="93" t="s">
        <v>3483</v>
      </c>
      <c r="F525"/>
      <c r="G525" s="17" t="s">
        <v>6</v>
      </c>
      <c r="H525" s="132">
        <v>46086</v>
      </c>
      <c r="I525" s="127" t="s">
        <v>3484</v>
      </c>
      <c r="J525"/>
      <c r="K525"/>
      <c r="L525"/>
    </row>
    <row r="526" spans="1:12">
      <c r="A526" s="94" t="s">
        <v>282</v>
      </c>
      <c r="B526" t="s">
        <v>3239</v>
      </c>
      <c r="C526" s="92"/>
      <c r="D526" s="17" t="s">
        <v>3485</v>
      </c>
      <c r="E526" s="93" t="s">
        <v>3486</v>
      </c>
      <c r="F526"/>
      <c r="G526" s="17" t="s">
        <v>3</v>
      </c>
      <c r="H526" s="132">
        <v>46086</v>
      </c>
      <c r="I526" s="127" t="s">
        <v>3487</v>
      </c>
      <c r="J526"/>
      <c r="K526"/>
      <c r="L526" t="s">
        <v>3488</v>
      </c>
    </row>
    <row r="527" spans="1:12">
      <c r="A527" s="94" t="s">
        <v>282</v>
      </c>
      <c r="B527" t="s">
        <v>3239</v>
      </c>
      <c r="C527" s="92"/>
      <c r="D527" s="17" t="s">
        <v>3489</v>
      </c>
      <c r="E527" s="93" t="s">
        <v>3490</v>
      </c>
      <c r="F527"/>
      <c r="G527" s="17" t="s">
        <v>4</v>
      </c>
      <c r="H527" s="132">
        <v>46086</v>
      </c>
      <c r="I527" s="127" t="s">
        <v>3491</v>
      </c>
      <c r="J527"/>
      <c r="K527"/>
      <c r="L527"/>
    </row>
    <row r="528" spans="1:12">
      <c r="A528" s="94" t="s">
        <v>282</v>
      </c>
      <c r="B528" t="s">
        <v>3239</v>
      </c>
      <c r="C528" s="92"/>
      <c r="D528" s="17" t="s">
        <v>3492</v>
      </c>
      <c r="E528" s="93" t="s">
        <v>3493</v>
      </c>
      <c r="F528"/>
      <c r="G528" s="17" t="s">
        <v>1</v>
      </c>
      <c r="H528" s="132">
        <v>46086</v>
      </c>
      <c r="I528" s="127" t="s">
        <v>3393</v>
      </c>
      <c r="J528"/>
      <c r="K528"/>
      <c r="L528" t="s">
        <v>3494</v>
      </c>
    </row>
    <row r="529" spans="1:12">
      <c r="A529" s="94" t="s">
        <v>282</v>
      </c>
      <c r="B529" t="s">
        <v>3239</v>
      </c>
      <c r="C529" s="92"/>
      <c r="D529" s="17" t="s">
        <v>3495</v>
      </c>
      <c r="E529" s="93" t="s">
        <v>3496</v>
      </c>
      <c r="F529"/>
      <c r="G529" s="17" t="s">
        <v>6</v>
      </c>
      <c r="H529" s="132">
        <v>46086</v>
      </c>
      <c r="I529" s="127" t="s">
        <v>3497</v>
      </c>
      <c r="J529"/>
      <c r="K529"/>
      <c r="L529"/>
    </row>
    <row r="530" spans="1:12">
      <c r="A530" s="94" t="s">
        <v>282</v>
      </c>
      <c r="B530" t="s">
        <v>3239</v>
      </c>
      <c r="C530" s="92"/>
      <c r="D530" s="17" t="s">
        <v>3498</v>
      </c>
      <c r="E530" s="93" t="s">
        <v>3499</v>
      </c>
      <c r="F530"/>
      <c r="G530" s="17" t="s">
        <v>1</v>
      </c>
      <c r="H530" s="132">
        <v>46086</v>
      </c>
      <c r="I530" s="127" t="s">
        <v>3500</v>
      </c>
      <c r="J530"/>
      <c r="K530"/>
      <c r="L530"/>
    </row>
    <row r="531" spans="1:12">
      <c r="A531" s="94" t="s">
        <v>282</v>
      </c>
      <c r="B531" t="s">
        <v>3239</v>
      </c>
      <c r="C531" s="92"/>
      <c r="D531" s="17" t="s">
        <v>3501</v>
      </c>
      <c r="E531" s="93" t="s">
        <v>3502</v>
      </c>
      <c r="F531"/>
      <c r="G531" s="17" t="s">
        <v>3</v>
      </c>
      <c r="H531" s="132">
        <v>46086</v>
      </c>
      <c r="I531" s="127" t="s">
        <v>3503</v>
      </c>
      <c r="J531"/>
      <c r="K531"/>
      <c r="L531"/>
    </row>
    <row r="532" spans="1:12">
      <c r="A532" s="94" t="s">
        <v>282</v>
      </c>
      <c r="B532" t="s">
        <v>3239</v>
      </c>
      <c r="C532" s="92"/>
      <c r="D532" s="17" t="s">
        <v>3504</v>
      </c>
      <c r="E532" s="93" t="s">
        <v>3505</v>
      </c>
      <c r="F532"/>
      <c r="G532" s="17" t="s">
        <v>6</v>
      </c>
      <c r="H532" s="132">
        <v>46086</v>
      </c>
      <c r="I532" s="127" t="s">
        <v>3506</v>
      </c>
      <c r="J532"/>
      <c r="K532"/>
      <c r="L532"/>
    </row>
    <row r="533" spans="1:12">
      <c r="A533" s="94" t="s">
        <v>282</v>
      </c>
      <c r="B533" t="s">
        <v>3239</v>
      </c>
      <c r="C533" s="92"/>
      <c r="D533" s="17" t="s">
        <v>3507</v>
      </c>
      <c r="E533" s="93" t="s">
        <v>3508</v>
      </c>
      <c r="F533"/>
      <c r="G533" s="17" t="s">
        <v>4</v>
      </c>
      <c r="H533" s="132">
        <v>46086</v>
      </c>
      <c r="I533" s="127" t="s">
        <v>3509</v>
      </c>
      <c r="J533"/>
      <c r="K533"/>
      <c r="L533"/>
    </row>
    <row r="534" spans="1:12">
      <c r="A534" s="94" t="s">
        <v>282</v>
      </c>
      <c r="B534" t="s">
        <v>3239</v>
      </c>
      <c r="C534" s="92"/>
      <c r="D534" s="17" t="s">
        <v>3510</v>
      </c>
      <c r="E534" s="93" t="s">
        <v>3511</v>
      </c>
      <c r="F534"/>
      <c r="G534" s="17" t="s">
        <v>3</v>
      </c>
      <c r="H534" s="132">
        <v>46086</v>
      </c>
      <c r="I534" s="127" t="s">
        <v>3512</v>
      </c>
      <c r="J534"/>
      <c r="K534"/>
      <c r="L534"/>
    </row>
    <row r="535" spans="1:12">
      <c r="A535" s="94" t="s">
        <v>282</v>
      </c>
      <c r="B535" t="s">
        <v>3239</v>
      </c>
      <c r="C535" s="92"/>
      <c r="D535" s="17" t="s">
        <v>3513</v>
      </c>
      <c r="E535" s="93" t="s">
        <v>3514</v>
      </c>
      <c r="F535"/>
      <c r="G535" s="17" t="s">
        <v>3</v>
      </c>
      <c r="H535" s="132">
        <v>46086</v>
      </c>
      <c r="I535" s="127" t="s">
        <v>3515</v>
      </c>
      <c r="J535"/>
      <c r="K535"/>
      <c r="L535"/>
    </row>
    <row r="536" spans="1:12">
      <c r="A536" s="94" t="s">
        <v>282</v>
      </c>
      <c r="B536" t="s">
        <v>3239</v>
      </c>
      <c r="C536" s="92"/>
      <c r="D536" s="17" t="s">
        <v>3516</v>
      </c>
      <c r="E536" s="93" t="s">
        <v>3517</v>
      </c>
      <c r="F536"/>
      <c r="G536" s="17" t="s">
        <v>1</v>
      </c>
      <c r="H536" s="132">
        <v>46086</v>
      </c>
      <c r="I536" s="127" t="s">
        <v>3518</v>
      </c>
      <c r="J536"/>
      <c r="K536"/>
      <c r="L536"/>
    </row>
    <row r="537" spans="1:12">
      <c r="A537" s="94" t="s">
        <v>282</v>
      </c>
      <c r="B537" t="s">
        <v>3239</v>
      </c>
      <c r="C537" s="92"/>
      <c r="D537" s="17" t="s">
        <v>3519</v>
      </c>
      <c r="E537" s="93" t="s">
        <v>3520</v>
      </c>
      <c r="F537"/>
      <c r="G537" s="17" t="s">
        <v>1</v>
      </c>
      <c r="H537" s="132">
        <v>46086</v>
      </c>
      <c r="I537" s="127" t="s">
        <v>3521</v>
      </c>
      <c r="J537"/>
      <c r="K537"/>
      <c r="L537"/>
    </row>
    <row r="538" spans="1:12">
      <c r="A538" s="94" t="s">
        <v>282</v>
      </c>
      <c r="B538" t="s">
        <v>3239</v>
      </c>
      <c r="C538" s="92"/>
      <c r="D538" s="17" t="s">
        <v>3522</v>
      </c>
      <c r="E538" s="93" t="s">
        <v>3523</v>
      </c>
      <c r="F538"/>
      <c r="G538" s="17" t="s">
        <v>6</v>
      </c>
      <c r="H538" s="132">
        <v>46086</v>
      </c>
      <c r="I538" s="127" t="s">
        <v>3524</v>
      </c>
      <c r="J538"/>
      <c r="K538"/>
      <c r="L538"/>
    </row>
    <row r="539" spans="1:12">
      <c r="A539" s="94" t="s">
        <v>282</v>
      </c>
      <c r="B539" t="s">
        <v>3239</v>
      </c>
      <c r="C539" s="92"/>
      <c r="D539" s="17" t="s">
        <v>3525</v>
      </c>
      <c r="E539" s="93" t="s">
        <v>3526</v>
      </c>
      <c r="F539"/>
      <c r="G539" s="17" t="s">
        <v>6</v>
      </c>
      <c r="H539" s="132">
        <v>46086</v>
      </c>
      <c r="I539" s="127" t="s">
        <v>3527</v>
      </c>
      <c r="J539"/>
      <c r="K539"/>
      <c r="L539"/>
    </row>
    <row r="540" spans="1:12">
      <c r="A540" s="94" t="s">
        <v>282</v>
      </c>
      <c r="B540" t="s">
        <v>3239</v>
      </c>
      <c r="C540" s="92"/>
      <c r="D540" s="17" t="s">
        <v>3528</v>
      </c>
      <c r="E540" s="93" t="s">
        <v>3529</v>
      </c>
      <c r="F540"/>
      <c r="G540" s="17" t="s">
        <v>1</v>
      </c>
      <c r="H540" s="132">
        <v>46086</v>
      </c>
      <c r="I540" s="127" t="s">
        <v>3530</v>
      </c>
      <c r="J540"/>
      <c r="K540"/>
      <c r="L540"/>
    </row>
    <row r="541" spans="1:12">
      <c r="A541" s="94" t="s">
        <v>282</v>
      </c>
      <c r="B541" t="s">
        <v>3239</v>
      </c>
      <c r="C541" s="92"/>
      <c r="D541" s="17" t="s">
        <v>3531</v>
      </c>
      <c r="E541" s="93" t="s">
        <v>3532</v>
      </c>
      <c r="F541"/>
      <c r="G541" s="17" t="s">
        <v>6</v>
      </c>
      <c r="H541" s="132">
        <v>46086</v>
      </c>
      <c r="I541" s="127" t="s">
        <v>3398</v>
      </c>
      <c r="J541"/>
      <c r="K541"/>
      <c r="L541"/>
    </row>
    <row r="542" spans="1:12">
      <c r="A542" s="94" t="s">
        <v>282</v>
      </c>
      <c r="B542" t="s">
        <v>3239</v>
      </c>
      <c r="C542" s="92"/>
      <c r="D542" s="17" t="s">
        <v>3533</v>
      </c>
      <c r="E542" s="93" t="s">
        <v>3534</v>
      </c>
      <c r="F542"/>
      <c r="G542" s="17" t="s">
        <v>6</v>
      </c>
      <c r="H542" s="132">
        <v>46086</v>
      </c>
      <c r="I542" s="127" t="s">
        <v>3399</v>
      </c>
      <c r="J542"/>
      <c r="K542"/>
      <c r="L542"/>
    </row>
    <row r="543" spans="1:12">
      <c r="A543" s="94" t="s">
        <v>282</v>
      </c>
      <c r="B543" t="s">
        <v>3239</v>
      </c>
      <c r="C543" s="92"/>
      <c r="D543" s="17" t="s">
        <v>3535</v>
      </c>
      <c r="E543" s="93" t="s">
        <v>3536</v>
      </c>
      <c r="F543"/>
      <c r="G543" s="17" t="s">
        <v>2</v>
      </c>
      <c r="H543" s="132">
        <v>46086</v>
      </c>
      <c r="I543" s="127" t="s">
        <v>3400</v>
      </c>
      <c r="J543"/>
      <c r="K543"/>
      <c r="L543"/>
    </row>
    <row r="544" spans="1:12">
      <c r="A544" s="94" t="s">
        <v>282</v>
      </c>
      <c r="B544" t="s">
        <v>3239</v>
      </c>
      <c r="C544" s="92"/>
      <c r="D544" s="17" t="s">
        <v>3537</v>
      </c>
      <c r="E544" s="93" t="s">
        <v>3538</v>
      </c>
      <c r="F544"/>
      <c r="G544" s="17" t="s">
        <v>6</v>
      </c>
      <c r="H544" s="132">
        <v>46086</v>
      </c>
      <c r="I544" s="127" t="s">
        <v>3401</v>
      </c>
      <c r="J544"/>
      <c r="K544"/>
      <c r="L544"/>
    </row>
    <row r="545" spans="1:12">
      <c r="A545" s="94" t="s">
        <v>282</v>
      </c>
      <c r="B545" t="s">
        <v>3239</v>
      </c>
      <c r="C545" s="92"/>
      <c r="D545" s="17" t="s">
        <v>3498</v>
      </c>
      <c r="E545" s="93" t="s">
        <v>3499</v>
      </c>
      <c r="F545"/>
      <c r="G545" s="17" t="s">
        <v>1</v>
      </c>
      <c r="H545" s="132">
        <v>46086</v>
      </c>
      <c r="I545" s="127" t="s">
        <v>3402</v>
      </c>
      <c r="J545"/>
      <c r="K545"/>
      <c r="L545"/>
    </row>
    <row r="546" spans="1:12">
      <c r="A546" s="94" t="s">
        <v>282</v>
      </c>
      <c r="B546" t="s">
        <v>3239</v>
      </c>
      <c r="C546" s="92"/>
      <c r="D546" s="17" t="s">
        <v>3539</v>
      </c>
      <c r="E546" s="93" t="s">
        <v>3540</v>
      </c>
      <c r="F546"/>
      <c r="G546" s="17" t="s">
        <v>2</v>
      </c>
      <c r="H546" s="132">
        <v>46086</v>
      </c>
      <c r="I546" s="127" t="s">
        <v>3404</v>
      </c>
      <c r="J546"/>
      <c r="K546"/>
      <c r="L546"/>
    </row>
    <row r="547" spans="1:12">
      <c r="A547" s="94" t="s">
        <v>282</v>
      </c>
      <c r="B547" t="s">
        <v>3239</v>
      </c>
      <c r="C547" s="92"/>
      <c r="D547" s="17" t="s">
        <v>3541</v>
      </c>
      <c r="E547" s="93" t="s">
        <v>3542</v>
      </c>
      <c r="F547"/>
      <c r="G547" s="17" t="s">
        <v>1</v>
      </c>
      <c r="H547" s="132">
        <v>46086</v>
      </c>
      <c r="I547" s="127" t="s">
        <v>3406</v>
      </c>
      <c r="J547"/>
      <c r="K547"/>
      <c r="L547"/>
    </row>
    <row r="548" spans="1:12">
      <c r="A548" s="94" t="s">
        <v>282</v>
      </c>
      <c r="B548" t="s">
        <v>3239</v>
      </c>
      <c r="C548" s="92"/>
      <c r="D548" s="17" t="s">
        <v>3543</v>
      </c>
      <c r="E548" s="93" t="s">
        <v>3544</v>
      </c>
      <c r="F548"/>
      <c r="G548" s="17" t="s">
        <v>3</v>
      </c>
      <c r="H548" s="132">
        <v>46086</v>
      </c>
      <c r="I548" s="127" t="s">
        <v>3408</v>
      </c>
      <c r="J548"/>
      <c r="K548"/>
      <c r="L548"/>
    </row>
    <row r="549" spans="1:12">
      <c r="A549" s="94" t="s">
        <v>282</v>
      </c>
      <c r="B549" t="s">
        <v>3239</v>
      </c>
      <c r="C549" s="92"/>
      <c r="D549" s="17" t="s">
        <v>3545</v>
      </c>
      <c r="E549" s="93" t="s">
        <v>3546</v>
      </c>
      <c r="F549"/>
      <c r="G549" s="17" t="s">
        <v>1</v>
      </c>
      <c r="H549" s="132">
        <v>46086</v>
      </c>
      <c r="I549" s="127" t="s">
        <v>3547</v>
      </c>
      <c r="J549"/>
      <c r="K549"/>
      <c r="L549"/>
    </row>
    <row r="550" spans="1:12">
      <c r="A550" s="94" t="s">
        <v>282</v>
      </c>
      <c r="B550" t="s">
        <v>3239</v>
      </c>
      <c r="C550" s="92"/>
      <c r="D550" s="17" t="s">
        <v>3548</v>
      </c>
      <c r="E550" s="93" t="s">
        <v>3549</v>
      </c>
      <c r="F550"/>
      <c r="G550" s="17" t="s">
        <v>2</v>
      </c>
      <c r="H550" s="132">
        <v>46086</v>
      </c>
      <c r="I550" s="127" t="s">
        <v>3550</v>
      </c>
      <c r="J550"/>
      <c r="K550"/>
      <c r="L550"/>
    </row>
    <row r="551" spans="1:12">
      <c r="A551" s="94" t="s">
        <v>282</v>
      </c>
      <c r="B551" t="s">
        <v>3239</v>
      </c>
      <c r="C551" s="92"/>
      <c r="D551" s="17" t="s">
        <v>3551</v>
      </c>
      <c r="E551" s="93" t="s">
        <v>3552</v>
      </c>
      <c r="F551"/>
      <c r="G551" s="17" t="s">
        <v>3</v>
      </c>
      <c r="H551" s="132">
        <v>46086</v>
      </c>
      <c r="I551" s="127" t="s">
        <v>3240</v>
      </c>
      <c r="J551"/>
      <c r="K551"/>
      <c r="L551"/>
    </row>
    <row r="552" spans="1:12">
      <c r="A552" s="94" t="s">
        <v>282</v>
      </c>
      <c r="B552" t="s">
        <v>3239</v>
      </c>
      <c r="C552" s="92"/>
      <c r="D552" s="17" t="s">
        <v>3553</v>
      </c>
      <c r="E552" s="93" t="s">
        <v>3554</v>
      </c>
      <c r="F552"/>
      <c r="G552" s="17" t="s">
        <v>1</v>
      </c>
      <c r="H552" s="132">
        <v>46086</v>
      </c>
      <c r="I552" s="127" t="s">
        <v>3555</v>
      </c>
      <c r="J552"/>
      <c r="K552"/>
      <c r="L552"/>
    </row>
    <row r="553" spans="1:12">
      <c r="A553" s="94" t="s">
        <v>282</v>
      </c>
      <c r="B553" t="s">
        <v>3239</v>
      </c>
      <c r="C553" s="92"/>
      <c r="D553" s="17" t="s">
        <v>3556</v>
      </c>
      <c r="E553" s="93" t="s">
        <v>3557</v>
      </c>
      <c r="F553"/>
      <c r="G553" s="17" t="s">
        <v>3</v>
      </c>
      <c r="H553" s="132">
        <v>46086</v>
      </c>
      <c r="I553" s="127" t="s">
        <v>3248</v>
      </c>
      <c r="J553"/>
      <c r="K553"/>
      <c r="L553"/>
    </row>
    <row r="554" spans="1:12">
      <c r="A554" s="94" t="s">
        <v>282</v>
      </c>
      <c r="B554" t="s">
        <v>3239</v>
      </c>
      <c r="C554" s="92"/>
      <c r="D554" s="17" t="s">
        <v>3558</v>
      </c>
      <c r="E554" s="93" t="s">
        <v>3559</v>
      </c>
      <c r="F554"/>
      <c r="G554" s="17" t="s">
        <v>1</v>
      </c>
      <c r="H554" s="132">
        <v>46086</v>
      </c>
      <c r="I554" s="127" t="s">
        <v>3249</v>
      </c>
      <c r="J554"/>
      <c r="K554"/>
      <c r="L554"/>
    </row>
    <row r="555" spans="1:12">
      <c r="A555" s="94" t="s">
        <v>282</v>
      </c>
      <c r="B555" t="s">
        <v>3239</v>
      </c>
      <c r="C555" s="92"/>
      <c r="D555" s="17" t="s">
        <v>3560</v>
      </c>
      <c r="E555" s="93" t="s">
        <v>3561</v>
      </c>
      <c r="F555"/>
      <c r="G555" s="17" t="s">
        <v>6</v>
      </c>
      <c r="H555" s="132">
        <v>46086</v>
      </c>
      <c r="I555" s="127" t="s">
        <v>3251</v>
      </c>
      <c r="J555"/>
      <c r="K555"/>
      <c r="L555"/>
    </row>
    <row r="556" spans="1:12">
      <c r="A556" s="94" t="s">
        <v>282</v>
      </c>
      <c r="B556" t="s">
        <v>3239</v>
      </c>
      <c r="C556" s="92"/>
      <c r="D556" s="17" t="s">
        <v>3562</v>
      </c>
      <c r="E556" s="93" t="s">
        <v>3563</v>
      </c>
      <c r="F556"/>
      <c r="G556" s="17" t="s">
        <v>6</v>
      </c>
      <c r="H556" s="132">
        <v>46086</v>
      </c>
      <c r="I556" s="127" t="s">
        <v>3413</v>
      </c>
      <c r="J556"/>
      <c r="K556"/>
      <c r="L556"/>
    </row>
    <row r="557" spans="1:12">
      <c r="A557" s="94" t="s">
        <v>282</v>
      </c>
      <c r="B557" t="s">
        <v>3239</v>
      </c>
      <c r="C557" s="92"/>
      <c r="D557" s="17" t="s">
        <v>3564</v>
      </c>
      <c r="E557" s="93" t="s">
        <v>3565</v>
      </c>
      <c r="F557"/>
      <c r="G557" s="17" t="s">
        <v>2</v>
      </c>
      <c r="H557" s="132">
        <v>46086</v>
      </c>
      <c r="I557" s="127" t="s">
        <v>3566</v>
      </c>
      <c r="J557"/>
      <c r="K557"/>
      <c r="L557"/>
    </row>
    <row r="558" spans="1:12">
      <c r="A558" s="94" t="s">
        <v>282</v>
      </c>
      <c r="B558" t="s">
        <v>3239</v>
      </c>
      <c r="C558" s="92"/>
      <c r="D558" s="17" t="s">
        <v>3567</v>
      </c>
      <c r="E558" s="93" t="s">
        <v>3568</v>
      </c>
      <c r="F558"/>
      <c r="G558" s="17" t="s">
        <v>6</v>
      </c>
      <c r="H558" s="132">
        <v>46086</v>
      </c>
      <c r="I558" s="127" t="s">
        <v>3252</v>
      </c>
      <c r="J558"/>
      <c r="K558"/>
      <c r="L558"/>
    </row>
    <row r="559" spans="1:12">
      <c r="A559" s="94" t="s">
        <v>282</v>
      </c>
      <c r="B559" t="s">
        <v>3239</v>
      </c>
      <c r="C559" s="92"/>
      <c r="D559" s="17" t="s">
        <v>3569</v>
      </c>
      <c r="E559" s="93" t="s">
        <v>3570</v>
      </c>
      <c r="F559"/>
      <c r="G559" s="17" t="s">
        <v>1</v>
      </c>
      <c r="H559" s="132">
        <v>46086</v>
      </c>
      <c r="I559" s="127" t="s">
        <v>3253</v>
      </c>
      <c r="J559"/>
      <c r="K559"/>
      <c r="L559"/>
    </row>
    <row r="560" spans="1:12">
      <c r="A560" s="94" t="s">
        <v>282</v>
      </c>
      <c r="B560" t="s">
        <v>3239</v>
      </c>
      <c r="C560" s="92"/>
      <c r="D560" s="17" t="s">
        <v>3571</v>
      </c>
      <c r="E560" s="93" t="s">
        <v>3572</v>
      </c>
      <c r="F560"/>
      <c r="G560" s="17" t="s">
        <v>1</v>
      </c>
      <c r="H560" s="132">
        <v>46086</v>
      </c>
      <c r="I560" s="127" t="s">
        <v>3254</v>
      </c>
      <c r="J560"/>
      <c r="K560"/>
      <c r="L560"/>
    </row>
    <row r="561" spans="1:12">
      <c r="A561" s="94" t="s">
        <v>282</v>
      </c>
      <c r="B561" t="s">
        <v>3239</v>
      </c>
      <c r="C561" s="92"/>
      <c r="D561" s="17" t="s">
        <v>3573</v>
      </c>
      <c r="E561" s="93" t="s">
        <v>3574</v>
      </c>
      <c r="F561"/>
      <c r="G561" s="17" t="s">
        <v>2</v>
      </c>
      <c r="H561" s="132">
        <v>46086</v>
      </c>
      <c r="I561" s="127" t="s">
        <v>3575</v>
      </c>
      <c r="J561"/>
      <c r="K561"/>
      <c r="L561"/>
    </row>
    <row r="562" spans="1:12">
      <c r="A562" s="94" t="s">
        <v>282</v>
      </c>
      <c r="B562" t="s">
        <v>3239</v>
      </c>
      <c r="C562" s="92"/>
      <c r="D562" s="17" t="s">
        <v>3576</v>
      </c>
      <c r="E562" s="93" t="s">
        <v>3577</v>
      </c>
      <c r="F562"/>
      <c r="G562" s="17" t="s">
        <v>9</v>
      </c>
      <c r="H562" s="132">
        <v>46086</v>
      </c>
      <c r="I562" s="127" t="s">
        <v>3256</v>
      </c>
      <c r="J562"/>
      <c r="K562"/>
      <c r="L562"/>
    </row>
    <row r="563" spans="1:12">
      <c r="A563" s="94" t="s">
        <v>282</v>
      </c>
      <c r="B563" t="s">
        <v>3239</v>
      </c>
      <c r="C563" s="92"/>
      <c r="D563" s="17" t="s">
        <v>3578</v>
      </c>
      <c r="E563" s="93" t="s">
        <v>3579</v>
      </c>
      <c r="F563"/>
      <c r="G563" s="17" t="s">
        <v>1</v>
      </c>
      <c r="H563" s="132">
        <v>46086</v>
      </c>
      <c r="I563" s="127" t="s">
        <v>3257</v>
      </c>
      <c r="J563"/>
      <c r="K563"/>
      <c r="L563"/>
    </row>
    <row r="564" spans="1:12">
      <c r="A564" s="94" t="s">
        <v>282</v>
      </c>
      <c r="B564" t="s">
        <v>3239</v>
      </c>
      <c r="C564" s="92"/>
      <c r="D564" s="17" t="s">
        <v>3580</v>
      </c>
      <c r="E564" s="93" t="s">
        <v>3581</v>
      </c>
      <c r="F564"/>
      <c r="G564" s="17" t="s">
        <v>1</v>
      </c>
      <c r="H564" s="132">
        <v>46086</v>
      </c>
      <c r="I564" s="127" t="s">
        <v>3582</v>
      </c>
      <c r="J564"/>
      <c r="K564"/>
      <c r="L564"/>
    </row>
    <row r="565" spans="1:12">
      <c r="A565" s="94" t="s">
        <v>282</v>
      </c>
      <c r="B565" t="s">
        <v>3239</v>
      </c>
      <c r="C565" s="92"/>
      <c r="D565" s="17" t="s">
        <v>3583</v>
      </c>
      <c r="E565" s="93">
        <v>61648872</v>
      </c>
      <c r="F565"/>
      <c r="G565" s="17" t="s">
        <v>9</v>
      </c>
      <c r="H565" s="132">
        <v>46086</v>
      </c>
      <c r="I565" s="127" t="s">
        <v>3258</v>
      </c>
      <c r="J565"/>
      <c r="K565"/>
      <c r="L565" t="s">
        <v>3584</v>
      </c>
    </row>
    <row r="566" spans="1:12">
      <c r="A566" s="94" t="s">
        <v>282</v>
      </c>
      <c r="B566" t="s">
        <v>3239</v>
      </c>
      <c r="C566" s="92"/>
      <c r="D566" s="17" t="s">
        <v>3585</v>
      </c>
      <c r="E566" s="93">
        <v>65154225</v>
      </c>
      <c r="F566"/>
      <c r="G566" s="17" t="s">
        <v>1</v>
      </c>
      <c r="H566" s="132">
        <v>46086</v>
      </c>
      <c r="I566" s="127" t="s">
        <v>3260</v>
      </c>
      <c r="J566"/>
      <c r="K566"/>
      <c r="L566"/>
    </row>
    <row r="567" spans="1:12">
      <c r="A567" s="94" t="s">
        <v>282</v>
      </c>
      <c r="B567" t="s">
        <v>3239</v>
      </c>
      <c r="C567" s="92"/>
      <c r="D567" s="17" t="s">
        <v>3586</v>
      </c>
      <c r="E567" s="93">
        <v>68115593</v>
      </c>
      <c r="F567"/>
      <c r="G567" s="17" t="s">
        <v>3</v>
      </c>
      <c r="H567" s="132">
        <v>46086</v>
      </c>
      <c r="I567" s="127" t="s">
        <v>3261</v>
      </c>
      <c r="J567"/>
      <c r="K567"/>
      <c r="L567"/>
    </row>
    <row r="568" spans="1:12">
      <c r="A568" s="94" t="s">
        <v>282</v>
      </c>
      <c r="B568" t="s">
        <v>3239</v>
      </c>
      <c r="C568" s="92"/>
      <c r="D568" s="17" t="s">
        <v>3587</v>
      </c>
      <c r="E568" s="93">
        <v>68289686</v>
      </c>
      <c r="F568"/>
      <c r="G568" s="17" t="s">
        <v>6</v>
      </c>
      <c r="H568" s="132">
        <v>46086</v>
      </c>
      <c r="I568" s="127" t="s">
        <v>3420</v>
      </c>
      <c r="J568"/>
      <c r="K568"/>
      <c r="L568"/>
    </row>
    <row r="569" spans="1:12">
      <c r="A569" s="94" t="s">
        <v>282</v>
      </c>
      <c r="B569" t="s">
        <v>3239</v>
      </c>
      <c r="C569" s="92"/>
      <c r="D569" s="17" t="s">
        <v>3588</v>
      </c>
      <c r="E569" s="93" t="s">
        <v>3589</v>
      </c>
      <c r="F569"/>
      <c r="G569" s="17" t="s">
        <v>6</v>
      </c>
      <c r="H569" s="132">
        <v>46086</v>
      </c>
      <c r="I569" s="127" t="s">
        <v>3421</v>
      </c>
      <c r="J569"/>
      <c r="K569"/>
      <c r="L569"/>
    </row>
    <row r="570" spans="1:12">
      <c r="A570" s="94" t="s">
        <v>282</v>
      </c>
      <c r="B570" t="s">
        <v>3239</v>
      </c>
      <c r="C570" s="92"/>
      <c r="D570" s="17" t="s">
        <v>3590</v>
      </c>
      <c r="E570" s="93" t="s">
        <v>3591</v>
      </c>
      <c r="F570"/>
      <c r="G570" s="17" t="s">
        <v>1</v>
      </c>
      <c r="H570" s="132">
        <v>46086</v>
      </c>
      <c r="I570" s="127" t="s">
        <v>3265</v>
      </c>
      <c r="J570"/>
      <c r="K570"/>
      <c r="L570"/>
    </row>
    <row r="571" spans="1:12">
      <c r="A571" s="94" t="s">
        <v>282</v>
      </c>
      <c r="B571" t="s">
        <v>3239</v>
      </c>
      <c r="C571" s="92"/>
      <c r="D571" s="17" t="s">
        <v>3592</v>
      </c>
      <c r="E571" s="93" t="s">
        <v>3593</v>
      </c>
      <c r="F571"/>
      <c r="G571" s="17" t="s">
        <v>1</v>
      </c>
      <c r="H571" s="132">
        <v>46086</v>
      </c>
      <c r="I571" s="127" t="s">
        <v>3594</v>
      </c>
      <c r="J571"/>
      <c r="K571"/>
      <c r="L571"/>
    </row>
    <row r="572" spans="1:12">
      <c r="A572" s="94" t="s">
        <v>282</v>
      </c>
      <c r="B572" t="s">
        <v>3239</v>
      </c>
      <c r="C572" s="92"/>
      <c r="D572" s="17" t="s">
        <v>3595</v>
      </c>
      <c r="E572" s="93" t="s">
        <v>3596</v>
      </c>
      <c r="F572"/>
      <c r="G572" s="17" t="s">
        <v>1</v>
      </c>
      <c r="H572" s="132">
        <v>46086</v>
      </c>
      <c r="I572" s="127" t="s">
        <v>3267</v>
      </c>
      <c r="J572"/>
      <c r="K572"/>
      <c r="L572"/>
    </row>
    <row r="573" spans="1:12">
      <c r="A573" s="94" t="s">
        <v>282</v>
      </c>
      <c r="B573" t="s">
        <v>3239</v>
      </c>
      <c r="C573" s="92"/>
      <c r="D573" s="17" t="s">
        <v>3597</v>
      </c>
      <c r="E573" s="93" t="s">
        <v>3598</v>
      </c>
      <c r="F573"/>
      <c r="G573" s="17" t="s">
        <v>1</v>
      </c>
      <c r="H573" s="132">
        <v>46086</v>
      </c>
      <c r="I573" s="127" t="s">
        <v>3599</v>
      </c>
      <c r="J573"/>
      <c r="K573"/>
      <c r="L573"/>
    </row>
    <row r="574" spans="1:12">
      <c r="A574" s="94" t="s">
        <v>282</v>
      </c>
      <c r="B574" t="s">
        <v>3239</v>
      </c>
      <c r="C574" s="92"/>
      <c r="D574" s="17" t="s">
        <v>3600</v>
      </c>
      <c r="E574" s="93" t="s">
        <v>3601</v>
      </c>
      <c r="F574"/>
      <c r="G574" s="17" t="s">
        <v>1</v>
      </c>
      <c r="H574" s="132">
        <v>46086</v>
      </c>
      <c r="I574" s="127" t="s">
        <v>3269</v>
      </c>
      <c r="J574"/>
      <c r="K574"/>
      <c r="L574"/>
    </row>
    <row r="575" spans="1:12">
      <c r="A575" s="94" t="s">
        <v>282</v>
      </c>
      <c r="B575" t="s">
        <v>3239</v>
      </c>
      <c r="C575" s="92"/>
      <c r="D575" s="17" t="s">
        <v>3602</v>
      </c>
      <c r="E575" s="93" t="s">
        <v>3603</v>
      </c>
      <c r="F575"/>
      <c r="G575" s="17" t="s">
        <v>1</v>
      </c>
      <c r="H575" s="132">
        <v>46086</v>
      </c>
      <c r="I575" s="127" t="s">
        <v>3270</v>
      </c>
      <c r="J575"/>
      <c r="K575"/>
      <c r="L575"/>
    </row>
    <row r="576" spans="1:12">
      <c r="A576" s="94" t="s">
        <v>282</v>
      </c>
      <c r="B576" t="s">
        <v>3239</v>
      </c>
      <c r="C576" s="92"/>
      <c r="D576" s="17" t="s">
        <v>3604</v>
      </c>
      <c r="E576" s="93" t="s">
        <v>3605</v>
      </c>
      <c r="F576"/>
      <c r="G576" s="17" t="s">
        <v>2</v>
      </c>
      <c r="H576" s="132">
        <v>46086</v>
      </c>
      <c r="I576" s="127" t="s">
        <v>3606</v>
      </c>
      <c r="J576"/>
      <c r="K576"/>
      <c r="L576"/>
    </row>
    <row r="577" spans="1:12">
      <c r="A577" s="94" t="s">
        <v>282</v>
      </c>
      <c r="B577" t="s">
        <v>3239</v>
      </c>
      <c r="C577" s="92"/>
      <c r="D577" s="17" t="s">
        <v>3607</v>
      </c>
      <c r="E577" s="93" t="s">
        <v>3608</v>
      </c>
      <c r="F577"/>
      <c r="G577" s="17" t="s">
        <v>1</v>
      </c>
      <c r="H577" s="132">
        <v>46086</v>
      </c>
      <c r="I577" s="127" t="s">
        <v>3272</v>
      </c>
      <c r="J577"/>
      <c r="K577"/>
      <c r="L577"/>
    </row>
    <row r="578" spans="1:12">
      <c r="A578" s="94" t="s">
        <v>282</v>
      </c>
      <c r="B578" t="s">
        <v>3239</v>
      </c>
      <c r="C578" s="92"/>
      <c r="D578" s="17" t="s">
        <v>3609</v>
      </c>
      <c r="E578" s="93" t="s">
        <v>3610</v>
      </c>
      <c r="F578"/>
      <c r="G578" s="17" t="s">
        <v>1</v>
      </c>
      <c r="H578" s="132">
        <v>46086</v>
      </c>
      <c r="I578" s="127" t="s">
        <v>3274</v>
      </c>
      <c r="J578"/>
      <c r="K578"/>
      <c r="L578"/>
    </row>
    <row r="579" spans="1:12">
      <c r="A579" s="94" t="s">
        <v>282</v>
      </c>
      <c r="B579" t="s">
        <v>3239</v>
      </c>
      <c r="C579" s="92"/>
      <c r="D579" s="17" t="s">
        <v>3611</v>
      </c>
      <c r="E579" s="93" t="s">
        <v>3612</v>
      </c>
      <c r="F579"/>
      <c r="G579" s="17" t="s">
        <v>1</v>
      </c>
      <c r="H579" s="132">
        <v>46086</v>
      </c>
      <c r="I579" s="127" t="s">
        <v>3276</v>
      </c>
      <c r="J579"/>
      <c r="K579"/>
      <c r="L579"/>
    </row>
    <row r="580" spans="1:12">
      <c r="A580" s="94" t="s">
        <v>282</v>
      </c>
      <c r="B580" t="s">
        <v>3239</v>
      </c>
      <c r="C580" s="92"/>
      <c r="D580" s="17" t="s">
        <v>3613</v>
      </c>
      <c r="E580" s="93" t="s">
        <v>3614</v>
      </c>
      <c r="F580"/>
      <c r="G580" s="17" t="s">
        <v>3</v>
      </c>
      <c r="H580" s="132">
        <v>46086</v>
      </c>
      <c r="I580" s="127" t="s">
        <v>3615</v>
      </c>
      <c r="J580"/>
      <c r="K580"/>
      <c r="L580"/>
    </row>
    <row r="581" spans="1:12">
      <c r="A581" s="94" t="s">
        <v>282</v>
      </c>
      <c r="B581" t="s">
        <v>3239</v>
      </c>
      <c r="C581" s="92"/>
      <c r="D581" s="17" t="s">
        <v>3616</v>
      </c>
      <c r="E581" s="93" t="s">
        <v>3617</v>
      </c>
      <c r="F581"/>
      <c r="G581" s="17" t="s">
        <v>1</v>
      </c>
      <c r="H581" s="132">
        <v>46086</v>
      </c>
      <c r="I581" s="127" t="s">
        <v>3618</v>
      </c>
      <c r="J581"/>
      <c r="K581"/>
      <c r="L581"/>
    </row>
    <row r="582" spans="1:12">
      <c r="A582" s="94" t="s">
        <v>282</v>
      </c>
      <c r="B582" t="s">
        <v>3239</v>
      </c>
      <c r="C582" s="92"/>
      <c r="D582" s="17" t="s">
        <v>3619</v>
      </c>
      <c r="E582" s="93" t="s">
        <v>3620</v>
      </c>
      <c r="F582"/>
      <c r="G582" s="17" t="s">
        <v>1</v>
      </c>
      <c r="H582" s="132">
        <v>46086</v>
      </c>
      <c r="I582" s="127" t="s">
        <v>3621</v>
      </c>
      <c r="J582"/>
      <c r="K582"/>
      <c r="L582"/>
    </row>
    <row r="583" spans="1:12">
      <c r="A583" s="94" t="s">
        <v>282</v>
      </c>
      <c r="B583" t="s">
        <v>3239</v>
      </c>
      <c r="C583" s="92"/>
      <c r="D583" s="17" t="s">
        <v>3622</v>
      </c>
      <c r="E583" s="93" t="s">
        <v>3623</v>
      </c>
      <c r="F583"/>
      <c r="G583" s="17" t="s">
        <v>6</v>
      </c>
      <c r="H583" s="132">
        <v>46086</v>
      </c>
      <c r="I583" s="127" t="s">
        <v>3624</v>
      </c>
      <c r="J583"/>
      <c r="K583"/>
      <c r="L583"/>
    </row>
    <row r="584" spans="1:12">
      <c r="A584" s="94" t="s">
        <v>282</v>
      </c>
      <c r="B584" t="s">
        <v>3239</v>
      </c>
      <c r="C584" s="92"/>
      <c r="D584" s="17" t="s">
        <v>3625</v>
      </c>
      <c r="E584" s="93" t="s">
        <v>3626</v>
      </c>
      <c r="F584"/>
      <c r="G584" s="17" t="s">
        <v>3</v>
      </c>
      <c r="H584" s="132">
        <v>46086</v>
      </c>
      <c r="I584" s="127" t="s">
        <v>3277</v>
      </c>
      <c r="J584"/>
      <c r="K584"/>
      <c r="L584"/>
    </row>
    <row r="585" spans="1:12">
      <c r="A585" s="94" t="s">
        <v>282</v>
      </c>
      <c r="B585" t="s">
        <v>3239</v>
      </c>
      <c r="C585" s="92"/>
      <c r="D585" s="17" t="s">
        <v>3627</v>
      </c>
      <c r="E585" s="93" t="s">
        <v>3628</v>
      </c>
      <c r="F585"/>
      <c r="G585" s="17" t="s">
        <v>1</v>
      </c>
      <c r="H585" s="132">
        <v>46086</v>
      </c>
      <c r="I585" s="127" t="s">
        <v>3629</v>
      </c>
      <c r="J585"/>
      <c r="K585"/>
      <c r="L585"/>
    </row>
    <row r="586" spans="1:12">
      <c r="A586" s="94" t="s">
        <v>282</v>
      </c>
      <c r="B586" t="s">
        <v>3239</v>
      </c>
      <c r="C586" s="92"/>
      <c r="D586" s="17" t="s">
        <v>3630</v>
      </c>
      <c r="E586" s="93" t="s">
        <v>3631</v>
      </c>
      <c r="F586"/>
      <c r="G586" s="17" t="s">
        <v>1</v>
      </c>
      <c r="H586" s="132">
        <v>46086</v>
      </c>
      <c r="I586" s="127" t="s">
        <v>3281</v>
      </c>
      <c r="J586"/>
      <c r="K586"/>
      <c r="L586" t="s">
        <v>3632</v>
      </c>
    </row>
    <row r="587" spans="1:12">
      <c r="A587" s="94" t="s">
        <v>282</v>
      </c>
      <c r="B587" t="s">
        <v>3239</v>
      </c>
      <c r="C587" s="92"/>
      <c r="D587" s="17" t="s">
        <v>3633</v>
      </c>
      <c r="E587" s="93" t="s">
        <v>3634</v>
      </c>
      <c r="F587"/>
      <c r="G587" s="17" t="s">
        <v>3</v>
      </c>
      <c r="H587" s="132">
        <v>46086</v>
      </c>
      <c r="I587" s="127" t="s">
        <v>3635</v>
      </c>
      <c r="J587"/>
      <c r="K587"/>
      <c r="L587"/>
    </row>
    <row r="588" spans="1:12">
      <c r="A588" s="94" t="s">
        <v>282</v>
      </c>
      <c r="B588" t="s">
        <v>3239</v>
      </c>
      <c r="C588" s="92"/>
      <c r="D588" s="17" t="s">
        <v>3636</v>
      </c>
      <c r="E588" s="93" t="s">
        <v>3637</v>
      </c>
      <c r="F588"/>
      <c r="G588" s="17" t="s">
        <v>1</v>
      </c>
      <c r="H588" s="132">
        <v>46086</v>
      </c>
      <c r="I588" s="127" t="s">
        <v>3282</v>
      </c>
      <c r="J588"/>
      <c r="K588"/>
      <c r="L588"/>
    </row>
    <row r="589" spans="1:12">
      <c r="A589" s="94" t="s">
        <v>282</v>
      </c>
      <c r="B589" t="s">
        <v>3239</v>
      </c>
      <c r="C589" s="92"/>
      <c r="D589" s="17" t="s">
        <v>3638</v>
      </c>
      <c r="E589" s="93" t="s">
        <v>3639</v>
      </c>
      <c r="F589"/>
      <c r="G589" s="17" t="s">
        <v>6</v>
      </c>
      <c r="H589" s="132">
        <v>46086</v>
      </c>
      <c r="I589" s="127" t="s">
        <v>3640</v>
      </c>
      <c r="J589"/>
      <c r="K589"/>
      <c r="L589"/>
    </row>
    <row r="590" spans="1:12">
      <c r="A590" s="94" t="s">
        <v>282</v>
      </c>
      <c r="B590" t="s">
        <v>3239</v>
      </c>
      <c r="C590" s="92"/>
      <c r="D590" s="17" t="s">
        <v>3641</v>
      </c>
      <c r="E590" s="93" t="s">
        <v>3642</v>
      </c>
      <c r="F590"/>
      <c r="G590" s="17" t="s">
        <v>4</v>
      </c>
      <c r="H590" s="132">
        <v>46086</v>
      </c>
      <c r="I590" s="127" t="s">
        <v>3643</v>
      </c>
      <c r="J590"/>
      <c r="K590"/>
      <c r="L590"/>
    </row>
    <row r="591" spans="1:12">
      <c r="A591" s="94" t="s">
        <v>282</v>
      </c>
      <c r="B591" t="s">
        <v>3239</v>
      </c>
      <c r="C591" s="92"/>
      <c r="D591" s="17" t="s">
        <v>3644</v>
      </c>
      <c r="E591" s="93" t="s">
        <v>3645</v>
      </c>
      <c r="F591"/>
      <c r="G591" s="17" t="s">
        <v>1</v>
      </c>
      <c r="H591" s="132">
        <v>46086</v>
      </c>
      <c r="I591" s="127" t="s">
        <v>3646</v>
      </c>
      <c r="J591"/>
      <c r="K591"/>
      <c r="L591"/>
    </row>
    <row r="592" spans="1:12">
      <c r="A592" s="94" t="s">
        <v>282</v>
      </c>
      <c r="B592" t="s">
        <v>3239</v>
      </c>
      <c r="C592" s="92"/>
      <c r="D592" s="17" t="s">
        <v>3647</v>
      </c>
      <c r="E592" s="93" t="s">
        <v>3648</v>
      </c>
      <c r="F592"/>
      <c r="G592" s="17" t="s">
        <v>1</v>
      </c>
      <c r="H592" s="132">
        <v>46086</v>
      </c>
      <c r="J592"/>
      <c r="K592"/>
      <c r="L592"/>
    </row>
    <row r="593" spans="1:12">
      <c r="A593" s="95" t="s">
        <v>463</v>
      </c>
      <c r="B593" t="s">
        <v>3649</v>
      </c>
      <c r="C593" s="87" t="s">
        <v>464</v>
      </c>
      <c r="D593" s="88"/>
      <c r="E593" s="89">
        <v>7747810</v>
      </c>
      <c r="F593"/>
      <c r="G593" s="17" t="s">
        <v>6</v>
      </c>
      <c r="H593" s="132">
        <v>46085</v>
      </c>
      <c r="I593" s="127">
        <v>0.44583333333333336</v>
      </c>
      <c r="J593"/>
      <c r="K593"/>
      <c r="L593"/>
    </row>
    <row r="594" spans="1:12">
      <c r="A594" s="95" t="s">
        <v>463</v>
      </c>
      <c r="B594" t="s">
        <v>3650</v>
      </c>
      <c r="C594" s="87" t="s">
        <v>465</v>
      </c>
      <c r="D594" s="88"/>
      <c r="E594" s="89">
        <v>7876996</v>
      </c>
      <c r="F594"/>
      <c r="G594" s="17" t="s">
        <v>3</v>
      </c>
      <c r="H594" s="132">
        <v>46085</v>
      </c>
      <c r="I594" s="127">
        <v>0.4465277777777778</v>
      </c>
      <c r="J594"/>
      <c r="K594"/>
      <c r="L594"/>
    </row>
    <row r="595" spans="1:12">
      <c r="A595" s="95" t="s">
        <v>463</v>
      </c>
      <c r="B595" t="s">
        <v>3650</v>
      </c>
      <c r="C595" s="87" t="s">
        <v>466</v>
      </c>
      <c r="D595" s="88"/>
      <c r="E595" s="89">
        <v>66523983</v>
      </c>
      <c r="F595"/>
      <c r="G595" s="17" t="s">
        <v>9</v>
      </c>
      <c r="H595" s="132">
        <v>46085</v>
      </c>
      <c r="I595" s="127">
        <v>0.44722222222222224</v>
      </c>
      <c r="J595"/>
      <c r="K595"/>
      <c r="L595"/>
    </row>
    <row r="596" spans="1:12">
      <c r="A596" s="95" t="s">
        <v>463</v>
      </c>
      <c r="B596" t="s">
        <v>3650</v>
      </c>
      <c r="C596" s="87" t="s">
        <v>467</v>
      </c>
      <c r="D596" s="88"/>
      <c r="E596" s="89">
        <v>65642111</v>
      </c>
      <c r="F596"/>
      <c r="G596" s="17" t="s">
        <v>9</v>
      </c>
      <c r="H596" s="132">
        <v>46085</v>
      </c>
      <c r="I596" s="127">
        <v>0.44930555555555557</v>
      </c>
      <c r="J596"/>
      <c r="K596"/>
      <c r="L596"/>
    </row>
    <row r="597" spans="1:12">
      <c r="A597" s="95" t="s">
        <v>463</v>
      </c>
      <c r="B597" t="s">
        <v>3650</v>
      </c>
      <c r="C597" s="87" t="s">
        <v>468</v>
      </c>
      <c r="D597" s="88"/>
      <c r="E597" s="89">
        <v>65620402</v>
      </c>
      <c r="F597"/>
      <c r="G597" s="17" t="s">
        <v>2</v>
      </c>
      <c r="H597" s="132">
        <v>46085</v>
      </c>
      <c r="I597" s="127">
        <v>0.4513888888888889</v>
      </c>
      <c r="J597"/>
      <c r="K597"/>
      <c r="L597"/>
    </row>
    <row r="598" spans="1:12">
      <c r="A598" s="95" t="s">
        <v>463</v>
      </c>
      <c r="B598" t="s">
        <v>3650</v>
      </c>
      <c r="C598" s="87" t="s">
        <v>469</v>
      </c>
      <c r="D598" s="88"/>
      <c r="E598" s="89">
        <v>66079274</v>
      </c>
      <c r="F598"/>
      <c r="G598" s="17" t="s">
        <v>2</v>
      </c>
      <c r="H598" s="132">
        <v>46085</v>
      </c>
      <c r="I598" s="127">
        <v>0.4548611111111111</v>
      </c>
      <c r="J598"/>
      <c r="K598"/>
      <c r="L598"/>
    </row>
    <row r="599" spans="1:12">
      <c r="A599" s="95" t="s">
        <v>463</v>
      </c>
      <c r="B599" t="s">
        <v>3650</v>
      </c>
      <c r="C599" s="87" t="s">
        <v>470</v>
      </c>
      <c r="D599" s="88"/>
      <c r="E599" s="89">
        <v>68414293</v>
      </c>
      <c r="F599"/>
      <c r="G599" s="17" t="s">
        <v>3</v>
      </c>
      <c r="H599" s="132">
        <v>46085</v>
      </c>
      <c r="I599" s="127">
        <v>0.45624999999999999</v>
      </c>
      <c r="J599"/>
      <c r="K599"/>
      <c r="L599"/>
    </row>
    <row r="600" spans="1:12">
      <c r="A600" s="95" t="s">
        <v>463</v>
      </c>
      <c r="B600" t="s">
        <v>3650</v>
      </c>
      <c r="C600" s="87" t="s">
        <v>471</v>
      </c>
      <c r="D600" s="88"/>
      <c r="E600" s="89">
        <v>64435593</v>
      </c>
      <c r="F600"/>
      <c r="G600" s="17" t="s">
        <v>1</v>
      </c>
      <c r="H600" s="132">
        <v>46085</v>
      </c>
      <c r="I600" s="127">
        <v>0.45763888888888887</v>
      </c>
      <c r="J600"/>
      <c r="K600"/>
      <c r="L600"/>
    </row>
    <row r="601" spans="1:12">
      <c r="A601" s="95" t="s">
        <v>463</v>
      </c>
      <c r="B601" t="s">
        <v>3650</v>
      </c>
      <c r="C601" s="87" t="s">
        <v>472</v>
      </c>
      <c r="D601" s="88"/>
      <c r="E601" s="89">
        <v>67757023</v>
      </c>
      <c r="F601"/>
      <c r="G601" s="17" t="s">
        <v>1</v>
      </c>
      <c r="H601" s="132">
        <v>46085</v>
      </c>
      <c r="J601"/>
      <c r="K601"/>
      <c r="L601"/>
    </row>
    <row r="602" spans="1:12">
      <c r="A602" s="95" t="s">
        <v>463</v>
      </c>
      <c r="B602" t="s">
        <v>3649</v>
      </c>
      <c r="C602" s="87" t="s">
        <v>473</v>
      </c>
      <c r="D602" s="88"/>
      <c r="E602" s="89">
        <v>65372346</v>
      </c>
      <c r="F602"/>
      <c r="G602" s="17" t="s">
        <v>2</v>
      </c>
      <c r="H602" s="132">
        <v>46086</v>
      </c>
      <c r="I602" s="127">
        <v>0.4465277777777778</v>
      </c>
      <c r="J602"/>
      <c r="K602"/>
      <c r="L602"/>
    </row>
    <row r="603" spans="1:12">
      <c r="A603" s="95" t="s">
        <v>463</v>
      </c>
      <c r="B603" t="s">
        <v>3650</v>
      </c>
      <c r="C603" s="87" t="s">
        <v>474</v>
      </c>
      <c r="D603" s="88"/>
      <c r="E603" s="89">
        <v>68672279</v>
      </c>
      <c r="F603"/>
      <c r="G603" s="17" t="s">
        <v>9</v>
      </c>
      <c r="H603" s="132">
        <v>46086</v>
      </c>
      <c r="I603" s="127">
        <v>0.44722222222222224</v>
      </c>
      <c r="J603"/>
      <c r="K603"/>
      <c r="L603"/>
    </row>
    <row r="604" spans="1:12">
      <c r="A604" s="95" t="s">
        <v>463</v>
      </c>
      <c r="B604" t="s">
        <v>3650</v>
      </c>
      <c r="C604" s="87" t="s">
        <v>475</v>
      </c>
      <c r="D604" s="88"/>
      <c r="E604" s="89">
        <v>62638648</v>
      </c>
      <c r="F604"/>
      <c r="G604" s="17" t="s">
        <v>3</v>
      </c>
      <c r="H604" s="132">
        <v>46086</v>
      </c>
      <c r="I604" s="127">
        <v>0.44861111111111113</v>
      </c>
      <c r="J604"/>
      <c r="K604"/>
      <c r="L604"/>
    </row>
    <row r="605" spans="1:12">
      <c r="A605" s="95" t="s">
        <v>463</v>
      </c>
      <c r="B605" t="s">
        <v>3650</v>
      </c>
      <c r="C605" s="87" t="s">
        <v>476</v>
      </c>
      <c r="D605" s="88"/>
      <c r="E605" s="89">
        <v>64085316</v>
      </c>
      <c r="F605"/>
      <c r="H605" s="132">
        <v>46087</v>
      </c>
      <c r="J605"/>
      <c r="K605"/>
      <c r="L605"/>
    </row>
    <row r="606" spans="1:12">
      <c r="A606" s="95" t="s">
        <v>463</v>
      </c>
      <c r="B606" t="s">
        <v>3651</v>
      </c>
      <c r="C606" s="87" t="s">
        <v>477</v>
      </c>
      <c r="D606" s="88"/>
      <c r="E606" s="89">
        <v>67663793</v>
      </c>
      <c r="F606"/>
      <c r="G606" s="17" t="s">
        <v>6</v>
      </c>
      <c r="H606" s="132">
        <v>46087</v>
      </c>
      <c r="I606" s="127">
        <v>0.56388888888888888</v>
      </c>
      <c r="J606"/>
      <c r="K606"/>
      <c r="L606"/>
    </row>
    <row r="607" spans="1:12">
      <c r="A607" s="95" t="s">
        <v>463</v>
      </c>
      <c r="B607" t="s">
        <v>3652</v>
      </c>
      <c r="C607" s="87" t="s">
        <v>478</v>
      </c>
      <c r="D607" s="88"/>
      <c r="E607" s="89">
        <v>8510138</v>
      </c>
      <c r="F607"/>
      <c r="G607" s="17" t="s">
        <v>2</v>
      </c>
      <c r="H607" s="132">
        <v>46087</v>
      </c>
      <c r="I607" s="127">
        <v>0.56458333333333333</v>
      </c>
      <c r="J607"/>
      <c r="K607"/>
      <c r="L607"/>
    </row>
    <row r="608" spans="1:12">
      <c r="A608" s="95" t="s">
        <v>463</v>
      </c>
      <c r="B608" t="s">
        <v>3652</v>
      </c>
      <c r="C608" s="87" t="s">
        <v>479</v>
      </c>
      <c r="D608" s="88"/>
      <c r="E608" s="89">
        <v>65922246</v>
      </c>
      <c r="F608"/>
      <c r="G608" s="17" t="s">
        <v>3</v>
      </c>
      <c r="H608" s="132">
        <v>46087</v>
      </c>
      <c r="I608" s="127">
        <v>0.44444444444444442</v>
      </c>
      <c r="J608"/>
      <c r="K608"/>
      <c r="L608"/>
    </row>
    <row r="609" spans="1:12">
      <c r="A609" s="95" t="s">
        <v>463</v>
      </c>
      <c r="B609" t="s">
        <v>3652</v>
      </c>
      <c r="C609" s="87" t="s">
        <v>480</v>
      </c>
      <c r="D609" s="88"/>
      <c r="E609" s="89">
        <v>62501743</v>
      </c>
      <c r="F609"/>
      <c r="G609" s="17" t="s">
        <v>2</v>
      </c>
      <c r="H609" s="132">
        <v>46087</v>
      </c>
      <c r="I609" s="127">
        <v>0.44513888888888886</v>
      </c>
      <c r="J609"/>
      <c r="K609"/>
      <c r="L609"/>
    </row>
    <row r="610" spans="1:12">
      <c r="A610" s="95" t="s">
        <v>463</v>
      </c>
      <c r="B610" t="s">
        <v>3652</v>
      </c>
      <c r="C610" s="87" t="s">
        <v>481</v>
      </c>
      <c r="D610" s="88"/>
      <c r="E610" s="89">
        <v>64763187</v>
      </c>
      <c r="F610"/>
      <c r="G610" s="17" t="s">
        <v>1</v>
      </c>
      <c r="H610" s="132">
        <v>46087</v>
      </c>
      <c r="I610" s="127">
        <v>0.44583333333333336</v>
      </c>
      <c r="J610"/>
      <c r="K610"/>
      <c r="L610"/>
    </row>
    <row r="611" spans="1:12">
      <c r="A611" s="95" t="s">
        <v>463</v>
      </c>
      <c r="B611" t="s">
        <v>3652</v>
      </c>
      <c r="C611" s="87" t="s">
        <v>482</v>
      </c>
      <c r="D611" s="88"/>
      <c r="E611" s="89">
        <v>64502678</v>
      </c>
      <c r="F611"/>
      <c r="G611" s="17" t="s">
        <v>6</v>
      </c>
      <c r="H611" s="132">
        <v>46087</v>
      </c>
      <c r="I611" s="127">
        <v>0.4465277777777778</v>
      </c>
      <c r="J611"/>
      <c r="K611"/>
      <c r="L611"/>
    </row>
    <row r="612" spans="1:12">
      <c r="A612" s="95" t="s">
        <v>463</v>
      </c>
      <c r="B612" t="s">
        <v>3652</v>
      </c>
      <c r="C612" s="87" t="s">
        <v>483</v>
      </c>
      <c r="D612" s="88"/>
      <c r="E612" s="89">
        <v>63006152</v>
      </c>
      <c r="F612"/>
      <c r="G612" s="17" t="s">
        <v>2</v>
      </c>
      <c r="H612" s="132">
        <v>46087</v>
      </c>
      <c r="I612" s="127">
        <v>0.44722222222222224</v>
      </c>
      <c r="J612"/>
      <c r="K612"/>
      <c r="L612"/>
    </row>
    <row r="613" spans="1:12">
      <c r="A613" s="95" t="s">
        <v>463</v>
      </c>
      <c r="B613" t="s">
        <v>3652</v>
      </c>
      <c r="C613" s="87" t="s">
        <v>484</v>
      </c>
      <c r="D613" s="88"/>
      <c r="E613" s="89">
        <v>64481598</v>
      </c>
      <c r="F613"/>
      <c r="G613" s="17" t="s">
        <v>6</v>
      </c>
      <c r="H613" s="132">
        <v>46087</v>
      </c>
      <c r="I613" s="127">
        <v>0.44791666666666669</v>
      </c>
      <c r="J613"/>
      <c r="K613"/>
      <c r="L613"/>
    </row>
    <row r="614" spans="1:12">
      <c r="A614" s="95" t="s">
        <v>463</v>
      </c>
      <c r="B614" t="s">
        <v>3652</v>
      </c>
      <c r="C614" s="87" t="s">
        <v>485</v>
      </c>
      <c r="D614" s="88"/>
      <c r="E614" s="89">
        <v>67154034</v>
      </c>
      <c r="F614"/>
      <c r="G614" s="17" t="s">
        <v>1</v>
      </c>
      <c r="H614" s="132">
        <v>46087</v>
      </c>
      <c r="I614" s="127">
        <v>0.44861111111111113</v>
      </c>
      <c r="J614"/>
      <c r="K614"/>
      <c r="L614"/>
    </row>
    <row r="615" spans="1:12">
      <c r="A615" s="95" t="s">
        <v>463</v>
      </c>
      <c r="B615" t="s">
        <v>3652</v>
      </c>
      <c r="C615" s="87" t="s">
        <v>486</v>
      </c>
      <c r="D615" s="88"/>
      <c r="E615" s="89">
        <v>66975048</v>
      </c>
      <c r="F615"/>
      <c r="G615" s="17" t="s">
        <v>6</v>
      </c>
      <c r="H615" s="132">
        <v>46087</v>
      </c>
      <c r="I615" s="127">
        <v>0.44930555555555557</v>
      </c>
      <c r="J615"/>
      <c r="K615"/>
      <c r="L615"/>
    </row>
    <row r="616" spans="1:12">
      <c r="A616" s="95" t="s">
        <v>463</v>
      </c>
      <c r="B616" t="s">
        <v>3652</v>
      </c>
      <c r="C616" s="87" t="s">
        <v>487</v>
      </c>
      <c r="D616" s="88"/>
      <c r="E616" s="89">
        <v>65074710</v>
      </c>
      <c r="F616"/>
      <c r="G616" s="17" t="s">
        <v>6</v>
      </c>
      <c r="H616" s="132">
        <v>46087</v>
      </c>
      <c r="I616" s="127">
        <v>0.45</v>
      </c>
      <c r="J616"/>
      <c r="K616"/>
      <c r="L616"/>
    </row>
    <row r="617" spans="1:12">
      <c r="A617" s="95" t="s">
        <v>463</v>
      </c>
      <c r="B617" t="s">
        <v>3653</v>
      </c>
      <c r="C617" s="87" t="s">
        <v>488</v>
      </c>
      <c r="D617" s="88"/>
      <c r="E617" s="89">
        <v>7270338</v>
      </c>
      <c r="F617"/>
      <c r="G617" s="17" t="s">
        <v>6</v>
      </c>
      <c r="H617" s="132">
        <v>46087</v>
      </c>
      <c r="I617" s="127">
        <v>0.4513888888888889</v>
      </c>
      <c r="J617"/>
      <c r="K617"/>
      <c r="L617"/>
    </row>
    <row r="618" spans="1:12">
      <c r="A618" s="95" t="s">
        <v>463</v>
      </c>
      <c r="B618" t="s">
        <v>3652</v>
      </c>
      <c r="C618" s="87" t="s">
        <v>489</v>
      </c>
      <c r="D618" s="88"/>
      <c r="E618" s="89">
        <v>66766260</v>
      </c>
      <c r="F618"/>
      <c r="G618" s="17" t="s">
        <v>6</v>
      </c>
      <c r="H618" s="132">
        <v>46087</v>
      </c>
      <c r="I618" s="127">
        <v>0.45208333333333334</v>
      </c>
      <c r="J618"/>
      <c r="K618"/>
      <c r="L618"/>
    </row>
    <row r="619" spans="1:12">
      <c r="A619" s="95" t="s">
        <v>463</v>
      </c>
      <c r="B619" t="s">
        <v>3652</v>
      </c>
      <c r="C619" s="87" t="s">
        <v>490</v>
      </c>
      <c r="D619" s="88"/>
      <c r="E619" s="89">
        <v>7201059</v>
      </c>
      <c r="F619"/>
      <c r="G619" s="17" t="s">
        <v>9</v>
      </c>
      <c r="H619" s="132">
        <v>46087</v>
      </c>
      <c r="I619" s="127">
        <v>0.45277777777777778</v>
      </c>
      <c r="J619"/>
      <c r="K619"/>
      <c r="L619"/>
    </row>
    <row r="620" spans="1:12">
      <c r="A620" s="95" t="s">
        <v>463</v>
      </c>
      <c r="B620" t="s">
        <v>3652</v>
      </c>
      <c r="C620" s="87" t="s">
        <v>491</v>
      </c>
      <c r="D620" s="88"/>
      <c r="E620" s="89">
        <v>2820063</v>
      </c>
      <c r="F620"/>
      <c r="G620" s="17" t="s">
        <v>6</v>
      </c>
      <c r="H620" s="132">
        <v>46087</v>
      </c>
      <c r="I620" s="127">
        <v>0.45347222222222222</v>
      </c>
      <c r="J620"/>
      <c r="K620"/>
      <c r="L620"/>
    </row>
    <row r="621" spans="1:12">
      <c r="A621" s="95" t="s">
        <v>463</v>
      </c>
      <c r="B621" t="s">
        <v>3652</v>
      </c>
      <c r="C621" s="87" t="s">
        <v>492</v>
      </c>
      <c r="D621" s="88"/>
      <c r="E621" s="89">
        <v>63279177</v>
      </c>
      <c r="F621"/>
      <c r="G621" s="17" t="s">
        <v>6</v>
      </c>
      <c r="H621" s="132">
        <v>46087</v>
      </c>
      <c r="I621" s="127">
        <v>0.54166666666666663</v>
      </c>
      <c r="J621"/>
      <c r="K621"/>
      <c r="L621"/>
    </row>
    <row r="622" spans="1:12">
      <c r="A622" s="95" t="s">
        <v>463</v>
      </c>
      <c r="B622" t="s">
        <v>3652</v>
      </c>
      <c r="C622" s="87" t="s">
        <v>493</v>
      </c>
      <c r="D622" s="88"/>
      <c r="E622" s="89">
        <v>65978751</v>
      </c>
      <c r="F622"/>
      <c r="G622" s="17" t="s">
        <v>2</v>
      </c>
      <c r="H622" s="132">
        <v>46087</v>
      </c>
      <c r="I622" s="127">
        <v>0.54305555555555551</v>
      </c>
      <c r="J622"/>
      <c r="K622"/>
      <c r="L622"/>
    </row>
    <row r="623" spans="1:12">
      <c r="A623" s="95" t="s">
        <v>463</v>
      </c>
      <c r="B623" t="s">
        <v>3652</v>
      </c>
      <c r="C623" s="87" t="s">
        <v>494</v>
      </c>
      <c r="D623" s="88"/>
      <c r="E623" s="89">
        <v>66461097</v>
      </c>
      <c r="F623"/>
      <c r="G623" s="17" t="s">
        <v>8</v>
      </c>
      <c r="H623" s="132">
        <v>46087</v>
      </c>
      <c r="I623" s="127">
        <v>0.54374999999999996</v>
      </c>
      <c r="J623"/>
      <c r="K623"/>
      <c r="L623"/>
    </row>
    <row r="624" spans="1:12">
      <c r="A624" s="95" t="s">
        <v>463</v>
      </c>
      <c r="B624" t="s">
        <v>3652</v>
      </c>
      <c r="C624" s="87" t="s">
        <v>495</v>
      </c>
      <c r="D624" s="88"/>
      <c r="E624" s="89">
        <v>66942614</v>
      </c>
      <c r="F624"/>
      <c r="G624" s="17" t="s">
        <v>3</v>
      </c>
      <c r="H624" s="132">
        <v>46087</v>
      </c>
      <c r="I624" s="127">
        <v>0.54374999999999996</v>
      </c>
      <c r="J624"/>
      <c r="K624"/>
      <c r="L624" t="s">
        <v>3654</v>
      </c>
    </row>
    <row r="625" spans="1:12">
      <c r="A625" s="95" t="s">
        <v>463</v>
      </c>
      <c r="B625" t="s">
        <v>3652</v>
      </c>
      <c r="C625" s="87" t="s">
        <v>496</v>
      </c>
      <c r="D625" s="88"/>
      <c r="E625" s="89">
        <v>69804901</v>
      </c>
      <c r="F625"/>
      <c r="G625" s="17" t="s">
        <v>1</v>
      </c>
      <c r="H625" s="132">
        <v>46087</v>
      </c>
      <c r="I625" s="127">
        <v>0.5444444444444444</v>
      </c>
      <c r="J625"/>
      <c r="K625"/>
      <c r="L625"/>
    </row>
    <row r="626" spans="1:12">
      <c r="A626" s="95" t="s">
        <v>463</v>
      </c>
      <c r="B626" t="s">
        <v>3652</v>
      </c>
      <c r="C626" s="87" t="s">
        <v>497</v>
      </c>
      <c r="D626" s="88"/>
      <c r="E626" s="89">
        <v>64983740</v>
      </c>
      <c r="F626"/>
      <c r="G626" s="17" t="s">
        <v>6</v>
      </c>
      <c r="H626" s="132">
        <v>46087</v>
      </c>
      <c r="I626" s="127">
        <v>0.5444444444444444</v>
      </c>
      <c r="J626"/>
      <c r="K626"/>
      <c r="L626"/>
    </row>
    <row r="627" spans="1:12">
      <c r="A627" s="95" t="s">
        <v>463</v>
      </c>
      <c r="B627" t="s">
        <v>3652</v>
      </c>
      <c r="C627" s="87" t="s">
        <v>498</v>
      </c>
      <c r="D627" s="88"/>
      <c r="E627" s="89">
        <v>69063045</v>
      </c>
      <c r="F627"/>
      <c r="G627" s="17" t="s">
        <v>2</v>
      </c>
      <c r="H627" s="132">
        <v>46087</v>
      </c>
      <c r="I627" s="127">
        <v>0.54513888888888884</v>
      </c>
      <c r="J627"/>
      <c r="K627"/>
      <c r="L627"/>
    </row>
    <row r="628" spans="1:12">
      <c r="A628" s="95" t="s">
        <v>463</v>
      </c>
      <c r="B628" t="s">
        <v>3652</v>
      </c>
      <c r="C628" s="87" t="s">
        <v>499</v>
      </c>
      <c r="D628" s="88"/>
      <c r="E628" s="89">
        <v>65651749</v>
      </c>
      <c r="F628"/>
      <c r="G628" s="17" t="s">
        <v>3</v>
      </c>
      <c r="H628" s="132">
        <v>46087</v>
      </c>
      <c r="I628" s="127">
        <v>0.54583333333333328</v>
      </c>
      <c r="J628"/>
      <c r="K628"/>
      <c r="L628" t="s">
        <v>3655</v>
      </c>
    </row>
    <row r="629" spans="1:12">
      <c r="A629" s="95" t="s">
        <v>463</v>
      </c>
      <c r="B629" t="s">
        <v>3652</v>
      </c>
      <c r="C629" s="87" t="s">
        <v>500</v>
      </c>
      <c r="D629" s="88"/>
      <c r="E629" s="89">
        <v>69658601</v>
      </c>
      <c r="F629"/>
      <c r="G629" s="17" t="s">
        <v>2</v>
      </c>
      <c r="H629" s="132">
        <v>46087</v>
      </c>
      <c r="I629" s="127">
        <v>0.54583333333333328</v>
      </c>
      <c r="J629"/>
      <c r="K629"/>
      <c r="L629"/>
    </row>
    <row r="630" spans="1:12">
      <c r="A630" s="95" t="s">
        <v>463</v>
      </c>
      <c r="B630" t="s">
        <v>3652</v>
      </c>
      <c r="C630" s="87" t="s">
        <v>501</v>
      </c>
      <c r="D630" s="88"/>
      <c r="E630" s="89">
        <v>69711389</v>
      </c>
      <c r="F630"/>
      <c r="G630" s="17" t="s">
        <v>3</v>
      </c>
      <c r="H630" s="132">
        <v>46087</v>
      </c>
      <c r="I630" s="127">
        <v>0.54652777777777772</v>
      </c>
      <c r="J630"/>
      <c r="K630"/>
      <c r="L630" t="s">
        <v>3654</v>
      </c>
    </row>
    <row r="631" spans="1:12">
      <c r="A631" s="95" t="s">
        <v>463</v>
      </c>
      <c r="B631" t="s">
        <v>3652</v>
      </c>
      <c r="C631" s="87" t="s">
        <v>502</v>
      </c>
      <c r="D631" s="88"/>
      <c r="E631" s="89">
        <v>68987777</v>
      </c>
      <c r="F631"/>
      <c r="G631" s="17" t="s">
        <v>1</v>
      </c>
      <c r="H631" s="132">
        <v>46087</v>
      </c>
      <c r="I631" s="127">
        <v>0.54722222222222228</v>
      </c>
      <c r="J631"/>
      <c r="K631"/>
      <c r="L631"/>
    </row>
    <row r="632" spans="1:12">
      <c r="A632" s="95" t="s">
        <v>463</v>
      </c>
      <c r="B632" t="s">
        <v>3652</v>
      </c>
      <c r="C632" s="87" t="s">
        <v>503</v>
      </c>
      <c r="D632" s="88"/>
      <c r="E632" s="89">
        <v>7587749</v>
      </c>
      <c r="F632"/>
      <c r="G632" s="17" t="s">
        <v>9</v>
      </c>
      <c r="H632" s="132">
        <v>46087</v>
      </c>
      <c r="I632" s="127">
        <v>0.54791666666666672</v>
      </c>
      <c r="J632"/>
      <c r="K632"/>
      <c r="L632"/>
    </row>
    <row r="633" spans="1:12">
      <c r="A633" s="95" t="s">
        <v>463</v>
      </c>
      <c r="B633" t="s">
        <v>3652</v>
      </c>
      <c r="C633" s="87" t="s">
        <v>504</v>
      </c>
      <c r="D633" s="88"/>
      <c r="E633" s="89">
        <v>64835303</v>
      </c>
      <c r="F633"/>
      <c r="G633" s="17" t="s">
        <v>2</v>
      </c>
      <c r="H633" s="132">
        <v>46087</v>
      </c>
      <c r="I633" s="127">
        <v>0.54861111111111116</v>
      </c>
      <c r="J633"/>
      <c r="K633"/>
      <c r="L633"/>
    </row>
    <row r="634" spans="1:12">
      <c r="A634" s="95" t="s">
        <v>463</v>
      </c>
      <c r="B634" t="s">
        <v>3652</v>
      </c>
      <c r="C634" s="87" t="s">
        <v>505</v>
      </c>
      <c r="D634" s="88"/>
      <c r="E634" s="89">
        <v>63158963</v>
      </c>
      <c r="F634"/>
      <c r="G634" s="17" t="s">
        <v>2</v>
      </c>
      <c r="H634" s="132">
        <v>46087</v>
      </c>
      <c r="I634" s="127">
        <v>0.5493055555555556</v>
      </c>
      <c r="J634"/>
      <c r="K634"/>
      <c r="L634"/>
    </row>
    <row r="635" spans="1:12">
      <c r="A635" s="95" t="s">
        <v>463</v>
      </c>
      <c r="B635" t="s">
        <v>3652</v>
      </c>
      <c r="C635" s="87" t="s">
        <v>506</v>
      </c>
      <c r="D635" s="88"/>
      <c r="E635" s="89">
        <v>7714562</v>
      </c>
      <c r="F635"/>
      <c r="G635" s="17" t="s">
        <v>9</v>
      </c>
      <c r="H635" s="132">
        <v>46087</v>
      </c>
      <c r="I635" s="127">
        <v>0.55000000000000004</v>
      </c>
      <c r="J635"/>
      <c r="K635"/>
      <c r="L635"/>
    </row>
    <row r="636" spans="1:12">
      <c r="A636" s="95" t="s">
        <v>463</v>
      </c>
      <c r="B636" t="s">
        <v>3652</v>
      </c>
      <c r="C636" s="87" t="s">
        <v>507</v>
      </c>
      <c r="D636" s="88"/>
      <c r="E636" s="89">
        <v>64467474</v>
      </c>
      <c r="F636"/>
      <c r="G636" s="17" t="s">
        <v>6</v>
      </c>
      <c r="H636" s="132">
        <v>46087</v>
      </c>
      <c r="J636"/>
      <c r="K636"/>
      <c r="L636"/>
    </row>
    <row r="637" spans="1:12">
      <c r="A637" s="95" t="s">
        <v>463</v>
      </c>
      <c r="B637" t="s">
        <v>3652</v>
      </c>
      <c r="C637" s="87" t="s">
        <v>508</v>
      </c>
      <c r="D637" s="88"/>
      <c r="E637" s="89">
        <v>66861837</v>
      </c>
      <c r="F637"/>
      <c r="G637" s="17" t="s">
        <v>6</v>
      </c>
      <c r="H637" s="132">
        <v>46087</v>
      </c>
      <c r="I637" s="127">
        <v>0.44236111111111109</v>
      </c>
      <c r="J637"/>
      <c r="K637"/>
      <c r="L637"/>
    </row>
    <row r="638" spans="1:12">
      <c r="A638" s="95" t="s">
        <v>463</v>
      </c>
      <c r="B638" t="s">
        <v>3652</v>
      </c>
      <c r="C638" s="87" t="s">
        <v>509</v>
      </c>
      <c r="D638" s="88"/>
      <c r="E638" s="89">
        <v>65941355</v>
      </c>
      <c r="F638"/>
      <c r="G638" s="17" t="s">
        <v>1</v>
      </c>
      <c r="H638" s="132">
        <v>46087</v>
      </c>
      <c r="I638" s="127">
        <v>0.44374999999999998</v>
      </c>
      <c r="J638"/>
      <c r="K638"/>
      <c r="L638"/>
    </row>
    <row r="639" spans="1:12">
      <c r="A639" s="95" t="s">
        <v>463</v>
      </c>
      <c r="B639" t="s">
        <v>3652</v>
      </c>
      <c r="C639" s="87" t="s">
        <v>510</v>
      </c>
      <c r="D639" s="88"/>
      <c r="E639" s="89">
        <v>64948625</v>
      </c>
      <c r="F639"/>
      <c r="G639" s="17" t="s">
        <v>2</v>
      </c>
      <c r="H639" s="132">
        <v>46087</v>
      </c>
      <c r="I639" s="127">
        <v>0.44374999999999998</v>
      </c>
      <c r="J639"/>
      <c r="K639"/>
      <c r="L639"/>
    </row>
    <row r="640" spans="1:12">
      <c r="A640" s="95" t="s">
        <v>463</v>
      </c>
      <c r="B640" t="s">
        <v>3652</v>
      </c>
      <c r="C640" s="87" t="s">
        <v>511</v>
      </c>
      <c r="D640" s="88"/>
      <c r="E640" s="89">
        <v>64653186</v>
      </c>
      <c r="F640"/>
      <c r="G640" s="17" t="s">
        <v>3</v>
      </c>
      <c r="H640" s="132">
        <v>46087</v>
      </c>
      <c r="I640" s="127">
        <v>0.49861111111111112</v>
      </c>
      <c r="J640"/>
      <c r="K640"/>
      <c r="L640"/>
    </row>
    <row r="641" spans="1:12">
      <c r="A641" s="95" t="s">
        <v>463</v>
      </c>
      <c r="B641" t="s">
        <v>3656</v>
      </c>
      <c r="C641" s="87" t="s">
        <v>512</v>
      </c>
      <c r="D641" s="88"/>
      <c r="E641" s="89">
        <v>67162079</v>
      </c>
      <c r="F641"/>
      <c r="G641" s="17" t="s">
        <v>1</v>
      </c>
      <c r="H641" s="132">
        <v>46087</v>
      </c>
      <c r="I641" s="127">
        <v>0.5</v>
      </c>
      <c r="J641"/>
      <c r="K641"/>
      <c r="L641"/>
    </row>
    <row r="642" spans="1:12">
      <c r="A642" s="95" t="s">
        <v>463</v>
      </c>
      <c r="B642" t="s">
        <v>3652</v>
      </c>
      <c r="C642" s="87" t="s">
        <v>513</v>
      </c>
      <c r="D642" s="88"/>
      <c r="E642" s="89">
        <v>64890683</v>
      </c>
      <c r="F642"/>
      <c r="G642" s="17" t="s">
        <v>1</v>
      </c>
      <c r="H642" s="132">
        <v>46087</v>
      </c>
      <c r="I642" s="127">
        <v>0.50069444444444444</v>
      </c>
      <c r="J642"/>
      <c r="K642"/>
      <c r="L642"/>
    </row>
    <row r="643" spans="1:12">
      <c r="A643" s="95" t="s">
        <v>463</v>
      </c>
      <c r="B643" t="s">
        <v>3652</v>
      </c>
      <c r="C643" s="87" t="s">
        <v>514</v>
      </c>
      <c r="D643" s="88"/>
      <c r="E643" s="89">
        <v>66582019</v>
      </c>
      <c r="F643"/>
      <c r="G643" s="17" t="s">
        <v>1</v>
      </c>
      <c r="H643" s="132">
        <v>46087</v>
      </c>
      <c r="I643" s="127">
        <v>0.50138888888888888</v>
      </c>
      <c r="J643"/>
      <c r="K643"/>
      <c r="L643"/>
    </row>
    <row r="644" spans="1:12">
      <c r="A644" s="95" t="s">
        <v>463</v>
      </c>
      <c r="B644" t="s">
        <v>3652</v>
      </c>
      <c r="C644" s="87" t="s">
        <v>515</v>
      </c>
      <c r="D644" s="88"/>
      <c r="E644" s="89">
        <v>65947836</v>
      </c>
      <c r="F644"/>
      <c r="G644" s="17" t="s">
        <v>2</v>
      </c>
      <c r="H644" s="132">
        <v>46087</v>
      </c>
      <c r="I644" s="127">
        <v>0.50277777777777777</v>
      </c>
      <c r="J644"/>
      <c r="K644"/>
      <c r="L644"/>
    </row>
    <row r="645" spans="1:12">
      <c r="A645" s="95" t="s">
        <v>463</v>
      </c>
      <c r="B645" t="s">
        <v>3652</v>
      </c>
      <c r="C645" s="87" t="s">
        <v>516</v>
      </c>
      <c r="D645" s="88"/>
      <c r="E645" s="89">
        <v>65305566</v>
      </c>
      <c r="F645"/>
      <c r="G645" s="17" t="s">
        <v>2</v>
      </c>
      <c r="H645" s="132">
        <v>46087</v>
      </c>
      <c r="I645" s="127">
        <v>0.50347222222222221</v>
      </c>
      <c r="J645"/>
      <c r="K645"/>
      <c r="L645"/>
    </row>
    <row r="646" spans="1:12">
      <c r="A646" s="95" t="s">
        <v>463</v>
      </c>
      <c r="B646" t="s">
        <v>3652</v>
      </c>
      <c r="C646" s="87" t="s">
        <v>517</v>
      </c>
      <c r="D646" s="88"/>
      <c r="E646" s="89">
        <v>69493403</v>
      </c>
      <c r="F646"/>
      <c r="G646" s="17" t="s">
        <v>2</v>
      </c>
      <c r="H646" s="132">
        <v>46087</v>
      </c>
      <c r="I646" s="127">
        <v>0.50347222222222221</v>
      </c>
      <c r="J646"/>
      <c r="K646"/>
      <c r="L646"/>
    </row>
    <row r="647" spans="1:12">
      <c r="A647" s="95" t="s">
        <v>463</v>
      </c>
      <c r="B647" t="s">
        <v>3652</v>
      </c>
      <c r="C647" s="87" t="s">
        <v>518</v>
      </c>
      <c r="D647" s="88"/>
      <c r="E647" s="89">
        <v>65681642</v>
      </c>
      <c r="F647"/>
      <c r="G647" s="17" t="s">
        <v>2</v>
      </c>
      <c r="H647" s="132">
        <v>46087</v>
      </c>
      <c r="I647" s="127">
        <v>0.50416666666666665</v>
      </c>
      <c r="J647"/>
      <c r="K647"/>
      <c r="L647"/>
    </row>
    <row r="648" spans="1:12">
      <c r="A648" s="95" t="s">
        <v>463</v>
      </c>
      <c r="B648" t="s">
        <v>3652</v>
      </c>
      <c r="C648" s="87" t="s">
        <v>519</v>
      </c>
      <c r="D648" s="88"/>
      <c r="E648" s="89">
        <v>65256752</v>
      </c>
      <c r="F648"/>
      <c r="G648" s="17" t="s">
        <v>6</v>
      </c>
      <c r="H648" s="132">
        <v>46087</v>
      </c>
      <c r="I648" s="127">
        <v>0.50416666666666665</v>
      </c>
      <c r="J648"/>
      <c r="K648"/>
      <c r="L648"/>
    </row>
    <row r="649" spans="1:12">
      <c r="A649" s="95" t="s">
        <v>463</v>
      </c>
      <c r="B649" t="s">
        <v>3652</v>
      </c>
      <c r="C649" s="87" t="s">
        <v>520</v>
      </c>
      <c r="D649" s="88"/>
      <c r="E649" s="89">
        <v>64464871</v>
      </c>
      <c r="F649"/>
      <c r="G649" s="17" t="s">
        <v>6</v>
      </c>
      <c r="H649" s="132">
        <v>46087</v>
      </c>
      <c r="I649" s="127">
        <v>0.50694444444444442</v>
      </c>
      <c r="J649"/>
      <c r="K649"/>
      <c r="L649"/>
    </row>
    <row r="650" spans="1:12">
      <c r="A650" s="95" t="s">
        <v>463</v>
      </c>
      <c r="B650" t="s">
        <v>3652</v>
      </c>
      <c r="C650" s="87" t="s">
        <v>521</v>
      </c>
      <c r="D650" s="88"/>
      <c r="E650" s="89">
        <v>7740498</v>
      </c>
      <c r="F650"/>
      <c r="G650" s="17" t="s">
        <v>2</v>
      </c>
      <c r="H650" s="132">
        <v>46087</v>
      </c>
      <c r="I650" s="127">
        <v>0.50763888888888886</v>
      </c>
      <c r="J650"/>
      <c r="K650"/>
      <c r="L650"/>
    </row>
    <row r="651" spans="1:12">
      <c r="A651" s="95" t="s">
        <v>463</v>
      </c>
      <c r="B651" t="s">
        <v>3653</v>
      </c>
      <c r="C651" s="87" t="s">
        <v>522</v>
      </c>
      <c r="D651" s="88"/>
      <c r="E651" s="89">
        <v>66916131</v>
      </c>
      <c r="F651"/>
      <c r="G651" s="17" t="s">
        <v>1</v>
      </c>
      <c r="H651" s="132">
        <v>46087</v>
      </c>
      <c r="I651" s="127">
        <v>0.5083333333333333</v>
      </c>
      <c r="J651"/>
      <c r="K651"/>
      <c r="L651"/>
    </row>
    <row r="652" spans="1:12">
      <c r="A652" s="95" t="s">
        <v>463</v>
      </c>
      <c r="B652" t="s">
        <v>3652</v>
      </c>
      <c r="C652" s="87" t="s">
        <v>523</v>
      </c>
      <c r="D652" s="88"/>
      <c r="E652" s="89">
        <v>62025753</v>
      </c>
      <c r="F652"/>
      <c r="G652" s="17" t="s">
        <v>9</v>
      </c>
      <c r="H652" s="132">
        <v>46087</v>
      </c>
      <c r="I652" s="127">
        <v>0.50902777777777775</v>
      </c>
      <c r="J652"/>
      <c r="K652"/>
      <c r="L652"/>
    </row>
    <row r="653" spans="1:12">
      <c r="A653" s="95" t="s">
        <v>463</v>
      </c>
      <c r="B653" t="s">
        <v>3652</v>
      </c>
      <c r="C653" s="87" t="s">
        <v>524</v>
      </c>
      <c r="D653" s="88"/>
      <c r="E653" s="89">
        <v>64517125</v>
      </c>
      <c r="F653"/>
      <c r="G653" s="17" t="s">
        <v>1</v>
      </c>
      <c r="H653" s="132">
        <v>46087</v>
      </c>
      <c r="I653" s="127">
        <v>0.50902777777777775</v>
      </c>
      <c r="J653"/>
      <c r="K653"/>
      <c r="L653"/>
    </row>
    <row r="654" spans="1:12">
      <c r="A654" s="95" t="s">
        <v>463</v>
      </c>
      <c r="B654" t="s">
        <v>3652</v>
      </c>
      <c r="C654" s="87" t="s">
        <v>525</v>
      </c>
      <c r="D654" s="88"/>
      <c r="E654" s="89">
        <v>66271259</v>
      </c>
      <c r="F654"/>
      <c r="G654" s="17" t="s">
        <v>6</v>
      </c>
      <c r="H654" s="132">
        <v>46087</v>
      </c>
      <c r="I654" s="127">
        <v>0.51041666666666663</v>
      </c>
      <c r="J654"/>
      <c r="K654"/>
      <c r="L654"/>
    </row>
    <row r="655" spans="1:12">
      <c r="A655" s="95" t="s">
        <v>463</v>
      </c>
      <c r="B655" t="s">
        <v>3652</v>
      </c>
      <c r="C655" s="87" t="s">
        <v>526</v>
      </c>
      <c r="D655" s="88"/>
      <c r="E655" s="89">
        <v>68567759</v>
      </c>
      <c r="F655"/>
      <c r="G655" s="17" t="s">
        <v>1</v>
      </c>
      <c r="H655" s="132">
        <v>46087</v>
      </c>
      <c r="I655" s="127">
        <v>0.51180555555555551</v>
      </c>
      <c r="J655"/>
      <c r="K655"/>
      <c r="L655" t="s">
        <v>3657</v>
      </c>
    </row>
    <row r="656" spans="1:12">
      <c r="A656" s="95" t="s">
        <v>463</v>
      </c>
      <c r="B656" t="s">
        <v>3652</v>
      </c>
      <c r="C656" s="87" t="s">
        <v>527</v>
      </c>
      <c r="D656" s="88"/>
      <c r="E656" s="89">
        <v>66404062</v>
      </c>
      <c r="F656"/>
      <c r="H656" s="132"/>
      <c r="J656"/>
      <c r="K656"/>
      <c r="L656"/>
    </row>
    <row r="657" spans="1:12">
      <c r="A657" s="95" t="s">
        <v>463</v>
      </c>
      <c r="B657" t="s">
        <v>3652</v>
      </c>
      <c r="C657" s="87" t="s">
        <v>528</v>
      </c>
      <c r="D657" s="88"/>
      <c r="E657" s="89">
        <v>67737466</v>
      </c>
      <c r="F657"/>
      <c r="H657" s="132"/>
      <c r="J657"/>
      <c r="K657"/>
      <c r="L657"/>
    </row>
    <row r="658" spans="1:12">
      <c r="A658" s="95" t="s">
        <v>463</v>
      </c>
      <c r="B658" t="s">
        <v>3652</v>
      </c>
      <c r="C658" s="87" t="s">
        <v>529</v>
      </c>
      <c r="D658" s="88"/>
      <c r="E658" s="89">
        <v>65058002</v>
      </c>
      <c r="F658"/>
      <c r="H658" s="132"/>
      <c r="J658"/>
      <c r="K658"/>
      <c r="L658"/>
    </row>
    <row r="659" spans="1:12">
      <c r="A659" s="95" t="s">
        <v>463</v>
      </c>
      <c r="B659" t="s">
        <v>3652</v>
      </c>
      <c r="C659" s="87" t="s">
        <v>530</v>
      </c>
      <c r="D659" s="88"/>
      <c r="E659" s="89">
        <v>65629311</v>
      </c>
      <c r="F659"/>
      <c r="H659" s="132"/>
      <c r="J659"/>
      <c r="K659"/>
      <c r="L659"/>
    </row>
    <row r="660" spans="1:12">
      <c r="A660" s="95" t="s">
        <v>463</v>
      </c>
      <c r="B660" t="s">
        <v>3652</v>
      </c>
      <c r="C660" s="87" t="s">
        <v>531</v>
      </c>
      <c r="D660" s="88"/>
      <c r="E660" s="89">
        <v>65547041</v>
      </c>
      <c r="F660"/>
      <c r="H660" s="132"/>
      <c r="J660"/>
      <c r="K660"/>
      <c r="L660"/>
    </row>
    <row r="661" spans="1:12">
      <c r="A661" s="95" t="s">
        <v>463</v>
      </c>
      <c r="B661" t="s">
        <v>3652</v>
      </c>
      <c r="C661" s="87" t="s">
        <v>532</v>
      </c>
      <c r="D661" s="88"/>
      <c r="E661" s="89">
        <v>69009382</v>
      </c>
      <c r="F661"/>
      <c r="H661" s="132"/>
      <c r="J661"/>
      <c r="K661"/>
      <c r="L661"/>
    </row>
    <row r="662" spans="1:12">
      <c r="A662" s="95" t="s">
        <v>463</v>
      </c>
      <c r="B662" t="s">
        <v>3652</v>
      </c>
      <c r="C662" s="87" t="s">
        <v>533</v>
      </c>
      <c r="D662" s="88"/>
      <c r="E662" s="89">
        <v>68405759</v>
      </c>
      <c r="F662"/>
      <c r="H662" s="132"/>
      <c r="J662"/>
      <c r="K662"/>
      <c r="L662"/>
    </row>
    <row r="663" spans="1:12">
      <c r="A663" s="95" t="s">
        <v>463</v>
      </c>
      <c r="B663" t="s">
        <v>3653</v>
      </c>
      <c r="C663" s="87" t="s">
        <v>534</v>
      </c>
      <c r="D663" s="88"/>
      <c r="E663" s="89">
        <v>63866837</v>
      </c>
      <c r="F663"/>
      <c r="H663" s="132"/>
      <c r="J663"/>
      <c r="K663"/>
      <c r="L663"/>
    </row>
    <row r="664" spans="1:12">
      <c r="A664" s="95" t="s">
        <v>463</v>
      </c>
      <c r="B664" t="s">
        <v>3652</v>
      </c>
      <c r="C664" s="87" t="s">
        <v>535</v>
      </c>
      <c r="D664" s="88"/>
      <c r="E664" s="89">
        <v>68782378</v>
      </c>
      <c r="F664"/>
      <c r="H664" s="132"/>
      <c r="J664"/>
      <c r="K664"/>
      <c r="L664"/>
    </row>
    <row r="665" spans="1:12">
      <c r="A665" s="95" t="s">
        <v>463</v>
      </c>
      <c r="B665" t="s">
        <v>3653</v>
      </c>
      <c r="C665" s="87" t="s">
        <v>536</v>
      </c>
      <c r="D665" s="88"/>
      <c r="E665" s="89">
        <v>69725357</v>
      </c>
      <c r="F665"/>
      <c r="H665" s="132"/>
      <c r="J665"/>
      <c r="K665"/>
      <c r="L665"/>
    </row>
    <row r="666" spans="1:12">
      <c r="A666" s="95" t="s">
        <v>463</v>
      </c>
      <c r="B666" t="s">
        <v>3650</v>
      </c>
      <c r="C666" s="87" t="s">
        <v>537</v>
      </c>
      <c r="D666" s="88"/>
      <c r="E666" s="89">
        <v>66336313</v>
      </c>
      <c r="F666"/>
      <c r="G666" s="17" t="s">
        <v>1</v>
      </c>
      <c r="H666" s="132">
        <v>46090</v>
      </c>
      <c r="I666" s="127">
        <v>0.36180555555555555</v>
      </c>
      <c r="J666"/>
      <c r="K666"/>
      <c r="L666"/>
    </row>
    <row r="667" spans="1:12">
      <c r="A667" s="95" t="s">
        <v>463</v>
      </c>
      <c r="B667" t="s">
        <v>3650</v>
      </c>
      <c r="C667" s="87" t="s">
        <v>538</v>
      </c>
      <c r="D667" s="88"/>
      <c r="E667" s="89">
        <v>66777848</v>
      </c>
      <c r="F667"/>
      <c r="G667" s="17" t="s">
        <v>2</v>
      </c>
      <c r="H667" s="132">
        <v>46090</v>
      </c>
      <c r="I667" s="127">
        <v>0.36388888888888887</v>
      </c>
      <c r="J667"/>
      <c r="K667"/>
      <c r="L667"/>
    </row>
    <row r="668" spans="1:12">
      <c r="A668" s="95" t="s">
        <v>463</v>
      </c>
      <c r="B668" t="s">
        <v>3650</v>
      </c>
      <c r="C668" s="87" t="s">
        <v>539</v>
      </c>
      <c r="D668" s="88"/>
      <c r="E668" s="89">
        <v>66020344</v>
      </c>
      <c r="F668"/>
      <c r="G668" s="17" t="s">
        <v>2</v>
      </c>
      <c r="H668" s="132">
        <v>46090</v>
      </c>
      <c r="I668" s="127">
        <v>0.36458333333333331</v>
      </c>
      <c r="J668"/>
      <c r="K668"/>
      <c r="L668"/>
    </row>
    <row r="669" spans="1:12">
      <c r="A669" s="95" t="s">
        <v>463</v>
      </c>
      <c r="B669" t="s">
        <v>3650</v>
      </c>
      <c r="C669" s="87" t="s">
        <v>540</v>
      </c>
      <c r="D669" s="88"/>
      <c r="E669" s="89">
        <v>64152988</v>
      </c>
      <c r="F669"/>
      <c r="G669" s="17" t="s">
        <v>9</v>
      </c>
      <c r="H669" s="132">
        <v>46090</v>
      </c>
      <c r="I669" s="127">
        <v>0.3659722222222222</v>
      </c>
      <c r="J669"/>
      <c r="K669"/>
      <c r="L669"/>
    </row>
    <row r="670" spans="1:12">
      <c r="A670" s="95" t="s">
        <v>463</v>
      </c>
      <c r="B670" t="s">
        <v>3650</v>
      </c>
      <c r="C670" s="87" t="s">
        <v>541</v>
      </c>
      <c r="D670" s="88"/>
      <c r="E670" s="89">
        <v>64179817</v>
      </c>
      <c r="F670"/>
      <c r="G670" s="17" t="s">
        <v>3</v>
      </c>
      <c r="H670" s="132">
        <v>46090</v>
      </c>
      <c r="J670"/>
      <c r="K670"/>
      <c r="L670"/>
    </row>
    <row r="671" spans="1:12">
      <c r="A671" s="95" t="s">
        <v>463</v>
      </c>
      <c r="B671" t="s">
        <v>3650</v>
      </c>
      <c r="C671" s="87" t="s">
        <v>542</v>
      </c>
      <c r="D671" s="88"/>
      <c r="E671" s="89">
        <v>66932560</v>
      </c>
      <c r="F671"/>
      <c r="G671" s="17" t="s">
        <v>6</v>
      </c>
      <c r="H671" s="132">
        <v>46090</v>
      </c>
      <c r="J671"/>
      <c r="K671"/>
      <c r="L671"/>
    </row>
    <row r="672" spans="1:12">
      <c r="A672" s="95" t="s">
        <v>463</v>
      </c>
      <c r="B672" t="s">
        <v>3650</v>
      </c>
      <c r="C672" s="87" t="s">
        <v>543</v>
      </c>
      <c r="D672" s="88"/>
      <c r="E672" s="89">
        <v>63540370</v>
      </c>
      <c r="F672"/>
      <c r="G672" s="17" t="s">
        <v>2</v>
      </c>
      <c r="H672" s="132">
        <v>46090</v>
      </c>
      <c r="I672" s="127">
        <v>0.36944444444444446</v>
      </c>
      <c r="J672"/>
      <c r="K672"/>
      <c r="L672"/>
    </row>
    <row r="673" spans="1:12">
      <c r="A673" s="95" t="s">
        <v>463</v>
      </c>
      <c r="B673" t="s">
        <v>3650</v>
      </c>
      <c r="C673" s="87" t="s">
        <v>544</v>
      </c>
      <c r="D673" s="88"/>
      <c r="E673" s="89">
        <v>65700305</v>
      </c>
      <c r="F673"/>
      <c r="G673" s="17" t="s">
        <v>6</v>
      </c>
      <c r="H673" s="132">
        <v>46090</v>
      </c>
      <c r="I673" s="127">
        <v>0.37152777777777779</v>
      </c>
      <c r="J673"/>
      <c r="K673"/>
      <c r="L673"/>
    </row>
    <row r="674" spans="1:12">
      <c r="A674" s="95" t="s">
        <v>463</v>
      </c>
      <c r="B674" t="s">
        <v>3658</v>
      </c>
      <c r="C674" s="87" t="s">
        <v>545</v>
      </c>
      <c r="D674" s="88"/>
      <c r="E674" s="89">
        <v>62417475</v>
      </c>
      <c r="F674"/>
      <c r="G674" s="17" t="s">
        <v>2</v>
      </c>
      <c r="H674" s="132">
        <v>46090</v>
      </c>
      <c r="I674" s="127">
        <v>0.37222222222222223</v>
      </c>
      <c r="J674"/>
      <c r="K674"/>
      <c r="L674"/>
    </row>
    <row r="675" spans="1:12">
      <c r="A675" s="95" t="s">
        <v>463</v>
      </c>
      <c r="B675" t="s">
        <v>3650</v>
      </c>
      <c r="C675" s="87" t="s">
        <v>546</v>
      </c>
      <c r="D675" s="88"/>
      <c r="E675" s="89">
        <v>67389247</v>
      </c>
      <c r="F675"/>
      <c r="G675" s="17" t="s">
        <v>2</v>
      </c>
      <c r="H675" s="132">
        <v>46090</v>
      </c>
      <c r="I675" s="127">
        <v>0.37291666666666667</v>
      </c>
      <c r="J675"/>
      <c r="K675"/>
      <c r="L675"/>
    </row>
    <row r="676" spans="1:12">
      <c r="A676" s="95" t="s">
        <v>463</v>
      </c>
      <c r="B676" t="s">
        <v>3650</v>
      </c>
      <c r="C676" s="87" t="s">
        <v>547</v>
      </c>
      <c r="D676" s="88"/>
      <c r="E676" s="89">
        <v>64433910</v>
      </c>
      <c r="F676"/>
      <c r="G676" s="17" t="s">
        <v>6</v>
      </c>
      <c r="H676" s="132">
        <v>46090</v>
      </c>
      <c r="J676"/>
      <c r="K676"/>
      <c r="L676"/>
    </row>
    <row r="677" spans="1:12">
      <c r="A677" s="95" t="s">
        <v>463</v>
      </c>
      <c r="B677" t="s">
        <v>3650</v>
      </c>
      <c r="C677" s="87" t="s">
        <v>548</v>
      </c>
      <c r="D677" s="88"/>
      <c r="E677" s="89">
        <v>66032363</v>
      </c>
      <c r="F677"/>
      <c r="G677" s="17" t="s">
        <v>2</v>
      </c>
      <c r="H677" s="132">
        <v>46090</v>
      </c>
      <c r="I677" s="127">
        <v>0.38263888888888886</v>
      </c>
      <c r="J677"/>
      <c r="K677"/>
      <c r="L677"/>
    </row>
    <row r="678" spans="1:12">
      <c r="A678" s="95" t="s">
        <v>463</v>
      </c>
      <c r="B678" t="s">
        <v>3650</v>
      </c>
      <c r="C678" s="87" t="s">
        <v>549</v>
      </c>
      <c r="D678" s="88"/>
      <c r="E678" s="89">
        <v>62278288</v>
      </c>
      <c r="F678"/>
      <c r="G678" s="17" t="s">
        <v>1</v>
      </c>
      <c r="H678" s="132">
        <v>46090</v>
      </c>
      <c r="J678"/>
      <c r="K678"/>
      <c r="L678"/>
    </row>
    <row r="679" spans="1:12">
      <c r="A679" s="95" t="s">
        <v>463</v>
      </c>
      <c r="B679" t="s">
        <v>3650</v>
      </c>
      <c r="C679" s="87" t="s">
        <v>550</v>
      </c>
      <c r="D679" s="88"/>
      <c r="E679" s="89">
        <v>65021504</v>
      </c>
      <c r="F679"/>
      <c r="G679" s="17" t="s">
        <v>2</v>
      </c>
      <c r="H679" s="132">
        <v>46090</v>
      </c>
      <c r="J679"/>
      <c r="K679"/>
      <c r="L679"/>
    </row>
    <row r="680" spans="1:12">
      <c r="A680" s="95" t="s">
        <v>463</v>
      </c>
      <c r="B680" t="s">
        <v>3650</v>
      </c>
      <c r="C680" s="87" t="s">
        <v>551</v>
      </c>
      <c r="D680" s="88"/>
      <c r="E680" s="89">
        <v>66349206</v>
      </c>
      <c r="F680"/>
      <c r="G680" s="17" t="s">
        <v>2</v>
      </c>
      <c r="H680" s="132">
        <v>46090</v>
      </c>
      <c r="J680"/>
      <c r="K680"/>
      <c r="L680"/>
    </row>
    <row r="681" spans="1:12">
      <c r="A681" s="95" t="s">
        <v>463</v>
      </c>
      <c r="B681" t="s">
        <v>3650</v>
      </c>
      <c r="C681" s="87" t="s">
        <v>552</v>
      </c>
      <c r="D681" s="88"/>
      <c r="E681" s="89">
        <v>62290298</v>
      </c>
      <c r="F681"/>
      <c r="G681" s="17" t="s">
        <v>6</v>
      </c>
      <c r="H681" s="132">
        <v>46090</v>
      </c>
      <c r="J681"/>
      <c r="K681"/>
      <c r="L681"/>
    </row>
    <row r="682" spans="1:12">
      <c r="A682" s="95" t="s">
        <v>463</v>
      </c>
      <c r="B682" t="s">
        <v>3650</v>
      </c>
      <c r="C682" s="87" t="s">
        <v>553</v>
      </c>
      <c r="D682" s="88"/>
      <c r="E682" s="89">
        <v>66076254</v>
      </c>
      <c r="F682"/>
      <c r="G682" s="17" t="s">
        <v>2</v>
      </c>
      <c r="H682" s="132">
        <v>9</v>
      </c>
      <c r="J682"/>
      <c r="K682"/>
      <c r="L682"/>
    </row>
    <row r="683" spans="1:12">
      <c r="A683" s="95" t="s">
        <v>463</v>
      </c>
      <c r="B683" t="s">
        <v>3650</v>
      </c>
      <c r="C683" s="87" t="s">
        <v>554</v>
      </c>
      <c r="D683" s="88"/>
      <c r="E683" s="89">
        <v>68478538</v>
      </c>
      <c r="F683"/>
      <c r="G683" s="17" t="s">
        <v>3</v>
      </c>
      <c r="H683" s="132">
        <v>46090</v>
      </c>
      <c r="J683"/>
      <c r="K683"/>
      <c r="L683"/>
    </row>
    <row r="684" spans="1:12">
      <c r="A684" s="95" t="s">
        <v>463</v>
      </c>
      <c r="B684" t="s">
        <v>3650</v>
      </c>
      <c r="C684" s="87" t="s">
        <v>555</v>
      </c>
      <c r="D684" s="88"/>
      <c r="E684" s="89">
        <v>67374178</v>
      </c>
      <c r="F684"/>
      <c r="G684" s="17" t="s">
        <v>9</v>
      </c>
      <c r="H684" s="132">
        <v>46090</v>
      </c>
      <c r="J684"/>
      <c r="K684"/>
      <c r="L684"/>
    </row>
    <row r="685" spans="1:12">
      <c r="A685" s="95" t="s">
        <v>463</v>
      </c>
      <c r="B685" t="s">
        <v>3659</v>
      </c>
      <c r="C685" s="87" t="s">
        <v>556</v>
      </c>
      <c r="D685" s="88"/>
      <c r="E685" s="89">
        <v>66561328</v>
      </c>
      <c r="F685"/>
      <c r="G685" s="17" t="s">
        <v>9</v>
      </c>
      <c r="H685" s="132">
        <v>46090</v>
      </c>
      <c r="J685"/>
      <c r="K685"/>
      <c r="L685"/>
    </row>
    <row r="686" spans="1:12">
      <c r="A686" s="95" t="s">
        <v>463</v>
      </c>
      <c r="B686" t="s">
        <v>3650</v>
      </c>
      <c r="C686" s="87" t="s">
        <v>557</v>
      </c>
      <c r="D686" s="88"/>
      <c r="E686" s="89">
        <v>67923846</v>
      </c>
      <c r="F686"/>
      <c r="G686" s="17" t="s">
        <v>1</v>
      </c>
      <c r="H686" s="132">
        <v>46090</v>
      </c>
      <c r="J686"/>
      <c r="K686"/>
      <c r="L686"/>
    </row>
    <row r="687" spans="1:12">
      <c r="A687" s="95" t="s">
        <v>463</v>
      </c>
      <c r="B687" t="s">
        <v>3650</v>
      </c>
      <c r="C687" s="87" t="s">
        <v>558</v>
      </c>
      <c r="D687" s="88"/>
      <c r="E687" s="89">
        <v>62022112</v>
      </c>
      <c r="F687"/>
      <c r="G687" s="17" t="s">
        <v>2</v>
      </c>
      <c r="H687" s="132">
        <v>46090</v>
      </c>
      <c r="J687"/>
      <c r="K687"/>
      <c r="L687"/>
    </row>
    <row r="688" spans="1:12">
      <c r="A688" s="95" t="s">
        <v>463</v>
      </c>
      <c r="B688" t="s">
        <v>3650</v>
      </c>
      <c r="C688" s="87" t="s">
        <v>559</v>
      </c>
      <c r="D688" s="88"/>
      <c r="E688" s="89">
        <v>64667067</v>
      </c>
      <c r="F688"/>
      <c r="G688" s="17" t="s">
        <v>6</v>
      </c>
      <c r="H688" s="132">
        <v>46090</v>
      </c>
      <c r="J688"/>
      <c r="K688"/>
      <c r="L688"/>
    </row>
    <row r="689" spans="1:12">
      <c r="A689" s="95" t="s">
        <v>463</v>
      </c>
      <c r="B689" t="s">
        <v>3650</v>
      </c>
      <c r="C689" s="87" t="s">
        <v>560</v>
      </c>
      <c r="D689" s="88"/>
      <c r="E689" s="89">
        <v>66304020</v>
      </c>
      <c r="F689"/>
      <c r="G689" s="17" t="s">
        <v>6</v>
      </c>
      <c r="H689" s="132">
        <v>46090</v>
      </c>
      <c r="J689"/>
      <c r="K689"/>
      <c r="L689"/>
    </row>
    <row r="690" spans="1:12">
      <c r="A690" s="95" t="s">
        <v>463</v>
      </c>
      <c r="B690" t="s">
        <v>3650</v>
      </c>
      <c r="C690" s="87" t="s">
        <v>561</v>
      </c>
      <c r="D690" s="88"/>
      <c r="E690" s="89">
        <v>7705719</v>
      </c>
      <c r="F690"/>
      <c r="G690" s="17" t="s">
        <v>4</v>
      </c>
      <c r="H690" s="132">
        <v>46090</v>
      </c>
      <c r="J690"/>
      <c r="K690"/>
      <c r="L690"/>
    </row>
    <row r="691" spans="1:12">
      <c r="A691" s="95" t="s">
        <v>463</v>
      </c>
      <c r="B691" t="s">
        <v>3650</v>
      </c>
      <c r="C691" s="87" t="s">
        <v>562</v>
      </c>
      <c r="D691" s="88"/>
      <c r="E691" s="89">
        <v>67819725</v>
      </c>
      <c r="F691"/>
      <c r="G691" s="17" t="s">
        <v>2</v>
      </c>
      <c r="H691" s="132">
        <v>46090</v>
      </c>
      <c r="J691"/>
      <c r="K691"/>
      <c r="L691"/>
    </row>
    <row r="692" spans="1:12">
      <c r="A692" s="95" t="s">
        <v>463</v>
      </c>
      <c r="B692" t="s">
        <v>3650</v>
      </c>
      <c r="C692" s="87" t="s">
        <v>563</v>
      </c>
      <c r="D692" s="88"/>
      <c r="E692" s="89">
        <v>65739381</v>
      </c>
      <c r="F692"/>
      <c r="G692" s="17" t="s">
        <v>9</v>
      </c>
      <c r="H692" s="132">
        <v>46090</v>
      </c>
      <c r="J692"/>
      <c r="K692"/>
      <c r="L692"/>
    </row>
    <row r="693" spans="1:12">
      <c r="A693" s="95" t="s">
        <v>463</v>
      </c>
      <c r="B693" t="s">
        <v>3650</v>
      </c>
      <c r="C693" s="87" t="s">
        <v>564</v>
      </c>
      <c r="D693" s="88"/>
      <c r="E693" s="89">
        <v>69973295</v>
      </c>
      <c r="F693"/>
      <c r="G693" s="17" t="s">
        <v>6</v>
      </c>
      <c r="H693" s="132">
        <v>46090</v>
      </c>
      <c r="J693"/>
      <c r="K693"/>
      <c r="L693"/>
    </row>
    <row r="694" spans="1:12">
      <c r="A694" s="95" t="s">
        <v>463</v>
      </c>
      <c r="B694" t="s">
        <v>3650</v>
      </c>
      <c r="C694" s="87" t="s">
        <v>565</v>
      </c>
      <c r="D694" s="88"/>
      <c r="E694" s="89">
        <v>7864567</v>
      </c>
      <c r="F694"/>
      <c r="G694" s="17" t="s">
        <v>9</v>
      </c>
      <c r="H694" s="132">
        <v>46090</v>
      </c>
      <c r="J694"/>
      <c r="K694"/>
      <c r="L694"/>
    </row>
    <row r="695" spans="1:12">
      <c r="A695" s="95" t="s">
        <v>463</v>
      </c>
      <c r="B695" t="s">
        <v>3650</v>
      </c>
      <c r="C695" s="87" t="s">
        <v>566</v>
      </c>
      <c r="D695" s="88"/>
      <c r="E695" s="89">
        <v>62375423</v>
      </c>
      <c r="F695"/>
      <c r="G695" s="17" t="s">
        <v>2</v>
      </c>
      <c r="H695" s="132">
        <v>46090</v>
      </c>
      <c r="J695"/>
      <c r="K695"/>
      <c r="L695"/>
    </row>
    <row r="696" spans="1:12">
      <c r="A696" s="95" t="s">
        <v>463</v>
      </c>
      <c r="B696" t="s">
        <v>3650</v>
      </c>
      <c r="C696" s="87" t="s">
        <v>567</v>
      </c>
      <c r="D696" s="88"/>
      <c r="E696" s="89">
        <v>68634490</v>
      </c>
      <c r="F696"/>
      <c r="G696" s="17" t="s">
        <v>2</v>
      </c>
      <c r="H696" s="132">
        <v>46090</v>
      </c>
      <c r="J696"/>
      <c r="K696"/>
      <c r="L696"/>
    </row>
    <row r="697" spans="1:12">
      <c r="A697" s="95" t="s">
        <v>463</v>
      </c>
      <c r="B697" t="s">
        <v>3650</v>
      </c>
      <c r="C697" s="87" t="s">
        <v>568</v>
      </c>
      <c r="D697" s="88"/>
      <c r="E697" s="89">
        <v>66298299</v>
      </c>
      <c r="F697"/>
      <c r="G697" s="17" t="s">
        <v>1</v>
      </c>
      <c r="H697" s="132">
        <v>46090</v>
      </c>
      <c r="J697"/>
      <c r="K697"/>
      <c r="L697"/>
    </row>
    <row r="698" spans="1:12">
      <c r="A698" s="95" t="s">
        <v>463</v>
      </c>
      <c r="B698" t="s">
        <v>3650</v>
      </c>
      <c r="C698" s="87" t="s">
        <v>569</v>
      </c>
      <c r="D698" s="88"/>
      <c r="E698" s="89">
        <v>65608314</v>
      </c>
      <c r="F698"/>
      <c r="G698" s="17" t="s">
        <v>9</v>
      </c>
      <c r="H698" s="132">
        <v>46090</v>
      </c>
      <c r="J698"/>
      <c r="K698"/>
      <c r="L698"/>
    </row>
    <row r="699" spans="1:12">
      <c r="A699" s="95" t="s">
        <v>463</v>
      </c>
      <c r="B699" t="s">
        <v>3650</v>
      </c>
      <c r="C699" s="87" t="s">
        <v>570</v>
      </c>
      <c r="D699" s="88"/>
      <c r="E699" s="89">
        <v>64670836</v>
      </c>
      <c r="F699"/>
      <c r="G699" s="17" t="s">
        <v>2</v>
      </c>
      <c r="H699" s="132">
        <v>46090</v>
      </c>
      <c r="J699"/>
      <c r="K699"/>
      <c r="L699"/>
    </row>
    <row r="700" spans="1:12">
      <c r="A700" s="95" t="s">
        <v>463</v>
      </c>
      <c r="B700" t="s">
        <v>3650</v>
      </c>
      <c r="C700" s="87" t="s">
        <v>571</v>
      </c>
      <c r="D700" s="88"/>
      <c r="E700" s="89">
        <v>66785666</v>
      </c>
      <c r="F700"/>
      <c r="G700" s="17" t="s">
        <v>6</v>
      </c>
      <c r="H700" s="132">
        <v>46090</v>
      </c>
      <c r="J700"/>
      <c r="K700"/>
      <c r="L700"/>
    </row>
    <row r="701" spans="1:12">
      <c r="A701" s="95" t="s">
        <v>463</v>
      </c>
      <c r="B701" t="s">
        <v>3650</v>
      </c>
      <c r="C701" s="87" t="s">
        <v>572</v>
      </c>
      <c r="D701" s="88"/>
      <c r="E701" s="89">
        <v>68397704</v>
      </c>
      <c r="F701"/>
      <c r="G701" s="17" t="s">
        <v>2</v>
      </c>
      <c r="H701" s="132">
        <v>46090</v>
      </c>
      <c r="J701"/>
      <c r="K701"/>
      <c r="L701"/>
    </row>
    <row r="702" spans="1:12">
      <c r="A702" s="95" t="s">
        <v>463</v>
      </c>
      <c r="B702" t="s">
        <v>3650</v>
      </c>
      <c r="C702" s="87" t="s">
        <v>573</v>
      </c>
      <c r="D702" s="88"/>
      <c r="E702" s="89">
        <v>65817645</v>
      </c>
      <c r="F702"/>
      <c r="G702" s="17" t="s">
        <v>3</v>
      </c>
      <c r="H702" s="132">
        <v>46090</v>
      </c>
      <c r="J702"/>
      <c r="K702"/>
      <c r="L702"/>
    </row>
    <row r="703" spans="1:12">
      <c r="A703" s="95" t="s">
        <v>463</v>
      </c>
      <c r="B703" t="s">
        <v>3650</v>
      </c>
      <c r="C703" s="87" t="s">
        <v>574</v>
      </c>
      <c r="D703" s="88"/>
      <c r="E703" s="89">
        <v>7307488</v>
      </c>
      <c r="F703"/>
      <c r="G703" s="17" t="s">
        <v>2</v>
      </c>
      <c r="H703" s="132"/>
      <c r="J703"/>
      <c r="K703"/>
      <c r="L703"/>
    </row>
    <row r="704" spans="1:12">
      <c r="A704" s="95" t="s">
        <v>463</v>
      </c>
      <c r="B704" t="s">
        <v>3650</v>
      </c>
      <c r="C704" s="87" t="s">
        <v>575</v>
      </c>
      <c r="D704" s="88"/>
      <c r="E704" s="89">
        <v>68876464</v>
      </c>
      <c r="F704"/>
      <c r="G704" s="17" t="s">
        <v>2</v>
      </c>
      <c r="H704" s="132"/>
      <c r="J704"/>
      <c r="K704"/>
      <c r="L704"/>
    </row>
    <row r="705" spans="1:12">
      <c r="A705" s="95" t="s">
        <v>463</v>
      </c>
      <c r="B705" t="s">
        <v>3650</v>
      </c>
      <c r="C705" s="87" t="s">
        <v>576</v>
      </c>
      <c r="D705" s="88"/>
      <c r="E705" s="89">
        <v>68043824</v>
      </c>
      <c r="F705"/>
      <c r="G705" s="17" t="s">
        <v>3</v>
      </c>
      <c r="H705" s="132"/>
      <c r="J705"/>
      <c r="K705"/>
      <c r="L705"/>
    </row>
    <row r="706" spans="1:12">
      <c r="A706" s="95" t="s">
        <v>463</v>
      </c>
      <c r="B706" t="s">
        <v>3650</v>
      </c>
      <c r="C706" s="87" t="s">
        <v>577</v>
      </c>
      <c r="D706" s="88"/>
      <c r="E706" s="89">
        <v>66717484</v>
      </c>
      <c r="F706"/>
      <c r="H706" s="132"/>
      <c r="J706"/>
      <c r="K706"/>
      <c r="L706"/>
    </row>
    <row r="707" spans="1:12">
      <c r="A707" s="95" t="s">
        <v>463</v>
      </c>
      <c r="B707" t="s">
        <v>3652</v>
      </c>
      <c r="C707" s="87" t="s">
        <v>578</v>
      </c>
      <c r="D707" s="88"/>
      <c r="E707" s="89">
        <v>66988384</v>
      </c>
      <c r="F707"/>
      <c r="G707" s="17" t="s">
        <v>2</v>
      </c>
      <c r="H707" s="132">
        <v>46086</v>
      </c>
      <c r="I707" s="127">
        <v>0.62986111111111109</v>
      </c>
      <c r="J707"/>
      <c r="K707"/>
      <c r="L707"/>
    </row>
    <row r="708" spans="1:12">
      <c r="A708" s="95" t="s">
        <v>463</v>
      </c>
      <c r="B708" t="s">
        <v>3652</v>
      </c>
      <c r="C708" s="87" t="s">
        <v>579</v>
      </c>
      <c r="D708" s="88"/>
      <c r="E708" s="89">
        <v>7723069</v>
      </c>
      <c r="F708"/>
      <c r="G708" s="17" t="s">
        <v>2</v>
      </c>
      <c r="H708" s="132">
        <v>46086</v>
      </c>
      <c r="I708" s="127">
        <v>0.62916666666666665</v>
      </c>
      <c r="J708"/>
      <c r="K708"/>
      <c r="L708"/>
    </row>
    <row r="709" spans="1:12">
      <c r="A709" s="95" t="s">
        <v>463</v>
      </c>
      <c r="B709" t="s">
        <v>3652</v>
      </c>
      <c r="C709" s="87" t="s">
        <v>580</v>
      </c>
      <c r="D709" s="88"/>
      <c r="E709" s="89">
        <v>66349227</v>
      </c>
      <c r="F709"/>
      <c r="G709" s="17" t="s">
        <v>2</v>
      </c>
      <c r="H709" s="132">
        <v>46086</v>
      </c>
      <c r="I709" s="127">
        <v>0.62847222222222221</v>
      </c>
      <c r="J709"/>
      <c r="K709"/>
      <c r="L709"/>
    </row>
    <row r="710" spans="1:12">
      <c r="A710" s="95" t="s">
        <v>463</v>
      </c>
      <c r="B710" t="s">
        <v>3652</v>
      </c>
      <c r="C710" s="87" t="s">
        <v>581</v>
      </c>
      <c r="D710" s="88"/>
      <c r="E710" s="89">
        <v>64633322</v>
      </c>
      <c r="F710"/>
      <c r="G710" s="17" t="s">
        <v>3</v>
      </c>
      <c r="H710" s="132">
        <v>46086</v>
      </c>
      <c r="I710" s="127">
        <v>0.62638888888888888</v>
      </c>
      <c r="J710"/>
      <c r="K710"/>
      <c r="L710"/>
    </row>
    <row r="711" spans="1:12">
      <c r="A711" s="95" t="s">
        <v>463</v>
      </c>
      <c r="B711" t="s">
        <v>3652</v>
      </c>
      <c r="C711" s="87" t="s">
        <v>582</v>
      </c>
      <c r="D711" s="88"/>
      <c r="E711" s="89">
        <v>65804794</v>
      </c>
      <c r="F711"/>
      <c r="G711" s="17" t="s">
        <v>3</v>
      </c>
      <c r="H711" s="132">
        <v>46086</v>
      </c>
      <c r="I711" s="127">
        <v>0.625</v>
      </c>
      <c r="J711"/>
      <c r="K711"/>
      <c r="L711" t="s">
        <v>3660</v>
      </c>
    </row>
    <row r="712" spans="1:12">
      <c r="A712" s="95" t="s">
        <v>463</v>
      </c>
      <c r="B712" t="s">
        <v>3652</v>
      </c>
      <c r="C712" s="87" t="s">
        <v>583</v>
      </c>
      <c r="D712" s="88"/>
      <c r="E712" s="89">
        <v>65848223</v>
      </c>
      <c r="F712"/>
      <c r="G712" s="17" t="s">
        <v>1</v>
      </c>
      <c r="H712" s="132">
        <v>46086</v>
      </c>
      <c r="I712" s="127">
        <v>0.62361111111111112</v>
      </c>
      <c r="J712"/>
      <c r="K712"/>
      <c r="L712"/>
    </row>
    <row r="713" spans="1:12">
      <c r="A713" s="95" t="s">
        <v>463</v>
      </c>
      <c r="B713" t="s">
        <v>3652</v>
      </c>
      <c r="C713" s="87" t="s">
        <v>584</v>
      </c>
      <c r="D713" s="88"/>
      <c r="E713" s="89">
        <v>68457526</v>
      </c>
      <c r="F713"/>
      <c r="G713" s="17" t="s">
        <v>6</v>
      </c>
      <c r="H713" s="132">
        <v>46086</v>
      </c>
      <c r="I713" s="127">
        <v>0.62291666666666667</v>
      </c>
      <c r="J713"/>
      <c r="K713"/>
      <c r="L713"/>
    </row>
    <row r="714" spans="1:12">
      <c r="A714" s="95" t="s">
        <v>463</v>
      </c>
      <c r="B714" t="s">
        <v>3652</v>
      </c>
      <c r="C714" s="87" t="s">
        <v>585</v>
      </c>
      <c r="D714" s="88"/>
      <c r="E714" s="89">
        <v>65906632</v>
      </c>
      <c r="F714"/>
      <c r="G714" s="17" t="s">
        <v>1</v>
      </c>
      <c r="H714" s="132">
        <v>46086</v>
      </c>
      <c r="I714" s="127">
        <v>0.62152777777777779</v>
      </c>
      <c r="J714"/>
      <c r="K714"/>
      <c r="L714"/>
    </row>
    <row r="715" spans="1:12">
      <c r="A715" s="95" t="s">
        <v>463</v>
      </c>
      <c r="B715" t="s">
        <v>3652</v>
      </c>
      <c r="C715" s="87" t="s">
        <v>586</v>
      </c>
      <c r="D715" s="88"/>
      <c r="E715" s="89">
        <v>64820708</v>
      </c>
      <c r="F715"/>
      <c r="G715" s="17" t="s">
        <v>1</v>
      </c>
      <c r="H715" s="132">
        <v>46086</v>
      </c>
      <c r="I715" s="127">
        <v>0.62013888888888891</v>
      </c>
      <c r="J715"/>
      <c r="K715"/>
      <c r="L715"/>
    </row>
    <row r="716" spans="1:12">
      <c r="A716" s="95" t="s">
        <v>463</v>
      </c>
      <c r="B716" t="s">
        <v>3652</v>
      </c>
      <c r="C716" s="87" t="s">
        <v>587</v>
      </c>
      <c r="D716" s="88"/>
      <c r="E716" s="89">
        <v>67755875</v>
      </c>
      <c r="F716"/>
      <c r="G716" s="17" t="s">
        <v>1</v>
      </c>
      <c r="H716" s="132">
        <v>46086</v>
      </c>
      <c r="I716" s="127">
        <v>0.61944444444444446</v>
      </c>
      <c r="J716"/>
      <c r="K716"/>
      <c r="L716"/>
    </row>
    <row r="717" spans="1:12">
      <c r="A717" s="95" t="s">
        <v>463</v>
      </c>
      <c r="B717" t="s">
        <v>3652</v>
      </c>
      <c r="C717" s="87" t="s">
        <v>588</v>
      </c>
      <c r="D717" s="88"/>
      <c r="E717" s="89">
        <v>67373078</v>
      </c>
      <c r="F717"/>
      <c r="G717" s="17" t="s">
        <v>9</v>
      </c>
      <c r="H717" s="132">
        <v>46086</v>
      </c>
      <c r="I717" s="127">
        <v>0.61875000000000002</v>
      </c>
      <c r="J717"/>
      <c r="K717"/>
      <c r="L717"/>
    </row>
    <row r="718" spans="1:12">
      <c r="A718" s="95" t="s">
        <v>463</v>
      </c>
      <c r="B718" t="s">
        <v>3652</v>
      </c>
      <c r="C718" s="87" t="s">
        <v>589</v>
      </c>
      <c r="D718" s="88"/>
      <c r="E718" s="89">
        <v>7712044</v>
      </c>
      <c r="F718"/>
      <c r="G718" s="17" t="s">
        <v>6</v>
      </c>
      <c r="H718" s="132">
        <v>46086</v>
      </c>
      <c r="I718" s="127">
        <v>0.6166666666666667</v>
      </c>
      <c r="J718"/>
      <c r="K718"/>
      <c r="L718"/>
    </row>
    <row r="719" spans="1:12">
      <c r="A719" s="95" t="s">
        <v>463</v>
      </c>
      <c r="B719" t="s">
        <v>3652</v>
      </c>
      <c r="C719" s="87" t="s">
        <v>590</v>
      </c>
      <c r="D719" s="88"/>
      <c r="E719" s="89">
        <v>67067514</v>
      </c>
      <c r="F719"/>
      <c r="G719" s="17" t="s">
        <v>3</v>
      </c>
      <c r="H719" s="132">
        <v>46086</v>
      </c>
      <c r="I719" s="127">
        <v>0.61458333333333337</v>
      </c>
      <c r="J719"/>
      <c r="K719"/>
      <c r="L719"/>
    </row>
    <row r="720" spans="1:12">
      <c r="A720" s="95" t="s">
        <v>463</v>
      </c>
      <c r="B720" t="s">
        <v>3661</v>
      </c>
      <c r="C720" s="87" t="s">
        <v>591</v>
      </c>
      <c r="D720" s="88"/>
      <c r="E720" s="89">
        <v>69800528</v>
      </c>
      <c r="F720"/>
      <c r="G720" s="17" t="s">
        <v>2</v>
      </c>
      <c r="H720" s="132">
        <v>46086</v>
      </c>
      <c r="I720" s="127">
        <v>0.63263888888888886</v>
      </c>
      <c r="J720"/>
      <c r="K720"/>
      <c r="L720"/>
    </row>
    <row r="721" spans="1:12">
      <c r="A721" s="95" t="s">
        <v>463</v>
      </c>
      <c r="B721" t="s">
        <v>3662</v>
      </c>
      <c r="C721" s="87" t="s">
        <v>592</v>
      </c>
      <c r="D721" s="88"/>
      <c r="E721" s="89">
        <v>64434467</v>
      </c>
      <c r="F721"/>
      <c r="G721" s="17" t="s">
        <v>1</v>
      </c>
      <c r="H721" s="132">
        <v>46086</v>
      </c>
      <c r="I721" s="127">
        <v>0.6333333333333333</v>
      </c>
      <c r="J721"/>
      <c r="K721"/>
      <c r="L721"/>
    </row>
    <row r="722" spans="1:12">
      <c r="A722" s="95" t="s">
        <v>463</v>
      </c>
      <c r="B722" t="s">
        <v>3662</v>
      </c>
      <c r="C722" s="87" t="s">
        <v>593</v>
      </c>
      <c r="D722" s="88"/>
      <c r="E722" s="89">
        <v>66940670</v>
      </c>
      <c r="F722"/>
      <c r="G722" s="17" t="s">
        <v>2</v>
      </c>
      <c r="H722" s="132">
        <v>46086</v>
      </c>
      <c r="I722" s="127">
        <v>0.63194444444444442</v>
      </c>
      <c r="J722"/>
      <c r="K722"/>
      <c r="L722"/>
    </row>
    <row r="723" spans="1:12">
      <c r="A723" s="95" t="s">
        <v>463</v>
      </c>
      <c r="B723" t="s">
        <v>3662</v>
      </c>
      <c r="C723" s="87" t="s">
        <v>594</v>
      </c>
      <c r="D723" s="88"/>
      <c r="E723" s="89">
        <v>68859222</v>
      </c>
      <c r="F723"/>
      <c r="G723" s="17" t="s">
        <v>1</v>
      </c>
      <c r="H723" s="132">
        <v>46086</v>
      </c>
      <c r="I723" s="127">
        <v>0.63124999999999998</v>
      </c>
      <c r="J723"/>
      <c r="K723"/>
      <c r="L723"/>
    </row>
    <row r="724" spans="1:12">
      <c r="A724" s="95" t="s">
        <v>463</v>
      </c>
      <c r="B724" t="s">
        <v>3662</v>
      </c>
      <c r="C724" s="87" t="s">
        <v>595</v>
      </c>
      <c r="D724" s="88"/>
      <c r="E724" s="89">
        <v>66966512</v>
      </c>
      <c r="F724"/>
      <c r="G724" s="17" t="s">
        <v>1</v>
      </c>
      <c r="H724" s="132">
        <v>46086</v>
      </c>
      <c r="I724" s="127">
        <v>0.63055555555555554</v>
      </c>
      <c r="J724"/>
      <c r="K724"/>
      <c r="L724"/>
    </row>
    <row r="725" spans="1:12">
      <c r="A725" s="95" t="s">
        <v>463</v>
      </c>
      <c r="B725" t="s">
        <v>3662</v>
      </c>
      <c r="C725" s="87" t="s">
        <v>596</v>
      </c>
      <c r="D725" s="88"/>
      <c r="E725" s="89">
        <v>64729180</v>
      </c>
      <c r="F725"/>
      <c r="G725" s="17" t="s">
        <v>6</v>
      </c>
      <c r="H725" s="132">
        <v>46086</v>
      </c>
      <c r="I725" s="127">
        <v>0.63055555555555554</v>
      </c>
      <c r="J725"/>
      <c r="K725"/>
      <c r="L725"/>
    </row>
    <row r="726" spans="1:12">
      <c r="A726" s="95" t="s">
        <v>463</v>
      </c>
      <c r="B726" t="s">
        <v>3662</v>
      </c>
      <c r="C726" s="87" t="s">
        <v>597</v>
      </c>
      <c r="D726" s="88"/>
      <c r="E726" s="89">
        <v>67346385</v>
      </c>
      <c r="F726"/>
      <c r="G726" s="17" t="s">
        <v>8</v>
      </c>
      <c r="H726" s="132">
        <v>46086</v>
      </c>
      <c r="I726" s="127">
        <v>0.62986111111111109</v>
      </c>
      <c r="J726"/>
      <c r="K726"/>
      <c r="L726" t="s">
        <v>3663</v>
      </c>
    </row>
    <row r="727" spans="1:12">
      <c r="A727" s="95" t="s">
        <v>463</v>
      </c>
      <c r="B727" t="s">
        <v>3662</v>
      </c>
      <c r="C727" s="87" t="s">
        <v>598</v>
      </c>
      <c r="D727" s="88"/>
      <c r="E727" s="89">
        <v>66219907</v>
      </c>
      <c r="F727"/>
      <c r="G727" s="17" t="s">
        <v>2</v>
      </c>
      <c r="H727" s="132">
        <v>46086</v>
      </c>
      <c r="I727" s="127">
        <v>0.62986111111111109</v>
      </c>
      <c r="J727"/>
      <c r="K727"/>
      <c r="L727"/>
    </row>
    <row r="728" spans="1:12">
      <c r="A728" s="95" t="s">
        <v>463</v>
      </c>
      <c r="B728" t="s">
        <v>3662</v>
      </c>
      <c r="C728" s="87" t="s">
        <v>599</v>
      </c>
      <c r="D728" s="88"/>
      <c r="E728" s="89">
        <v>63218352</v>
      </c>
      <c r="F728"/>
      <c r="G728" s="17" t="s">
        <v>1</v>
      </c>
      <c r="H728" s="132">
        <v>46086</v>
      </c>
      <c r="I728" s="127">
        <v>0.62916666666666665</v>
      </c>
      <c r="J728"/>
      <c r="K728"/>
      <c r="L728"/>
    </row>
    <row r="729" spans="1:12">
      <c r="A729" s="95" t="s">
        <v>463</v>
      </c>
      <c r="B729" t="s">
        <v>3662</v>
      </c>
      <c r="C729" s="87" t="s">
        <v>600</v>
      </c>
      <c r="D729" s="88"/>
      <c r="E729" s="89">
        <v>65731148</v>
      </c>
      <c r="F729"/>
      <c r="G729" s="17" t="s">
        <v>1</v>
      </c>
      <c r="H729" s="132">
        <v>46086</v>
      </c>
      <c r="I729" s="127">
        <v>0.62847222222222221</v>
      </c>
      <c r="J729"/>
      <c r="K729"/>
      <c r="L729"/>
    </row>
    <row r="730" spans="1:12">
      <c r="A730" s="95" t="s">
        <v>463</v>
      </c>
      <c r="B730" t="s">
        <v>3662</v>
      </c>
      <c r="C730" s="87" t="s">
        <v>601</v>
      </c>
      <c r="D730" s="88"/>
      <c r="E730" s="89">
        <v>68231093</v>
      </c>
      <c r="F730"/>
      <c r="G730" s="17" t="s">
        <v>2</v>
      </c>
      <c r="H730" s="132">
        <v>46086</v>
      </c>
      <c r="I730" s="127">
        <v>0.62847222222222221</v>
      </c>
      <c r="J730"/>
      <c r="K730"/>
      <c r="L730"/>
    </row>
    <row r="731" spans="1:12">
      <c r="A731" s="95" t="s">
        <v>463</v>
      </c>
      <c r="B731" t="s">
        <v>3662</v>
      </c>
      <c r="C731" s="87" t="s">
        <v>602</v>
      </c>
      <c r="D731" s="88"/>
      <c r="E731" s="89">
        <v>64516997</v>
      </c>
      <c r="F731"/>
      <c r="G731" s="17" t="s">
        <v>6</v>
      </c>
      <c r="H731" s="132">
        <v>46086</v>
      </c>
      <c r="I731" s="127">
        <v>0.62777777777777777</v>
      </c>
      <c r="J731"/>
      <c r="K731"/>
      <c r="L731"/>
    </row>
    <row r="732" spans="1:12">
      <c r="A732" s="95" t="s">
        <v>463</v>
      </c>
      <c r="B732" t="s">
        <v>3652</v>
      </c>
      <c r="C732" s="87" t="s">
        <v>603</v>
      </c>
      <c r="D732" s="88"/>
      <c r="E732" s="89">
        <v>66904481</v>
      </c>
      <c r="F732"/>
      <c r="G732" s="17" t="s">
        <v>2</v>
      </c>
      <c r="H732" s="132">
        <v>46086</v>
      </c>
      <c r="I732" s="127">
        <v>0.60763888888888884</v>
      </c>
      <c r="J732"/>
      <c r="K732"/>
      <c r="L732"/>
    </row>
    <row r="733" spans="1:12">
      <c r="A733" s="95" t="s">
        <v>463</v>
      </c>
      <c r="B733" t="s">
        <v>3652</v>
      </c>
      <c r="C733" s="87" t="s">
        <v>604</v>
      </c>
      <c r="D733" s="88"/>
      <c r="E733" s="89">
        <v>65191923</v>
      </c>
      <c r="F733"/>
      <c r="G733" s="17" t="s">
        <v>1</v>
      </c>
      <c r="H733" s="132">
        <v>46086</v>
      </c>
      <c r="I733" s="127">
        <v>0.60624999999999996</v>
      </c>
      <c r="J733"/>
      <c r="K733"/>
      <c r="L733"/>
    </row>
    <row r="734" spans="1:12">
      <c r="A734" s="95" t="s">
        <v>463</v>
      </c>
      <c r="B734" t="s">
        <v>3652</v>
      </c>
      <c r="C734" s="87" t="s">
        <v>605</v>
      </c>
      <c r="D734" s="88"/>
      <c r="E734" s="89">
        <v>69596465</v>
      </c>
      <c r="F734"/>
      <c r="G734" s="17" t="s">
        <v>2</v>
      </c>
      <c r="H734" s="132">
        <v>46086</v>
      </c>
      <c r="I734" s="127">
        <v>0.60555555555555551</v>
      </c>
      <c r="J734"/>
      <c r="K734"/>
      <c r="L734"/>
    </row>
    <row r="735" spans="1:12">
      <c r="A735" s="95" t="s">
        <v>463</v>
      </c>
      <c r="B735" t="s">
        <v>3652</v>
      </c>
      <c r="C735" s="87" t="s">
        <v>606</v>
      </c>
      <c r="D735" s="88"/>
      <c r="E735" s="89">
        <v>67232415</v>
      </c>
      <c r="F735"/>
      <c r="G735" s="17" t="s">
        <v>9</v>
      </c>
      <c r="H735" s="132">
        <v>46086</v>
      </c>
      <c r="I735" s="127">
        <v>0.60486111111111107</v>
      </c>
      <c r="J735"/>
      <c r="K735"/>
      <c r="L735"/>
    </row>
    <row r="736" spans="1:12">
      <c r="A736" s="95" t="s">
        <v>463</v>
      </c>
      <c r="B736" t="s">
        <v>3652</v>
      </c>
      <c r="C736" s="87" t="s">
        <v>607</v>
      </c>
      <c r="D736" s="88"/>
      <c r="E736" s="89">
        <v>7210174</v>
      </c>
      <c r="F736"/>
      <c r="G736" s="17" t="s">
        <v>2</v>
      </c>
      <c r="H736" s="132">
        <v>46086</v>
      </c>
      <c r="I736" s="127">
        <v>0.60416666666666663</v>
      </c>
      <c r="J736"/>
      <c r="K736"/>
      <c r="L736"/>
    </row>
    <row r="737" spans="1:12">
      <c r="A737" s="95" t="s">
        <v>463</v>
      </c>
      <c r="B737" t="s">
        <v>3652</v>
      </c>
      <c r="C737" s="87" t="s">
        <v>608</v>
      </c>
      <c r="D737" s="88"/>
      <c r="E737" s="89">
        <v>65248558</v>
      </c>
      <c r="F737"/>
      <c r="G737" s="17" t="s">
        <v>2</v>
      </c>
      <c r="H737" s="132">
        <v>46086</v>
      </c>
      <c r="I737" s="127">
        <v>0.60347222222222219</v>
      </c>
      <c r="J737"/>
      <c r="K737"/>
      <c r="L737"/>
    </row>
    <row r="738" spans="1:12">
      <c r="A738" s="95" t="s">
        <v>463</v>
      </c>
      <c r="B738" t="s">
        <v>3652</v>
      </c>
      <c r="C738" s="87" t="s">
        <v>609</v>
      </c>
      <c r="D738" s="88"/>
      <c r="E738" s="89">
        <v>67478647</v>
      </c>
      <c r="F738"/>
      <c r="G738" s="17" t="s">
        <v>6</v>
      </c>
      <c r="H738" s="132">
        <v>46086</v>
      </c>
      <c r="I738" s="127">
        <v>0.60277777777777775</v>
      </c>
      <c r="J738"/>
      <c r="K738"/>
      <c r="L738"/>
    </row>
    <row r="739" spans="1:12">
      <c r="A739" s="95" t="s">
        <v>463</v>
      </c>
      <c r="B739" t="s">
        <v>3652</v>
      </c>
      <c r="C739" s="87" t="s">
        <v>610</v>
      </c>
      <c r="D739" s="88"/>
      <c r="E739" s="89">
        <v>64644406</v>
      </c>
      <c r="F739"/>
      <c r="G739" s="17" t="s">
        <v>1</v>
      </c>
      <c r="H739" s="132">
        <v>46086</v>
      </c>
      <c r="I739" s="127">
        <v>0.6</v>
      </c>
      <c r="J739"/>
      <c r="K739"/>
      <c r="L739"/>
    </row>
    <row r="740" spans="1:12">
      <c r="A740" s="95" t="s">
        <v>463</v>
      </c>
      <c r="B740" t="s">
        <v>3652</v>
      </c>
      <c r="C740" s="87" t="s">
        <v>611</v>
      </c>
      <c r="D740" s="88"/>
      <c r="E740" s="89">
        <v>66917477</v>
      </c>
      <c r="F740"/>
      <c r="G740" s="17" t="s">
        <v>1</v>
      </c>
      <c r="H740" s="132">
        <v>46086</v>
      </c>
      <c r="I740" s="127">
        <v>0.59930555555555554</v>
      </c>
      <c r="J740"/>
      <c r="K740"/>
      <c r="L740"/>
    </row>
    <row r="741" spans="1:12">
      <c r="A741" s="95" t="s">
        <v>463</v>
      </c>
      <c r="B741" t="s">
        <v>3652</v>
      </c>
      <c r="C741" s="87" t="s">
        <v>612</v>
      </c>
      <c r="D741" s="88"/>
      <c r="E741" s="89">
        <v>67608862</v>
      </c>
      <c r="F741"/>
      <c r="G741" s="17" t="s">
        <v>1</v>
      </c>
      <c r="H741" s="132">
        <v>46086</v>
      </c>
      <c r="I741" s="127">
        <v>0.59722222222222221</v>
      </c>
      <c r="J741"/>
      <c r="K741"/>
      <c r="L741"/>
    </row>
    <row r="742" spans="1:12">
      <c r="A742" s="95" t="s">
        <v>463</v>
      </c>
      <c r="B742" t="s">
        <v>3652</v>
      </c>
      <c r="C742" s="87" t="s">
        <v>613</v>
      </c>
      <c r="D742" s="88"/>
      <c r="E742" s="89">
        <v>62133255</v>
      </c>
      <c r="F742"/>
      <c r="G742" s="17" t="s">
        <v>1</v>
      </c>
      <c r="H742" s="132">
        <v>46086</v>
      </c>
      <c r="I742" s="127">
        <v>0.59652777777777777</v>
      </c>
      <c r="J742"/>
      <c r="K742"/>
      <c r="L742"/>
    </row>
    <row r="743" spans="1:12">
      <c r="A743" s="95" t="s">
        <v>463</v>
      </c>
      <c r="B743" t="s">
        <v>3652</v>
      </c>
      <c r="C743" s="87" t="s">
        <v>614</v>
      </c>
      <c r="D743" s="88"/>
      <c r="E743" s="89">
        <v>60473256</v>
      </c>
      <c r="F743"/>
      <c r="G743" s="17" t="s">
        <v>3</v>
      </c>
      <c r="H743" s="132">
        <v>46086</v>
      </c>
      <c r="I743" s="127">
        <v>0.56041666666666667</v>
      </c>
      <c r="J743"/>
      <c r="K743"/>
      <c r="L743" t="s">
        <v>3660</v>
      </c>
    </row>
    <row r="744" spans="1:12">
      <c r="A744" s="95" t="s">
        <v>463</v>
      </c>
      <c r="B744" t="s">
        <v>3652</v>
      </c>
      <c r="C744" s="87" t="s">
        <v>615</v>
      </c>
      <c r="D744" s="88"/>
      <c r="E744" s="89">
        <v>68700236</v>
      </c>
      <c r="F744"/>
      <c r="G744" s="17" t="s">
        <v>6</v>
      </c>
      <c r="H744" s="132">
        <v>46086</v>
      </c>
      <c r="I744" s="127">
        <v>0.55972222222222223</v>
      </c>
      <c r="J744"/>
      <c r="K744"/>
      <c r="L744"/>
    </row>
    <row r="745" spans="1:12">
      <c r="A745" s="95" t="s">
        <v>463</v>
      </c>
      <c r="B745" t="s">
        <v>3652</v>
      </c>
      <c r="C745" s="87" t="s">
        <v>616</v>
      </c>
      <c r="D745" s="88"/>
      <c r="E745" s="89">
        <v>63536121</v>
      </c>
      <c r="F745"/>
      <c r="G745" s="17" t="s">
        <v>9</v>
      </c>
      <c r="H745" s="132">
        <v>46086</v>
      </c>
      <c r="I745" s="127">
        <v>0.55694444444444446</v>
      </c>
      <c r="J745"/>
      <c r="K745"/>
      <c r="L745"/>
    </row>
    <row r="746" spans="1:12">
      <c r="A746" s="95" t="s">
        <v>463</v>
      </c>
      <c r="B746" t="s">
        <v>3652</v>
      </c>
      <c r="C746" s="87" t="s">
        <v>617</v>
      </c>
      <c r="D746" s="88"/>
      <c r="E746" s="89">
        <v>67128024</v>
      </c>
      <c r="F746"/>
      <c r="G746" s="17" t="s">
        <v>9</v>
      </c>
      <c r="H746" s="132">
        <v>46086</v>
      </c>
      <c r="I746" s="127">
        <v>0.55694444444444446</v>
      </c>
      <c r="J746"/>
      <c r="K746"/>
      <c r="L746"/>
    </row>
    <row r="747" spans="1:12">
      <c r="A747" s="95" t="s">
        <v>463</v>
      </c>
      <c r="B747" t="s">
        <v>3652</v>
      </c>
      <c r="C747" s="87" t="s">
        <v>618</v>
      </c>
      <c r="D747" s="88"/>
      <c r="E747" s="89">
        <v>65459781</v>
      </c>
      <c r="F747"/>
      <c r="G747" s="17" t="s">
        <v>1</v>
      </c>
      <c r="H747" s="132">
        <v>46086</v>
      </c>
      <c r="I747" s="127">
        <v>0.55486111111111114</v>
      </c>
      <c r="J747"/>
      <c r="K747"/>
      <c r="L747" t="s">
        <v>3663</v>
      </c>
    </row>
    <row r="748" spans="1:12">
      <c r="A748" s="95" t="s">
        <v>463</v>
      </c>
      <c r="B748" t="s">
        <v>3652</v>
      </c>
      <c r="C748" s="87" t="s">
        <v>619</v>
      </c>
      <c r="D748" s="88"/>
      <c r="E748" s="89">
        <v>7757103</v>
      </c>
      <c r="F748"/>
      <c r="G748" s="17" t="s">
        <v>2</v>
      </c>
      <c r="H748" s="132">
        <v>46086</v>
      </c>
      <c r="I748" s="127">
        <v>0.55347222222222225</v>
      </c>
      <c r="J748"/>
      <c r="K748"/>
      <c r="L748"/>
    </row>
    <row r="749" spans="1:12">
      <c r="A749" s="95" t="s">
        <v>463</v>
      </c>
      <c r="B749" t="s">
        <v>3652</v>
      </c>
      <c r="C749" s="87" t="s">
        <v>620</v>
      </c>
      <c r="D749" s="88"/>
      <c r="E749" s="89">
        <v>6329234</v>
      </c>
      <c r="F749"/>
      <c r="G749" s="17" t="s">
        <v>9</v>
      </c>
      <c r="H749" s="132">
        <v>46086</v>
      </c>
      <c r="I749" s="127">
        <v>0.55277777777777781</v>
      </c>
      <c r="J749"/>
      <c r="K749"/>
      <c r="L749"/>
    </row>
    <row r="750" spans="1:12">
      <c r="A750" s="95" t="s">
        <v>463</v>
      </c>
      <c r="B750" t="s">
        <v>3652</v>
      </c>
      <c r="C750" s="87" t="s">
        <v>621</v>
      </c>
      <c r="D750" s="88"/>
      <c r="E750" s="89">
        <v>62724945</v>
      </c>
      <c r="F750"/>
      <c r="G750" s="17" t="s">
        <v>1</v>
      </c>
      <c r="H750" s="132">
        <v>46086</v>
      </c>
      <c r="I750" s="127">
        <v>0.55208333333333337</v>
      </c>
      <c r="J750"/>
      <c r="K750"/>
      <c r="L750"/>
    </row>
    <row r="751" spans="1:12">
      <c r="A751" s="95" t="s">
        <v>463</v>
      </c>
      <c r="B751" t="s">
        <v>3652</v>
      </c>
      <c r="C751" s="87" t="s">
        <v>622</v>
      </c>
      <c r="D751" s="88"/>
      <c r="E751" s="89">
        <v>7090212</v>
      </c>
      <c r="F751"/>
      <c r="G751" s="17" t="s">
        <v>6</v>
      </c>
      <c r="H751" s="132">
        <v>46086</v>
      </c>
      <c r="I751" s="127">
        <v>0.55000000000000004</v>
      </c>
      <c r="J751"/>
      <c r="K751"/>
      <c r="L751"/>
    </row>
    <row r="752" spans="1:12">
      <c r="A752" s="95" t="s">
        <v>463</v>
      </c>
      <c r="B752" t="s">
        <v>3652</v>
      </c>
      <c r="C752" s="87" t="s">
        <v>623</v>
      </c>
      <c r="D752" s="88"/>
      <c r="E752" s="89">
        <v>60802583</v>
      </c>
      <c r="F752"/>
      <c r="G752" s="17" t="s">
        <v>1</v>
      </c>
      <c r="H752" s="132">
        <v>46086</v>
      </c>
      <c r="I752" s="127">
        <v>0.5493055555555556</v>
      </c>
      <c r="J752"/>
      <c r="K752"/>
      <c r="L752"/>
    </row>
    <row r="753" spans="1:12">
      <c r="A753" s="95" t="s">
        <v>463</v>
      </c>
      <c r="B753" t="s">
        <v>3652</v>
      </c>
      <c r="C753" s="87" t="s">
        <v>624</v>
      </c>
      <c r="D753" s="88"/>
      <c r="E753" s="89">
        <v>65977916</v>
      </c>
      <c r="F753"/>
      <c r="G753" s="17" t="s">
        <v>3</v>
      </c>
      <c r="H753" s="132">
        <v>46086</v>
      </c>
      <c r="I753" s="127">
        <v>0.54652777777777772</v>
      </c>
      <c r="J753"/>
      <c r="K753"/>
      <c r="L753"/>
    </row>
    <row r="754" spans="1:12">
      <c r="A754" s="95" t="s">
        <v>463</v>
      </c>
      <c r="B754" t="s">
        <v>3652</v>
      </c>
      <c r="C754" s="87" t="s">
        <v>625</v>
      </c>
      <c r="D754" s="88"/>
      <c r="E754" s="89">
        <v>67753549</v>
      </c>
      <c r="F754"/>
      <c r="G754" s="17" t="s">
        <v>1</v>
      </c>
      <c r="H754" s="132">
        <v>46086</v>
      </c>
      <c r="I754" s="127">
        <v>0.44305555555555554</v>
      </c>
      <c r="J754"/>
      <c r="K754"/>
      <c r="L754" t="s">
        <v>3664</v>
      </c>
    </row>
    <row r="755" spans="1:12">
      <c r="A755" s="95" t="s">
        <v>463</v>
      </c>
      <c r="B755" t="s">
        <v>3652</v>
      </c>
      <c r="C755" s="87" t="s">
        <v>626</v>
      </c>
      <c r="D755" s="88"/>
      <c r="E755" s="89">
        <v>64807273</v>
      </c>
      <c r="F755"/>
      <c r="G755" s="17" t="s">
        <v>9</v>
      </c>
      <c r="H755" s="132">
        <v>46086</v>
      </c>
      <c r="I755" s="127">
        <v>0.44027777777777777</v>
      </c>
      <c r="J755"/>
      <c r="K755"/>
      <c r="L755"/>
    </row>
    <row r="756" spans="1:12">
      <c r="A756" s="95" t="s">
        <v>463</v>
      </c>
      <c r="B756" t="s">
        <v>3652</v>
      </c>
      <c r="C756" s="87" t="s">
        <v>627</v>
      </c>
      <c r="D756" s="88"/>
      <c r="E756" s="89">
        <v>66194214</v>
      </c>
      <c r="F756"/>
      <c r="G756" s="17" t="s">
        <v>6</v>
      </c>
      <c r="H756" s="132">
        <v>46086</v>
      </c>
      <c r="I756" s="127">
        <v>0.43958333333333333</v>
      </c>
      <c r="J756"/>
      <c r="K756"/>
      <c r="L756"/>
    </row>
    <row r="757" spans="1:12">
      <c r="A757" s="94" t="s">
        <v>463</v>
      </c>
      <c r="B757" t="s">
        <v>3652</v>
      </c>
      <c r="C757" s="92"/>
      <c r="D757" s="17" t="s">
        <v>3665</v>
      </c>
      <c r="E757" s="93" t="s">
        <v>3666</v>
      </c>
      <c r="F757"/>
      <c r="G757" s="17" t="s">
        <v>6</v>
      </c>
      <c r="H757" s="132">
        <v>46085</v>
      </c>
      <c r="I757" s="127">
        <v>0.6333333333333333</v>
      </c>
      <c r="J757"/>
      <c r="K757"/>
      <c r="L757"/>
    </row>
    <row r="758" spans="1:12">
      <c r="A758" s="94" t="s">
        <v>463</v>
      </c>
      <c r="B758" t="s">
        <v>3652</v>
      </c>
      <c r="C758" s="92"/>
      <c r="D758" s="17" t="s">
        <v>3667</v>
      </c>
      <c r="E758" s="93" t="s">
        <v>3668</v>
      </c>
      <c r="F758"/>
      <c r="G758" s="17" t="s">
        <v>1</v>
      </c>
      <c r="H758" s="132">
        <v>46085</v>
      </c>
      <c r="I758" s="127">
        <v>0.62916666666666665</v>
      </c>
      <c r="J758"/>
      <c r="K758"/>
      <c r="L758"/>
    </row>
    <row r="759" spans="1:12">
      <c r="A759" s="94" t="s">
        <v>463</v>
      </c>
      <c r="B759" t="s">
        <v>3652</v>
      </c>
      <c r="C759" s="92"/>
      <c r="D759" s="17" t="s">
        <v>3669</v>
      </c>
      <c r="E759" s="93" t="s">
        <v>3670</v>
      </c>
      <c r="F759"/>
      <c r="G759" s="17" t="s">
        <v>3</v>
      </c>
      <c r="H759" s="132">
        <v>46085</v>
      </c>
      <c r="I759" s="127">
        <v>0.62847222222222221</v>
      </c>
      <c r="J759"/>
      <c r="K759"/>
      <c r="L759"/>
    </row>
    <row r="760" spans="1:12">
      <c r="A760" s="94" t="s">
        <v>463</v>
      </c>
      <c r="B760" t="s">
        <v>3652</v>
      </c>
      <c r="C760" s="92"/>
      <c r="D760" s="17" t="s">
        <v>3671</v>
      </c>
      <c r="E760" s="93" t="s">
        <v>3672</v>
      </c>
      <c r="F760"/>
      <c r="G760" s="17" t="s">
        <v>9</v>
      </c>
      <c r="H760" s="132">
        <v>46085</v>
      </c>
      <c r="I760" s="127">
        <v>0.62708333333333333</v>
      </c>
      <c r="J760"/>
      <c r="K760"/>
      <c r="L760"/>
    </row>
    <row r="761" spans="1:12">
      <c r="A761" s="94" t="s">
        <v>463</v>
      </c>
      <c r="B761" t="s">
        <v>3652</v>
      </c>
      <c r="C761" s="92"/>
      <c r="D761" s="17" t="s">
        <v>3673</v>
      </c>
      <c r="E761" s="93" t="s">
        <v>3674</v>
      </c>
      <c r="F761"/>
      <c r="G761" s="17" t="s">
        <v>3</v>
      </c>
      <c r="H761" s="132">
        <v>46085</v>
      </c>
      <c r="I761" s="127">
        <v>0.62708333333333333</v>
      </c>
      <c r="J761"/>
      <c r="K761"/>
      <c r="L761"/>
    </row>
    <row r="762" spans="1:12">
      <c r="A762" s="94" t="s">
        <v>463</v>
      </c>
      <c r="B762" t="s">
        <v>3652</v>
      </c>
      <c r="C762" s="92"/>
      <c r="D762" s="17" t="s">
        <v>3675</v>
      </c>
      <c r="E762" s="93" t="s">
        <v>3676</v>
      </c>
      <c r="F762"/>
      <c r="G762" s="17" t="s">
        <v>3</v>
      </c>
      <c r="H762" s="132">
        <v>46085</v>
      </c>
      <c r="I762" s="127">
        <v>0.62569444444444444</v>
      </c>
      <c r="J762"/>
      <c r="K762"/>
      <c r="L762"/>
    </row>
    <row r="763" spans="1:12">
      <c r="A763" s="94" t="s">
        <v>463</v>
      </c>
      <c r="B763" t="s">
        <v>3652</v>
      </c>
      <c r="C763" s="92"/>
      <c r="D763" s="17" t="s">
        <v>3677</v>
      </c>
      <c r="E763" s="93" t="s">
        <v>3678</v>
      </c>
      <c r="F763"/>
      <c r="G763" s="17" t="s">
        <v>2</v>
      </c>
      <c r="H763" s="132">
        <v>46085</v>
      </c>
      <c r="I763" s="127">
        <v>0.62569444444444444</v>
      </c>
      <c r="J763"/>
      <c r="K763"/>
      <c r="L763"/>
    </row>
    <row r="764" spans="1:12">
      <c r="A764" s="94" t="s">
        <v>463</v>
      </c>
      <c r="B764" t="s">
        <v>3652</v>
      </c>
      <c r="C764" s="92"/>
      <c r="D764" s="17" t="s">
        <v>3679</v>
      </c>
      <c r="E764" s="93" t="s">
        <v>3680</v>
      </c>
      <c r="F764"/>
      <c r="G764" s="17" t="s">
        <v>9</v>
      </c>
      <c r="H764" s="132">
        <v>46085</v>
      </c>
      <c r="I764" s="127">
        <v>0.625</v>
      </c>
      <c r="J764"/>
      <c r="K764"/>
      <c r="L764"/>
    </row>
    <row r="765" spans="1:12">
      <c r="A765" s="94" t="s">
        <v>463</v>
      </c>
      <c r="B765" t="s">
        <v>3652</v>
      </c>
      <c r="C765" s="92"/>
      <c r="D765" s="17" t="s">
        <v>3681</v>
      </c>
      <c r="E765" s="93" t="s">
        <v>3682</v>
      </c>
      <c r="F765"/>
      <c r="G765" s="17" t="s">
        <v>5</v>
      </c>
      <c r="H765" s="132">
        <v>46085</v>
      </c>
      <c r="I765" s="127">
        <v>0.62361111111111112</v>
      </c>
      <c r="J765"/>
      <c r="K765"/>
      <c r="L765"/>
    </row>
    <row r="766" spans="1:12">
      <c r="A766" s="94" t="s">
        <v>463</v>
      </c>
      <c r="B766" t="s">
        <v>3652</v>
      </c>
      <c r="C766" s="92"/>
      <c r="D766" s="17" t="s">
        <v>3683</v>
      </c>
      <c r="E766" s="93" t="s">
        <v>3684</v>
      </c>
      <c r="F766"/>
      <c r="G766" s="17" t="s">
        <v>6</v>
      </c>
      <c r="H766" s="132">
        <v>46085</v>
      </c>
      <c r="I766" s="127">
        <v>0.62361111111111112</v>
      </c>
      <c r="J766"/>
      <c r="K766"/>
      <c r="L766"/>
    </row>
    <row r="767" spans="1:12">
      <c r="A767" s="94" t="s">
        <v>463</v>
      </c>
      <c r="B767" t="s">
        <v>3652</v>
      </c>
      <c r="C767" s="92"/>
      <c r="D767" s="17" t="s">
        <v>3685</v>
      </c>
      <c r="E767" s="93" t="s">
        <v>3686</v>
      </c>
      <c r="F767"/>
      <c r="G767" s="17" t="s">
        <v>3</v>
      </c>
      <c r="H767" s="132">
        <v>46085</v>
      </c>
      <c r="I767" s="127">
        <v>0.62222222222222223</v>
      </c>
      <c r="J767"/>
      <c r="K767"/>
      <c r="L767"/>
    </row>
    <row r="768" spans="1:12">
      <c r="A768" s="94" t="s">
        <v>463</v>
      </c>
      <c r="B768" t="s">
        <v>3652</v>
      </c>
      <c r="C768" s="92"/>
      <c r="D768" s="17" t="s">
        <v>3687</v>
      </c>
      <c r="E768" s="93" t="s">
        <v>3688</v>
      </c>
      <c r="F768"/>
      <c r="G768" s="17" t="s">
        <v>3</v>
      </c>
      <c r="H768" s="132">
        <v>46085</v>
      </c>
      <c r="I768" s="127">
        <v>0.62083333333333335</v>
      </c>
      <c r="J768"/>
      <c r="K768"/>
      <c r="L768"/>
    </row>
    <row r="769" spans="1:12">
      <c r="A769" s="94" t="s">
        <v>463</v>
      </c>
      <c r="B769" t="s">
        <v>3652</v>
      </c>
      <c r="C769" s="92"/>
      <c r="D769" s="17" t="s">
        <v>3689</v>
      </c>
      <c r="E769" s="93" t="s">
        <v>3690</v>
      </c>
      <c r="F769"/>
      <c r="G769" s="17" t="s">
        <v>2</v>
      </c>
      <c r="H769" s="132">
        <v>46085</v>
      </c>
      <c r="I769" s="127">
        <v>0.62013888888888891</v>
      </c>
      <c r="J769"/>
      <c r="K769"/>
      <c r="L769"/>
    </row>
    <row r="770" spans="1:12">
      <c r="A770" s="94" t="s">
        <v>463</v>
      </c>
      <c r="B770" t="s">
        <v>3652</v>
      </c>
      <c r="C770" s="92"/>
      <c r="D770" s="17" t="s">
        <v>3691</v>
      </c>
      <c r="E770" s="93" t="s">
        <v>3692</v>
      </c>
      <c r="F770"/>
      <c r="G770" s="17" t="s">
        <v>6</v>
      </c>
      <c r="H770" s="132">
        <v>46085</v>
      </c>
      <c r="I770" s="127">
        <v>0.61944444444444446</v>
      </c>
      <c r="J770"/>
      <c r="K770"/>
      <c r="L770"/>
    </row>
    <row r="771" spans="1:12">
      <c r="A771" s="94" t="s">
        <v>463</v>
      </c>
      <c r="B771" t="s">
        <v>3652</v>
      </c>
      <c r="C771" s="92"/>
      <c r="D771" s="17" t="s">
        <v>3693</v>
      </c>
      <c r="E771" s="93" t="s">
        <v>3694</v>
      </c>
      <c r="F771"/>
      <c r="G771" s="17" t="s">
        <v>1</v>
      </c>
      <c r="H771" s="132">
        <v>46085</v>
      </c>
      <c r="I771" s="127">
        <v>0.45</v>
      </c>
      <c r="J771"/>
      <c r="K771"/>
      <c r="L771"/>
    </row>
    <row r="772" spans="1:12">
      <c r="A772" s="94" t="s">
        <v>463</v>
      </c>
      <c r="B772" t="s">
        <v>3652</v>
      </c>
      <c r="C772" s="92"/>
      <c r="D772" s="17" t="s">
        <v>3695</v>
      </c>
      <c r="E772" s="93" t="s">
        <v>3696</v>
      </c>
      <c r="F772"/>
      <c r="G772" s="17" t="s">
        <v>2</v>
      </c>
      <c r="H772" s="132">
        <v>46085</v>
      </c>
      <c r="I772" s="127">
        <v>0.4465277777777778</v>
      </c>
      <c r="J772"/>
      <c r="K772"/>
      <c r="L772"/>
    </row>
    <row r="773" spans="1:12">
      <c r="A773" s="94" t="s">
        <v>463</v>
      </c>
      <c r="B773" t="s">
        <v>3652</v>
      </c>
      <c r="C773" s="92"/>
      <c r="D773" s="17" t="s">
        <v>3697</v>
      </c>
      <c r="E773" s="93" t="s">
        <v>3698</v>
      </c>
      <c r="F773"/>
      <c r="G773" s="17" t="s">
        <v>1</v>
      </c>
      <c r="H773" s="132">
        <v>46085</v>
      </c>
      <c r="I773" s="127">
        <v>0.44513888888888886</v>
      </c>
      <c r="J773"/>
      <c r="K773"/>
      <c r="L773"/>
    </row>
    <row r="774" spans="1:12">
      <c r="A774" s="94" t="s">
        <v>463</v>
      </c>
      <c r="B774" t="s">
        <v>3652</v>
      </c>
      <c r="C774" s="92"/>
      <c r="D774" s="17" t="s">
        <v>3699</v>
      </c>
      <c r="E774" s="93" t="s">
        <v>3700</v>
      </c>
      <c r="F774"/>
      <c r="G774" s="17" t="s">
        <v>1</v>
      </c>
      <c r="H774" s="132">
        <v>46085</v>
      </c>
      <c r="I774" s="127">
        <v>0.44374999999999998</v>
      </c>
      <c r="J774"/>
      <c r="K774"/>
      <c r="L774"/>
    </row>
    <row r="775" spans="1:12">
      <c r="A775" s="94" t="s">
        <v>463</v>
      </c>
      <c r="B775"/>
      <c r="C775" s="92"/>
      <c r="D775" s="17" t="s">
        <v>3701</v>
      </c>
      <c r="E775" s="93" t="s">
        <v>3702</v>
      </c>
      <c r="F775"/>
      <c r="G775" s="17" t="s">
        <v>6</v>
      </c>
      <c r="H775" s="132">
        <v>46085</v>
      </c>
      <c r="I775" s="127">
        <v>0.44236111111111109</v>
      </c>
      <c r="J775"/>
      <c r="K775"/>
      <c r="L775"/>
    </row>
    <row r="776" spans="1:12">
      <c r="A776" s="95" t="s">
        <v>644</v>
      </c>
      <c r="B776" t="s">
        <v>3703</v>
      </c>
      <c r="C776" s="87" t="s">
        <v>645</v>
      </c>
      <c r="D776" s="88"/>
      <c r="E776" s="89">
        <v>67289339</v>
      </c>
      <c r="F776"/>
      <c r="G776" s="17" t="s">
        <v>3</v>
      </c>
      <c r="H776" s="132">
        <v>46084</v>
      </c>
      <c r="J776"/>
      <c r="K776"/>
      <c r="L776"/>
    </row>
    <row r="777" spans="1:12">
      <c r="A777" s="95" t="s">
        <v>644</v>
      </c>
      <c r="B777" t="s">
        <v>3703</v>
      </c>
      <c r="C777" s="87" t="s">
        <v>646</v>
      </c>
      <c r="D777" s="88"/>
      <c r="E777" s="89">
        <v>63697112</v>
      </c>
      <c r="F777"/>
      <c r="G777" s="17" t="s">
        <v>2</v>
      </c>
      <c r="H777" s="132">
        <v>46084</v>
      </c>
      <c r="I777" s="127" t="s">
        <v>3704</v>
      </c>
      <c r="J777" s="22">
        <v>46084</v>
      </c>
      <c r="K777" t="s">
        <v>3705</v>
      </c>
      <c r="L777"/>
    </row>
    <row r="778" spans="1:12">
      <c r="A778" s="95" t="s">
        <v>644</v>
      </c>
      <c r="B778" t="s">
        <v>3703</v>
      </c>
      <c r="C778" s="87" t="s">
        <v>647</v>
      </c>
      <c r="D778" s="88"/>
      <c r="E778" s="89">
        <v>68156724</v>
      </c>
      <c r="F778"/>
      <c r="G778" s="17" t="s">
        <v>6</v>
      </c>
      <c r="H778" s="132">
        <v>46084</v>
      </c>
      <c r="I778" s="127" t="s">
        <v>3706</v>
      </c>
      <c r="J778" s="22">
        <v>46084</v>
      </c>
      <c r="K778" t="s">
        <v>3707</v>
      </c>
      <c r="L778"/>
    </row>
    <row r="779" spans="1:12">
      <c r="A779" s="95" t="s">
        <v>644</v>
      </c>
      <c r="B779" t="s">
        <v>3703</v>
      </c>
      <c r="C779" s="87" t="s">
        <v>648</v>
      </c>
      <c r="D779" s="88" t="s">
        <v>3708</v>
      </c>
      <c r="E779" s="89">
        <v>64428669</v>
      </c>
      <c r="F779"/>
      <c r="G779" s="17" t="s">
        <v>3</v>
      </c>
      <c r="H779" s="132">
        <v>46084</v>
      </c>
      <c r="I779" s="127" t="s">
        <v>3709</v>
      </c>
      <c r="J779"/>
      <c r="K779"/>
      <c r="L779"/>
    </row>
    <row r="780" spans="1:12">
      <c r="A780" s="95" t="s">
        <v>644</v>
      </c>
      <c r="B780" t="s">
        <v>3703</v>
      </c>
      <c r="C780" s="87" t="s">
        <v>649</v>
      </c>
      <c r="D780" s="88" t="s">
        <v>3710</v>
      </c>
      <c r="E780" s="89">
        <v>66098309</v>
      </c>
      <c r="F780"/>
      <c r="G780" s="17" t="s">
        <v>1</v>
      </c>
      <c r="H780" s="132">
        <v>46084</v>
      </c>
      <c r="I780" s="127" t="s">
        <v>3711</v>
      </c>
      <c r="J780"/>
      <c r="K780"/>
      <c r="L780"/>
    </row>
    <row r="781" spans="1:12">
      <c r="A781" s="95" t="s">
        <v>644</v>
      </c>
      <c r="B781" t="s">
        <v>3703</v>
      </c>
      <c r="C781" s="87" t="s">
        <v>650</v>
      </c>
      <c r="D781" s="88"/>
      <c r="E781" s="89">
        <v>68324393</v>
      </c>
      <c r="F781"/>
      <c r="G781" s="17" t="s">
        <v>4</v>
      </c>
      <c r="H781" s="132">
        <v>46084</v>
      </c>
      <c r="I781" s="127" t="s">
        <v>3712</v>
      </c>
      <c r="J781" s="22">
        <v>46084</v>
      </c>
      <c r="K781" t="s">
        <v>3713</v>
      </c>
      <c r="L781"/>
    </row>
    <row r="782" spans="1:12">
      <c r="A782" s="95" t="s">
        <v>644</v>
      </c>
      <c r="B782" t="s">
        <v>3703</v>
      </c>
      <c r="C782" s="87" t="s">
        <v>651</v>
      </c>
      <c r="D782" s="88" t="s">
        <v>3714</v>
      </c>
      <c r="E782" s="89">
        <v>69726915</v>
      </c>
      <c r="F782"/>
      <c r="G782" s="17" t="s">
        <v>1</v>
      </c>
      <c r="H782" s="132">
        <v>46084</v>
      </c>
      <c r="I782" s="127" t="s">
        <v>3715</v>
      </c>
      <c r="J782"/>
      <c r="K782"/>
      <c r="L782"/>
    </row>
    <row r="783" spans="1:12">
      <c r="A783" s="95" t="s">
        <v>644</v>
      </c>
      <c r="B783"/>
      <c r="C783" s="87" t="s">
        <v>652</v>
      </c>
      <c r="D783" s="88" t="s">
        <v>3716</v>
      </c>
      <c r="E783" s="89">
        <v>68538405</v>
      </c>
      <c r="F783" s="99" t="s">
        <v>3717</v>
      </c>
      <c r="G783" s="17" t="s">
        <v>1</v>
      </c>
      <c r="H783" s="132">
        <v>46084</v>
      </c>
      <c r="I783" s="127" t="s">
        <v>3718</v>
      </c>
      <c r="J783" s="22">
        <v>46084</v>
      </c>
      <c r="K783" s="109" t="s">
        <v>3719</v>
      </c>
      <c r="L783"/>
    </row>
    <row r="784" spans="1:12">
      <c r="A784" s="95" t="s">
        <v>644</v>
      </c>
      <c r="B784" t="s">
        <v>3703</v>
      </c>
      <c r="C784" s="87" t="s">
        <v>653</v>
      </c>
      <c r="D784" s="88"/>
      <c r="E784" s="89">
        <v>7756249</v>
      </c>
      <c r="F784"/>
      <c r="G784" s="17" t="s">
        <v>6</v>
      </c>
      <c r="H784" s="132">
        <v>46084</v>
      </c>
      <c r="I784" s="127" t="s">
        <v>3720</v>
      </c>
      <c r="J784" s="22">
        <v>46084</v>
      </c>
      <c r="K784" t="s">
        <v>3721</v>
      </c>
      <c r="L784"/>
    </row>
    <row r="785" spans="1:12">
      <c r="A785" s="95" t="s">
        <v>644</v>
      </c>
      <c r="B785" t="s">
        <v>3703</v>
      </c>
      <c r="C785" s="87" t="s">
        <v>654</v>
      </c>
      <c r="D785" s="88" t="s">
        <v>3722</v>
      </c>
      <c r="E785" s="89">
        <v>64247413</v>
      </c>
      <c r="F785"/>
      <c r="G785" s="17" t="s">
        <v>1</v>
      </c>
      <c r="H785" s="132">
        <v>46084</v>
      </c>
      <c r="I785" s="127" t="s">
        <v>3723</v>
      </c>
      <c r="J785"/>
      <c r="K785"/>
      <c r="L785"/>
    </row>
    <row r="786" spans="1:12">
      <c r="A786" s="95" t="s">
        <v>644</v>
      </c>
      <c r="B786" t="s">
        <v>3703</v>
      </c>
      <c r="C786" s="87" t="s">
        <v>655</v>
      </c>
      <c r="D786" s="88"/>
      <c r="E786" s="89">
        <v>7300364</v>
      </c>
      <c r="F786"/>
      <c r="G786" s="17" t="s">
        <v>8</v>
      </c>
      <c r="H786" s="132">
        <v>46084</v>
      </c>
      <c r="I786" s="127" t="s">
        <v>3724</v>
      </c>
      <c r="J786"/>
      <c r="K786"/>
      <c r="L786"/>
    </row>
    <row r="787" spans="1:12">
      <c r="A787" s="95" t="s">
        <v>644</v>
      </c>
      <c r="B787" t="s">
        <v>3703</v>
      </c>
      <c r="C787" s="87" t="s">
        <v>656</v>
      </c>
      <c r="D787" s="88"/>
      <c r="E787" s="89">
        <v>66784754</v>
      </c>
      <c r="F787"/>
      <c r="G787" s="17" t="s">
        <v>6</v>
      </c>
      <c r="H787" s="132">
        <v>46084</v>
      </c>
      <c r="I787" s="127" t="s">
        <v>3725</v>
      </c>
      <c r="J787" s="22">
        <v>46116</v>
      </c>
      <c r="K787" t="s">
        <v>3726</v>
      </c>
      <c r="L787"/>
    </row>
    <row r="788" spans="1:12">
      <c r="A788" s="95" t="s">
        <v>644</v>
      </c>
      <c r="B788" t="s">
        <v>3703</v>
      </c>
      <c r="C788" s="87" t="s">
        <v>657</v>
      </c>
      <c r="D788" s="88" t="s">
        <v>3727</v>
      </c>
      <c r="E788" s="89">
        <v>63219939</v>
      </c>
      <c r="F788"/>
      <c r="G788" s="17" t="s">
        <v>1</v>
      </c>
      <c r="H788" s="132">
        <v>46084</v>
      </c>
      <c r="I788" s="127" t="s">
        <v>3728</v>
      </c>
      <c r="J788"/>
      <c r="K788"/>
      <c r="L788"/>
    </row>
    <row r="789" spans="1:12">
      <c r="A789" s="95" t="s">
        <v>644</v>
      </c>
      <c r="B789" t="s">
        <v>3703</v>
      </c>
      <c r="C789" s="87" t="s">
        <v>658</v>
      </c>
      <c r="D789" s="88"/>
      <c r="E789" s="89">
        <v>64035120</v>
      </c>
      <c r="F789"/>
      <c r="G789" s="17" t="s">
        <v>4</v>
      </c>
      <c r="H789" s="132">
        <v>46084</v>
      </c>
      <c r="I789" s="127" t="s">
        <v>3729</v>
      </c>
      <c r="J789"/>
      <c r="K789"/>
      <c r="L789"/>
    </row>
    <row r="790" spans="1:12">
      <c r="A790" s="95" t="s">
        <v>644</v>
      </c>
      <c r="B790" t="s">
        <v>3703</v>
      </c>
      <c r="C790" s="87" t="s">
        <v>659</v>
      </c>
      <c r="D790" s="88"/>
      <c r="E790" s="89">
        <v>64171912</v>
      </c>
      <c r="F790"/>
      <c r="G790" s="17" t="s">
        <v>2</v>
      </c>
      <c r="H790" s="132">
        <v>46084</v>
      </c>
      <c r="I790" s="127" t="s">
        <v>3730</v>
      </c>
      <c r="J790" s="22">
        <v>46116</v>
      </c>
      <c r="K790" s="109" t="s">
        <v>3731</v>
      </c>
      <c r="L790"/>
    </row>
    <row r="791" spans="1:12">
      <c r="A791" s="95" t="s">
        <v>644</v>
      </c>
      <c r="B791" t="s">
        <v>3703</v>
      </c>
      <c r="C791" s="87" t="s">
        <v>660</v>
      </c>
      <c r="D791" s="88"/>
      <c r="E791" s="89">
        <v>7866093</v>
      </c>
      <c r="F791"/>
      <c r="G791" s="17" t="s">
        <v>3</v>
      </c>
      <c r="H791" s="132">
        <v>46084</v>
      </c>
      <c r="I791" s="127" t="s">
        <v>3732</v>
      </c>
      <c r="J791"/>
      <c r="K791"/>
      <c r="L791"/>
    </row>
    <row r="792" spans="1:12">
      <c r="A792" s="95" t="s">
        <v>644</v>
      </c>
      <c r="B792" t="s">
        <v>3703</v>
      </c>
      <c r="C792" s="87" t="s">
        <v>661</v>
      </c>
      <c r="D792" s="88"/>
      <c r="E792" s="89">
        <v>7740032</v>
      </c>
      <c r="F792"/>
      <c r="G792" s="17" t="s">
        <v>2</v>
      </c>
      <c r="H792" s="132">
        <v>46084</v>
      </c>
      <c r="I792" s="127" t="s">
        <v>3733</v>
      </c>
      <c r="J792" s="22">
        <v>46116</v>
      </c>
      <c r="K792" t="s">
        <v>3734</v>
      </c>
      <c r="L792"/>
    </row>
    <row r="793" spans="1:12">
      <c r="A793" s="95" t="s">
        <v>644</v>
      </c>
      <c r="B793" t="s">
        <v>3703</v>
      </c>
      <c r="C793" s="87" t="s">
        <v>662</v>
      </c>
      <c r="D793" s="88"/>
      <c r="E793" s="89">
        <v>7758779</v>
      </c>
      <c r="F793"/>
      <c r="G793" s="17" t="s">
        <v>2</v>
      </c>
      <c r="H793" s="132">
        <v>46084</v>
      </c>
      <c r="I793" s="127" t="s">
        <v>3735</v>
      </c>
      <c r="J793" s="22">
        <v>46116</v>
      </c>
      <c r="K793" s="109" t="s">
        <v>3736</v>
      </c>
      <c r="L793"/>
    </row>
    <row r="794" spans="1:12">
      <c r="A794" s="95" t="s">
        <v>644</v>
      </c>
      <c r="B794" t="s">
        <v>3703</v>
      </c>
      <c r="C794" s="87" t="s">
        <v>663</v>
      </c>
      <c r="D794" s="88"/>
      <c r="E794" s="89">
        <v>69251744</v>
      </c>
      <c r="F794"/>
      <c r="G794" s="17" t="s">
        <v>3</v>
      </c>
      <c r="H794" s="132">
        <v>46084</v>
      </c>
      <c r="I794" s="127" t="s">
        <v>3737</v>
      </c>
      <c r="J794" s="22">
        <v>46116</v>
      </c>
      <c r="K794" t="s">
        <v>3738</v>
      </c>
      <c r="L794"/>
    </row>
    <row r="795" spans="1:12">
      <c r="A795" s="95" t="s">
        <v>644</v>
      </c>
      <c r="B795" t="s">
        <v>3703</v>
      </c>
      <c r="C795" s="87" t="s">
        <v>664</v>
      </c>
      <c r="D795" s="88" t="s">
        <v>3739</v>
      </c>
      <c r="E795" s="89">
        <v>65568596</v>
      </c>
      <c r="F795"/>
      <c r="G795" s="17" t="s">
        <v>1</v>
      </c>
      <c r="H795" s="132">
        <v>46084</v>
      </c>
      <c r="I795" s="127" t="s">
        <v>3740</v>
      </c>
      <c r="J795"/>
      <c r="K795"/>
      <c r="L795"/>
    </row>
    <row r="796" spans="1:12">
      <c r="A796" s="95" t="s">
        <v>644</v>
      </c>
      <c r="B796" t="s">
        <v>3703</v>
      </c>
      <c r="C796" s="87" t="s">
        <v>665</v>
      </c>
      <c r="D796" s="88"/>
      <c r="E796" s="89">
        <v>7728472</v>
      </c>
      <c r="F796"/>
      <c r="G796" s="17" t="s">
        <v>6</v>
      </c>
      <c r="H796" s="132">
        <v>46084</v>
      </c>
      <c r="I796" s="127" t="s">
        <v>3741</v>
      </c>
      <c r="J796" s="22">
        <v>46116</v>
      </c>
      <c r="K796" s="109" t="s">
        <v>3742</v>
      </c>
      <c r="L796"/>
    </row>
    <row r="797" spans="1:12">
      <c r="A797" s="95" t="s">
        <v>644</v>
      </c>
      <c r="B797" t="s">
        <v>3703</v>
      </c>
      <c r="C797" s="87" t="s">
        <v>666</v>
      </c>
      <c r="D797" s="88"/>
      <c r="E797" s="89">
        <v>62109878</v>
      </c>
      <c r="F797"/>
      <c r="G797" s="17" t="s">
        <v>6</v>
      </c>
      <c r="H797" s="132">
        <v>46084</v>
      </c>
      <c r="I797" s="127" t="s">
        <v>3743</v>
      </c>
      <c r="J797" s="22">
        <v>46116</v>
      </c>
      <c r="K797" t="s">
        <v>3744</v>
      </c>
      <c r="L797"/>
    </row>
    <row r="798" spans="1:12">
      <c r="A798" s="95" t="s">
        <v>644</v>
      </c>
      <c r="B798" t="s">
        <v>3703</v>
      </c>
      <c r="C798" s="87" t="s">
        <v>667</v>
      </c>
      <c r="D798" s="88" t="s">
        <v>3745</v>
      </c>
      <c r="E798" s="89">
        <v>7772753</v>
      </c>
      <c r="F798"/>
      <c r="G798" s="17" t="s">
        <v>1</v>
      </c>
      <c r="H798" s="132">
        <v>46084</v>
      </c>
      <c r="I798" s="127" t="s">
        <v>3746</v>
      </c>
      <c r="J798"/>
      <c r="K798"/>
      <c r="L798"/>
    </row>
    <row r="799" spans="1:12">
      <c r="A799" s="95" t="s">
        <v>644</v>
      </c>
      <c r="B799" t="s">
        <v>3703</v>
      </c>
      <c r="C799" s="87" t="s">
        <v>668</v>
      </c>
      <c r="D799" s="88"/>
      <c r="E799" s="89">
        <v>66189216</v>
      </c>
      <c r="F799"/>
      <c r="G799" s="17" t="s">
        <v>3</v>
      </c>
      <c r="H799" s="132">
        <v>46084</v>
      </c>
      <c r="I799" s="127" t="s">
        <v>3747</v>
      </c>
      <c r="J799"/>
      <c r="K799"/>
      <c r="L799"/>
    </row>
    <row r="800" spans="1:12">
      <c r="A800" s="95" t="s">
        <v>644</v>
      </c>
      <c r="B800" t="s">
        <v>3703</v>
      </c>
      <c r="C800" s="87" t="s">
        <v>669</v>
      </c>
      <c r="D800" s="88" t="s">
        <v>3748</v>
      </c>
      <c r="E800" s="89">
        <v>7774196</v>
      </c>
      <c r="F800"/>
      <c r="G800" s="17" t="s">
        <v>1</v>
      </c>
      <c r="H800" s="132">
        <v>46084</v>
      </c>
      <c r="I800" s="127" t="s">
        <v>3749</v>
      </c>
      <c r="J800"/>
      <c r="K800"/>
      <c r="L800"/>
    </row>
    <row r="801" spans="1:12">
      <c r="A801" s="95" t="s">
        <v>644</v>
      </c>
      <c r="B801" t="s">
        <v>3703</v>
      </c>
      <c r="C801" s="87" t="s">
        <v>670</v>
      </c>
      <c r="D801" s="88"/>
      <c r="E801" s="89">
        <v>66868125</v>
      </c>
      <c r="F801"/>
      <c r="G801" s="17" t="s">
        <v>4</v>
      </c>
      <c r="H801" s="132">
        <v>46084</v>
      </c>
      <c r="I801" s="127" t="s">
        <v>3750</v>
      </c>
      <c r="J801"/>
      <c r="K801"/>
      <c r="L801"/>
    </row>
    <row r="802" spans="1:12">
      <c r="A802" s="95" t="s">
        <v>644</v>
      </c>
      <c r="B802" t="s">
        <v>3703</v>
      </c>
      <c r="C802" s="87" t="s">
        <v>671</v>
      </c>
      <c r="D802" s="88"/>
      <c r="E802" s="89">
        <v>7757103</v>
      </c>
      <c r="F802"/>
      <c r="G802" s="17" t="s">
        <v>4</v>
      </c>
      <c r="H802" s="132">
        <v>46084</v>
      </c>
      <c r="I802" s="127" t="s">
        <v>3751</v>
      </c>
      <c r="J802"/>
      <c r="K802"/>
      <c r="L802"/>
    </row>
    <row r="803" spans="1:12">
      <c r="A803" s="95" t="s">
        <v>644</v>
      </c>
      <c r="B803" t="s">
        <v>3703</v>
      </c>
      <c r="C803" s="87" t="s">
        <v>672</v>
      </c>
      <c r="D803" s="88"/>
      <c r="E803" s="89">
        <v>64278325</v>
      </c>
      <c r="F803"/>
      <c r="G803" s="17" t="s">
        <v>3</v>
      </c>
      <c r="H803" s="132">
        <v>46116</v>
      </c>
      <c r="I803" s="127" t="s">
        <v>3752</v>
      </c>
      <c r="J803"/>
      <c r="K803"/>
      <c r="L803"/>
    </row>
    <row r="804" spans="1:12">
      <c r="A804" s="95" t="s">
        <v>644</v>
      </c>
      <c r="B804" t="s">
        <v>3703</v>
      </c>
      <c r="C804" s="87" t="s">
        <v>673</v>
      </c>
      <c r="D804" s="88"/>
      <c r="E804" s="89">
        <v>69207219</v>
      </c>
      <c r="F804"/>
      <c r="G804" s="17" t="s">
        <v>6</v>
      </c>
      <c r="H804" s="132">
        <v>46116</v>
      </c>
      <c r="I804" s="127" t="s">
        <v>3753</v>
      </c>
      <c r="J804" s="22">
        <v>46116</v>
      </c>
      <c r="K804" t="s">
        <v>3754</v>
      </c>
      <c r="L804"/>
    </row>
    <row r="805" spans="1:12">
      <c r="A805" s="95" t="s">
        <v>644</v>
      </c>
      <c r="B805" t="s">
        <v>3703</v>
      </c>
      <c r="C805" s="87" t="s">
        <v>674</v>
      </c>
      <c r="D805" s="88"/>
      <c r="E805" s="89">
        <v>68587095</v>
      </c>
      <c r="F805"/>
      <c r="G805" s="17" t="s">
        <v>2</v>
      </c>
      <c r="H805" s="132">
        <v>46116</v>
      </c>
      <c r="I805" s="127" t="s">
        <v>3755</v>
      </c>
      <c r="J805" s="22">
        <v>46116</v>
      </c>
      <c r="K805" t="s">
        <v>3756</v>
      </c>
      <c r="L805"/>
    </row>
    <row r="806" spans="1:12">
      <c r="A806" s="95" t="s">
        <v>644</v>
      </c>
      <c r="B806" t="s">
        <v>3703</v>
      </c>
      <c r="C806" s="87" t="s">
        <v>675</v>
      </c>
      <c r="D806" s="88" t="s">
        <v>3757</v>
      </c>
      <c r="E806" s="89">
        <v>65318041</v>
      </c>
      <c r="F806"/>
      <c r="G806" s="17" t="s">
        <v>3</v>
      </c>
      <c r="H806" s="132">
        <v>46116</v>
      </c>
      <c r="I806" s="127" t="s">
        <v>3758</v>
      </c>
      <c r="J806"/>
      <c r="K806"/>
      <c r="L806"/>
    </row>
    <row r="807" spans="1:12">
      <c r="A807" s="95" t="s">
        <v>644</v>
      </c>
      <c r="B807" t="s">
        <v>3703</v>
      </c>
      <c r="C807" s="87" t="s">
        <v>676</v>
      </c>
      <c r="D807" s="88"/>
      <c r="E807" s="89">
        <v>7706451</v>
      </c>
      <c r="F807" s="99" t="s">
        <v>3759</v>
      </c>
      <c r="G807" s="17" t="s">
        <v>5</v>
      </c>
      <c r="H807" s="132">
        <v>46116</v>
      </c>
      <c r="I807" s="127" t="s">
        <v>3760</v>
      </c>
      <c r="J807"/>
      <c r="K807"/>
      <c r="L807"/>
    </row>
    <row r="808" spans="1:12">
      <c r="A808" s="95" t="s">
        <v>644</v>
      </c>
      <c r="B808" t="s">
        <v>3703</v>
      </c>
      <c r="C808" s="87" t="s">
        <v>677</v>
      </c>
      <c r="D808" s="88"/>
      <c r="E808" s="89">
        <v>66079634</v>
      </c>
      <c r="F808"/>
      <c r="G808" s="17" t="s">
        <v>6</v>
      </c>
      <c r="H808" s="132">
        <v>46116</v>
      </c>
      <c r="I808" s="127" t="s">
        <v>3761</v>
      </c>
      <c r="J808" s="22">
        <v>46116</v>
      </c>
      <c r="K808" t="s">
        <v>3762</v>
      </c>
      <c r="L808"/>
    </row>
    <row r="809" spans="1:12">
      <c r="A809" s="95" t="s">
        <v>644</v>
      </c>
      <c r="B809" t="s">
        <v>3703</v>
      </c>
      <c r="C809" s="87" t="s">
        <v>678</v>
      </c>
      <c r="D809" s="88"/>
      <c r="E809" s="89">
        <v>64309206</v>
      </c>
      <c r="F809"/>
      <c r="G809" s="17" t="s">
        <v>6</v>
      </c>
      <c r="H809" s="132">
        <v>46116</v>
      </c>
      <c r="I809" s="127" t="s">
        <v>3763</v>
      </c>
      <c r="J809" s="22">
        <v>46116</v>
      </c>
      <c r="K809" t="s">
        <v>3764</v>
      </c>
      <c r="L809"/>
    </row>
    <row r="810" spans="1:12">
      <c r="A810" s="95" t="s">
        <v>644</v>
      </c>
      <c r="B810" t="s">
        <v>3703</v>
      </c>
      <c r="C810" s="87" t="s">
        <v>679</v>
      </c>
      <c r="D810" s="88"/>
      <c r="E810" s="89">
        <v>67149272</v>
      </c>
      <c r="F810"/>
      <c r="G810" s="17" t="s">
        <v>3</v>
      </c>
      <c r="H810" s="132">
        <v>46116</v>
      </c>
      <c r="I810" s="127" t="s">
        <v>3765</v>
      </c>
      <c r="J810"/>
      <c r="K810"/>
      <c r="L810"/>
    </row>
    <row r="811" spans="1:12">
      <c r="A811" s="95" t="s">
        <v>644</v>
      </c>
      <c r="B811" t="s">
        <v>3703</v>
      </c>
      <c r="C811" s="87" t="s">
        <v>680</v>
      </c>
      <c r="D811" s="88"/>
      <c r="E811" s="89">
        <v>62156289</v>
      </c>
      <c r="F811"/>
      <c r="G811" s="17" t="s">
        <v>9</v>
      </c>
      <c r="H811" s="132">
        <v>46116</v>
      </c>
      <c r="I811" s="127" t="s">
        <v>3766</v>
      </c>
      <c r="J811" s="22">
        <v>46116</v>
      </c>
      <c r="K811" t="s">
        <v>3767</v>
      </c>
      <c r="L811"/>
    </row>
    <row r="812" spans="1:12">
      <c r="A812" s="95" t="s">
        <v>644</v>
      </c>
      <c r="B812" t="s">
        <v>3703</v>
      </c>
      <c r="C812" s="87" t="s">
        <v>681</v>
      </c>
      <c r="D812" s="88" t="s">
        <v>3768</v>
      </c>
      <c r="E812" s="89">
        <v>66993902</v>
      </c>
      <c r="F812"/>
      <c r="G812" s="17" t="s">
        <v>1</v>
      </c>
      <c r="H812" s="132">
        <v>46116</v>
      </c>
      <c r="I812" s="127" t="s">
        <v>3769</v>
      </c>
      <c r="J812"/>
      <c r="K812"/>
      <c r="L812"/>
    </row>
    <row r="813" spans="1:12">
      <c r="A813" s="95" t="s">
        <v>644</v>
      </c>
      <c r="B813" t="s">
        <v>3703</v>
      </c>
      <c r="C813" s="87" t="s">
        <v>682</v>
      </c>
      <c r="D813" s="88"/>
      <c r="E813" s="89">
        <v>67594151</v>
      </c>
      <c r="F813"/>
      <c r="G813" s="17" t="s">
        <v>2</v>
      </c>
      <c r="H813" s="132">
        <v>46116</v>
      </c>
      <c r="I813" s="127" t="s">
        <v>3770</v>
      </c>
      <c r="J813"/>
      <c r="K813"/>
      <c r="L813"/>
    </row>
    <row r="814" spans="1:12">
      <c r="A814" s="95" t="s">
        <v>644</v>
      </c>
      <c r="B814" t="s">
        <v>3703</v>
      </c>
      <c r="C814" s="87" t="s">
        <v>683</v>
      </c>
      <c r="D814" s="88"/>
      <c r="E814" s="89">
        <v>66768560</v>
      </c>
      <c r="F814"/>
      <c r="G814" s="17" t="s">
        <v>6</v>
      </c>
      <c r="H814" s="132">
        <v>46116</v>
      </c>
      <c r="I814" s="127" t="s">
        <v>3771</v>
      </c>
      <c r="J814" s="22">
        <v>46116</v>
      </c>
      <c r="K814" t="s">
        <v>3772</v>
      </c>
      <c r="L814"/>
    </row>
    <row r="815" spans="1:12">
      <c r="A815" s="95" t="s">
        <v>644</v>
      </c>
      <c r="B815" t="s">
        <v>3703</v>
      </c>
      <c r="C815" s="87" t="s">
        <v>684</v>
      </c>
      <c r="D815" s="88" t="s">
        <v>3773</v>
      </c>
      <c r="E815" s="89">
        <v>65858768</v>
      </c>
      <c r="F815"/>
      <c r="G815" s="17" t="s">
        <v>3</v>
      </c>
      <c r="H815" s="132">
        <v>46116</v>
      </c>
      <c r="I815" s="127" t="s">
        <v>3774</v>
      </c>
      <c r="J815"/>
      <c r="K815"/>
      <c r="L815"/>
    </row>
    <row r="816" spans="1:12">
      <c r="A816" s="95" t="s">
        <v>644</v>
      </c>
      <c r="B816" t="s">
        <v>3703</v>
      </c>
      <c r="C816" s="87" t="s">
        <v>685</v>
      </c>
      <c r="D816" s="88"/>
      <c r="E816" s="89">
        <v>67022212</v>
      </c>
      <c r="F816"/>
      <c r="G816" s="17" t="s">
        <v>4</v>
      </c>
      <c r="H816" s="132">
        <v>46116</v>
      </c>
      <c r="I816" s="127" t="s">
        <v>3775</v>
      </c>
      <c r="J816" s="22">
        <v>46116</v>
      </c>
      <c r="K816" t="s">
        <v>3776</v>
      </c>
      <c r="L816"/>
    </row>
    <row r="817" spans="1:12">
      <c r="A817" s="95" t="s">
        <v>644</v>
      </c>
      <c r="B817" t="s">
        <v>3703</v>
      </c>
      <c r="C817" s="87" t="s">
        <v>686</v>
      </c>
      <c r="D817" s="88"/>
      <c r="E817" s="89">
        <v>65853494</v>
      </c>
      <c r="F817"/>
      <c r="G817" s="17" t="s">
        <v>6</v>
      </c>
      <c r="H817" s="132">
        <v>46116</v>
      </c>
      <c r="I817" s="127" t="s">
        <v>3777</v>
      </c>
      <c r="J817" s="22">
        <v>46116</v>
      </c>
      <c r="K817" t="s">
        <v>3778</v>
      </c>
      <c r="L817"/>
    </row>
    <row r="818" spans="1:12">
      <c r="A818" s="95" t="s">
        <v>644</v>
      </c>
      <c r="B818" t="s">
        <v>3703</v>
      </c>
      <c r="C818" s="87" t="s">
        <v>687</v>
      </c>
      <c r="D818" s="88" t="s">
        <v>3779</v>
      </c>
      <c r="E818" s="89">
        <v>68185867</v>
      </c>
      <c r="F818"/>
      <c r="G818" s="17" t="s">
        <v>1</v>
      </c>
      <c r="H818" s="132">
        <v>46116</v>
      </c>
      <c r="I818" s="127" t="s">
        <v>3780</v>
      </c>
      <c r="J818"/>
      <c r="K818"/>
      <c r="L818"/>
    </row>
    <row r="819" spans="1:12">
      <c r="A819" s="95" t="s">
        <v>644</v>
      </c>
      <c r="B819" t="s">
        <v>3703</v>
      </c>
      <c r="C819" s="87" t="s">
        <v>688</v>
      </c>
      <c r="D819" s="88"/>
      <c r="E819" s="89">
        <v>7709099</v>
      </c>
      <c r="F819"/>
      <c r="G819" s="17" t="s">
        <v>9</v>
      </c>
      <c r="H819" s="132">
        <v>46116</v>
      </c>
      <c r="I819" s="127" t="s">
        <v>3781</v>
      </c>
      <c r="J819"/>
      <c r="K819"/>
      <c r="L819"/>
    </row>
    <row r="820" spans="1:12">
      <c r="A820" s="95" t="s">
        <v>644</v>
      </c>
      <c r="B820" t="s">
        <v>3703</v>
      </c>
      <c r="C820" s="87" t="s">
        <v>689</v>
      </c>
      <c r="D820" s="88"/>
      <c r="E820" s="89">
        <v>68391220</v>
      </c>
      <c r="F820"/>
      <c r="G820" s="17" t="s">
        <v>2</v>
      </c>
      <c r="H820" s="132">
        <v>46116</v>
      </c>
      <c r="I820" s="127" t="s">
        <v>3782</v>
      </c>
      <c r="J820"/>
      <c r="K820"/>
      <c r="L820"/>
    </row>
    <row r="821" spans="1:12">
      <c r="A821" s="95" t="s">
        <v>644</v>
      </c>
      <c r="B821" t="s">
        <v>3703</v>
      </c>
      <c r="C821" s="87" t="s">
        <v>690</v>
      </c>
      <c r="D821" s="88"/>
      <c r="E821" s="89">
        <v>62914422</v>
      </c>
      <c r="F821"/>
      <c r="G821" s="17" t="s">
        <v>9</v>
      </c>
      <c r="H821" s="132">
        <v>46116</v>
      </c>
      <c r="I821" s="127" t="s">
        <v>3783</v>
      </c>
      <c r="J821"/>
      <c r="K821"/>
      <c r="L821"/>
    </row>
    <row r="822" spans="1:12">
      <c r="A822" s="95" t="s">
        <v>644</v>
      </c>
      <c r="B822" t="s">
        <v>3703</v>
      </c>
      <c r="C822" s="87" t="s">
        <v>691</v>
      </c>
      <c r="D822" s="88" t="s">
        <v>3784</v>
      </c>
      <c r="E822" s="89">
        <v>67976484</v>
      </c>
      <c r="F822"/>
      <c r="G822" s="17" t="s">
        <v>1</v>
      </c>
      <c r="H822" s="132">
        <v>46116</v>
      </c>
      <c r="I822" s="127" t="s">
        <v>3783</v>
      </c>
      <c r="J822"/>
      <c r="K822"/>
      <c r="L822"/>
    </row>
    <row r="823" spans="1:12">
      <c r="A823" s="95" t="s">
        <v>644</v>
      </c>
      <c r="B823" t="s">
        <v>3703</v>
      </c>
      <c r="C823" s="87" t="s">
        <v>692</v>
      </c>
      <c r="D823" s="88"/>
      <c r="E823" s="89">
        <v>65523310</v>
      </c>
      <c r="F823"/>
      <c r="G823" s="17" t="s">
        <v>4</v>
      </c>
      <c r="H823" s="132">
        <v>46116</v>
      </c>
      <c r="I823" s="127" t="s">
        <v>3785</v>
      </c>
      <c r="J823" s="22">
        <v>46116</v>
      </c>
      <c r="K823" t="s">
        <v>3786</v>
      </c>
      <c r="L823"/>
    </row>
    <row r="824" spans="1:12">
      <c r="A824" s="95" t="s">
        <v>644</v>
      </c>
      <c r="B824" t="s">
        <v>3703</v>
      </c>
      <c r="C824" s="87" t="s">
        <v>693</v>
      </c>
      <c r="D824" s="88" t="s">
        <v>3787</v>
      </c>
      <c r="E824" s="89">
        <v>65003259</v>
      </c>
      <c r="F824"/>
      <c r="G824" s="17" t="s">
        <v>1</v>
      </c>
      <c r="H824" s="132">
        <v>46116</v>
      </c>
      <c r="I824" s="127" t="s">
        <v>3788</v>
      </c>
      <c r="J824"/>
      <c r="K824"/>
      <c r="L824"/>
    </row>
    <row r="825" spans="1:12">
      <c r="A825" s="95" t="s">
        <v>644</v>
      </c>
      <c r="B825" t="s">
        <v>3703</v>
      </c>
      <c r="C825" s="87" t="s">
        <v>694</v>
      </c>
      <c r="D825" s="88" t="s">
        <v>3789</v>
      </c>
      <c r="E825" s="89">
        <v>65971971</v>
      </c>
      <c r="F825"/>
      <c r="G825" s="17" t="s">
        <v>3</v>
      </c>
      <c r="H825" s="132">
        <v>46116</v>
      </c>
      <c r="I825" s="127" t="s">
        <v>3790</v>
      </c>
      <c r="J825"/>
      <c r="K825"/>
      <c r="L825"/>
    </row>
    <row r="826" spans="1:12">
      <c r="A826" s="95" t="s">
        <v>644</v>
      </c>
      <c r="B826" t="s">
        <v>3703</v>
      </c>
      <c r="C826" s="87" t="s">
        <v>695</v>
      </c>
      <c r="D826" s="88" t="s">
        <v>3791</v>
      </c>
      <c r="E826" s="89">
        <v>68297179</v>
      </c>
      <c r="F826"/>
      <c r="G826" s="17" t="s">
        <v>1</v>
      </c>
      <c r="H826" s="132">
        <v>46116</v>
      </c>
      <c r="I826" s="127" t="s">
        <v>3792</v>
      </c>
      <c r="J826"/>
      <c r="K826"/>
      <c r="L826"/>
    </row>
    <row r="827" spans="1:12">
      <c r="A827" s="95" t="s">
        <v>644</v>
      </c>
      <c r="B827" t="s">
        <v>3703</v>
      </c>
      <c r="C827" s="87" t="s">
        <v>696</v>
      </c>
      <c r="D827" s="88" t="s">
        <v>3793</v>
      </c>
      <c r="E827" s="89">
        <v>65888145</v>
      </c>
      <c r="F827"/>
      <c r="G827" s="17" t="s">
        <v>3</v>
      </c>
      <c r="H827" s="132">
        <v>46116</v>
      </c>
      <c r="I827" s="127" t="s">
        <v>3794</v>
      </c>
      <c r="J827"/>
      <c r="K827"/>
      <c r="L827"/>
    </row>
    <row r="828" spans="1:12">
      <c r="A828" s="95" t="s">
        <v>644</v>
      </c>
      <c r="B828" t="s">
        <v>3703</v>
      </c>
      <c r="C828" s="87" t="s">
        <v>697</v>
      </c>
      <c r="D828" s="88"/>
      <c r="E828" s="89">
        <v>68819019</v>
      </c>
      <c r="F828"/>
      <c r="G828" s="17" t="s">
        <v>9</v>
      </c>
      <c r="H828" s="132">
        <v>46116</v>
      </c>
      <c r="I828" s="127" t="s">
        <v>3795</v>
      </c>
      <c r="J828"/>
      <c r="K828"/>
      <c r="L828"/>
    </row>
    <row r="829" spans="1:12">
      <c r="A829" s="95" t="s">
        <v>644</v>
      </c>
      <c r="B829" t="s">
        <v>3703</v>
      </c>
      <c r="C829" s="87" t="s">
        <v>698</v>
      </c>
      <c r="D829" s="88"/>
      <c r="E829" s="89">
        <v>63561737</v>
      </c>
      <c r="F829"/>
      <c r="G829" s="17" t="s">
        <v>6</v>
      </c>
      <c r="H829" s="132">
        <v>46116</v>
      </c>
      <c r="I829" s="127" t="s">
        <v>3796</v>
      </c>
      <c r="J829" s="22">
        <v>46116</v>
      </c>
      <c r="K829" t="s">
        <v>3797</v>
      </c>
      <c r="L829"/>
    </row>
    <row r="830" spans="1:12">
      <c r="A830" s="95" t="s">
        <v>644</v>
      </c>
      <c r="B830" t="s">
        <v>3703</v>
      </c>
      <c r="C830" s="87" t="s">
        <v>699</v>
      </c>
      <c r="D830" s="88" t="s">
        <v>3798</v>
      </c>
      <c r="E830" s="89">
        <v>62276419</v>
      </c>
      <c r="F830"/>
      <c r="G830" s="17" t="s">
        <v>1</v>
      </c>
      <c r="H830" s="132">
        <v>46116</v>
      </c>
      <c r="I830" s="127" t="s">
        <v>3799</v>
      </c>
      <c r="J830"/>
      <c r="K830"/>
      <c r="L830"/>
    </row>
    <row r="831" spans="1:12">
      <c r="A831" s="95" t="s">
        <v>644</v>
      </c>
      <c r="B831" t="s">
        <v>3703</v>
      </c>
      <c r="C831" s="87" t="s">
        <v>700</v>
      </c>
      <c r="D831" s="88"/>
      <c r="E831" s="89">
        <v>67105798</v>
      </c>
      <c r="F831"/>
      <c r="G831" s="17" t="s">
        <v>6</v>
      </c>
      <c r="H831" s="132">
        <v>46116</v>
      </c>
      <c r="I831" s="127" t="s">
        <v>3800</v>
      </c>
      <c r="J831" s="22">
        <v>46116</v>
      </c>
      <c r="K831" t="s">
        <v>3801</v>
      </c>
      <c r="L831"/>
    </row>
    <row r="832" spans="1:12">
      <c r="A832" s="95" t="s">
        <v>644</v>
      </c>
      <c r="B832" t="s">
        <v>3703</v>
      </c>
      <c r="C832" s="87" t="s">
        <v>701</v>
      </c>
      <c r="D832" s="88"/>
      <c r="E832" s="89">
        <v>7749365</v>
      </c>
      <c r="F832"/>
      <c r="G832" s="17" t="s">
        <v>9</v>
      </c>
      <c r="H832" s="132">
        <v>46116</v>
      </c>
      <c r="I832" s="127" t="s">
        <v>3802</v>
      </c>
      <c r="J832"/>
      <c r="K832"/>
      <c r="L832"/>
    </row>
    <row r="833" spans="1:12">
      <c r="A833" s="95" t="s">
        <v>644</v>
      </c>
      <c r="B833" t="s">
        <v>3703</v>
      </c>
      <c r="C833" s="87" t="s">
        <v>702</v>
      </c>
      <c r="D833" s="88" t="s">
        <v>3803</v>
      </c>
      <c r="E833" s="89">
        <v>65265942</v>
      </c>
      <c r="F833"/>
      <c r="G833" s="17" t="s">
        <v>1</v>
      </c>
      <c r="H833" s="132">
        <v>46116</v>
      </c>
      <c r="I833" s="127" t="s">
        <v>3804</v>
      </c>
      <c r="J833" s="22">
        <v>46116</v>
      </c>
      <c r="K833" t="s">
        <v>3805</v>
      </c>
      <c r="L833"/>
    </row>
    <row r="834" spans="1:12">
      <c r="A834" s="95" t="s">
        <v>644</v>
      </c>
      <c r="B834" t="s">
        <v>3703</v>
      </c>
      <c r="C834" s="87" t="s">
        <v>703</v>
      </c>
      <c r="D834" s="88"/>
      <c r="E834" s="89">
        <v>67893723</v>
      </c>
      <c r="F834"/>
      <c r="G834" s="17" t="s">
        <v>6</v>
      </c>
      <c r="H834" s="132">
        <v>46116</v>
      </c>
      <c r="I834" s="127" t="s">
        <v>3806</v>
      </c>
      <c r="J834" s="22">
        <v>46116</v>
      </c>
      <c r="K834" t="s">
        <v>3807</v>
      </c>
      <c r="L834"/>
    </row>
    <row r="835" spans="1:12">
      <c r="A835" s="95" t="s">
        <v>644</v>
      </c>
      <c r="B835" t="s">
        <v>3703</v>
      </c>
      <c r="C835" s="87" t="s">
        <v>704</v>
      </c>
      <c r="D835" s="88" t="s">
        <v>3808</v>
      </c>
      <c r="E835" s="89">
        <v>65499501</v>
      </c>
      <c r="F835" s="99" t="s">
        <v>3809</v>
      </c>
      <c r="G835" s="17" t="s">
        <v>1</v>
      </c>
      <c r="H835" s="132">
        <v>46116</v>
      </c>
      <c r="I835" s="127" t="s">
        <v>3810</v>
      </c>
      <c r="J835"/>
      <c r="K835"/>
      <c r="L835"/>
    </row>
    <row r="836" spans="1:12">
      <c r="A836" s="95" t="s">
        <v>644</v>
      </c>
      <c r="B836" t="s">
        <v>3703</v>
      </c>
      <c r="C836" s="87" t="s">
        <v>705</v>
      </c>
      <c r="D836" s="88"/>
      <c r="E836" s="89">
        <v>63625823</v>
      </c>
      <c r="F836"/>
      <c r="G836" s="17" t="s">
        <v>1</v>
      </c>
      <c r="H836" s="132">
        <v>46116</v>
      </c>
      <c r="I836" s="127" t="s">
        <v>3811</v>
      </c>
      <c r="J836"/>
      <c r="K836"/>
      <c r="L836"/>
    </row>
    <row r="837" spans="1:12">
      <c r="A837" s="95" t="s">
        <v>644</v>
      </c>
      <c r="B837" t="s">
        <v>3703</v>
      </c>
      <c r="C837" s="87" t="s">
        <v>706</v>
      </c>
      <c r="D837" s="88"/>
      <c r="E837" s="89">
        <v>67899728</v>
      </c>
      <c r="F837"/>
      <c r="G837" s="17" t="s">
        <v>3</v>
      </c>
      <c r="H837" s="132">
        <v>46116</v>
      </c>
      <c r="I837" s="127" t="s">
        <v>3812</v>
      </c>
      <c r="J837"/>
      <c r="K837"/>
      <c r="L837"/>
    </row>
    <row r="838" spans="1:12">
      <c r="A838" s="95" t="s">
        <v>644</v>
      </c>
      <c r="B838" t="s">
        <v>3703</v>
      </c>
      <c r="C838" s="87" t="s">
        <v>707</v>
      </c>
      <c r="D838" s="88"/>
      <c r="E838" s="89">
        <v>64302195</v>
      </c>
      <c r="F838"/>
      <c r="G838" s="17" t="s">
        <v>6</v>
      </c>
      <c r="H838" s="132">
        <v>46116</v>
      </c>
      <c r="I838" s="127" t="s">
        <v>3813</v>
      </c>
      <c r="J838" s="22">
        <v>46116</v>
      </c>
      <c r="K838" t="s">
        <v>3814</v>
      </c>
      <c r="L838"/>
    </row>
    <row r="839" spans="1:12">
      <c r="A839" s="95" t="s">
        <v>644</v>
      </c>
      <c r="B839" t="s">
        <v>3703</v>
      </c>
      <c r="C839" s="87" t="s">
        <v>708</v>
      </c>
      <c r="D839" s="88" t="s">
        <v>3815</v>
      </c>
      <c r="E839" s="89">
        <v>62042313</v>
      </c>
      <c r="F839"/>
      <c r="G839" s="17" t="s">
        <v>1</v>
      </c>
      <c r="H839" s="132">
        <v>46116</v>
      </c>
      <c r="I839" s="127" t="s">
        <v>3816</v>
      </c>
      <c r="J839"/>
      <c r="K839"/>
      <c r="L839"/>
    </row>
    <row r="840" spans="1:12">
      <c r="A840" s="95" t="s">
        <v>644</v>
      </c>
      <c r="B840" t="s">
        <v>3703</v>
      </c>
      <c r="C840" s="87" t="s">
        <v>709</v>
      </c>
      <c r="D840" s="88" t="s">
        <v>3817</v>
      </c>
      <c r="E840" s="89">
        <v>66168520</v>
      </c>
      <c r="F840"/>
      <c r="G840" s="17" t="s">
        <v>1</v>
      </c>
      <c r="H840" s="132">
        <v>46116</v>
      </c>
      <c r="I840" s="127" t="s">
        <v>3818</v>
      </c>
      <c r="J840"/>
      <c r="K840"/>
      <c r="L840"/>
    </row>
    <row r="841" spans="1:12">
      <c r="A841" s="95" t="s">
        <v>644</v>
      </c>
      <c r="B841" t="s">
        <v>3703</v>
      </c>
      <c r="C841" s="87" t="s">
        <v>710</v>
      </c>
      <c r="D841" s="88"/>
      <c r="E841" s="89">
        <v>67527955</v>
      </c>
      <c r="F841"/>
      <c r="G841" s="17" t="s">
        <v>6</v>
      </c>
      <c r="H841" s="132">
        <v>46116</v>
      </c>
      <c r="I841" s="127">
        <v>0.45208333333333334</v>
      </c>
      <c r="J841" s="22">
        <v>46116</v>
      </c>
      <c r="K841" t="s">
        <v>3819</v>
      </c>
      <c r="L841"/>
    </row>
    <row r="842" spans="1:12">
      <c r="A842" s="95" t="s">
        <v>644</v>
      </c>
      <c r="B842" t="s">
        <v>3703</v>
      </c>
      <c r="C842" s="87" t="s">
        <v>711</v>
      </c>
      <c r="D842" s="88"/>
      <c r="E842" s="89">
        <v>67331415</v>
      </c>
      <c r="F842"/>
      <c r="G842" s="17" t="s">
        <v>6</v>
      </c>
      <c r="H842" s="132">
        <v>46116</v>
      </c>
      <c r="I842" s="127" t="s">
        <v>3820</v>
      </c>
      <c r="J842" s="22">
        <v>46116</v>
      </c>
      <c r="K842" t="s">
        <v>3821</v>
      </c>
      <c r="L842"/>
    </row>
    <row r="843" spans="1:12">
      <c r="A843" s="95" t="s">
        <v>644</v>
      </c>
      <c r="B843" t="s">
        <v>3703</v>
      </c>
      <c r="C843" s="87" t="s">
        <v>712</v>
      </c>
      <c r="D843" s="88" t="s">
        <v>3822</v>
      </c>
      <c r="E843" s="89">
        <v>68261270</v>
      </c>
      <c r="F843"/>
      <c r="G843" s="17" t="s">
        <v>1</v>
      </c>
      <c r="H843" s="132">
        <v>46116</v>
      </c>
      <c r="I843" s="127" t="s">
        <v>3823</v>
      </c>
      <c r="J843" s="22">
        <v>46116</v>
      </c>
      <c r="K843" t="s">
        <v>3824</v>
      </c>
      <c r="L843"/>
    </row>
    <row r="844" spans="1:12">
      <c r="A844" s="95" t="s">
        <v>644</v>
      </c>
      <c r="B844" t="s">
        <v>3703</v>
      </c>
      <c r="C844" s="87" t="s">
        <v>713</v>
      </c>
      <c r="D844" s="88"/>
      <c r="E844" s="89">
        <v>7772747</v>
      </c>
      <c r="F844"/>
      <c r="G844" s="17" t="s">
        <v>8</v>
      </c>
      <c r="H844" s="132">
        <v>46116</v>
      </c>
      <c r="I844" s="127" t="s">
        <v>3825</v>
      </c>
      <c r="J844"/>
      <c r="K844"/>
      <c r="L844"/>
    </row>
    <row r="845" spans="1:12">
      <c r="A845" s="95" t="s">
        <v>644</v>
      </c>
      <c r="B845" t="s">
        <v>3703</v>
      </c>
      <c r="C845" s="87" t="s">
        <v>714</v>
      </c>
      <c r="D845" s="88"/>
      <c r="E845" s="89">
        <v>64048790</v>
      </c>
      <c r="F845"/>
      <c r="G845" s="17" t="s">
        <v>2</v>
      </c>
      <c r="H845" s="132">
        <v>46116</v>
      </c>
      <c r="I845" s="127" t="s">
        <v>3826</v>
      </c>
      <c r="J845"/>
      <c r="K845"/>
      <c r="L845"/>
    </row>
    <row r="846" spans="1:12">
      <c r="A846" s="95" t="s">
        <v>644</v>
      </c>
      <c r="B846" t="s">
        <v>3703</v>
      </c>
      <c r="C846" s="87" t="s">
        <v>715</v>
      </c>
      <c r="D846" s="88" t="s">
        <v>3827</v>
      </c>
      <c r="E846" s="89">
        <v>65013410</v>
      </c>
      <c r="F846"/>
      <c r="G846" s="17" t="s">
        <v>1</v>
      </c>
      <c r="H846" s="132">
        <v>46116</v>
      </c>
      <c r="I846" s="127" t="s">
        <v>3828</v>
      </c>
      <c r="J846"/>
      <c r="K846"/>
      <c r="L846"/>
    </row>
    <row r="847" spans="1:12">
      <c r="A847" s="95" t="s">
        <v>644</v>
      </c>
      <c r="B847" t="s">
        <v>3703</v>
      </c>
      <c r="C847" s="87" t="s">
        <v>716</v>
      </c>
      <c r="D847" s="88" t="s">
        <v>3829</v>
      </c>
      <c r="E847" s="89">
        <v>65681672</v>
      </c>
      <c r="F847"/>
      <c r="G847" s="17" t="s">
        <v>1</v>
      </c>
      <c r="H847" s="132">
        <v>46116</v>
      </c>
      <c r="I847" s="127" t="s">
        <v>3830</v>
      </c>
      <c r="J847"/>
      <c r="K847"/>
      <c r="L847"/>
    </row>
    <row r="848" spans="1:12">
      <c r="A848" s="95" t="s">
        <v>644</v>
      </c>
      <c r="B848" t="s">
        <v>3703</v>
      </c>
      <c r="C848" s="87" t="s">
        <v>717</v>
      </c>
      <c r="D848" s="88" t="s">
        <v>3831</v>
      </c>
      <c r="E848" s="89">
        <v>66895744</v>
      </c>
      <c r="F848"/>
      <c r="G848" s="17" t="s">
        <v>1</v>
      </c>
      <c r="H848" s="132">
        <v>46116</v>
      </c>
      <c r="I848" s="127" t="s">
        <v>3832</v>
      </c>
      <c r="J848"/>
      <c r="K848"/>
      <c r="L848"/>
    </row>
    <row r="849" spans="1:12">
      <c r="A849" s="95" t="s">
        <v>644</v>
      </c>
      <c r="B849" t="s">
        <v>3703</v>
      </c>
      <c r="C849" s="87" t="s">
        <v>718</v>
      </c>
      <c r="D849" s="88" t="s">
        <v>3833</v>
      </c>
      <c r="E849" s="89">
        <v>67170442</v>
      </c>
      <c r="F849"/>
      <c r="G849" s="17" t="s">
        <v>3</v>
      </c>
      <c r="H849" s="132">
        <v>46116</v>
      </c>
      <c r="I849" s="127" t="s">
        <v>3834</v>
      </c>
      <c r="J849"/>
      <c r="K849"/>
      <c r="L849"/>
    </row>
    <row r="850" spans="1:12">
      <c r="A850" s="95" t="s">
        <v>644</v>
      </c>
      <c r="B850" t="s">
        <v>3703</v>
      </c>
      <c r="C850" s="87" t="s">
        <v>719</v>
      </c>
      <c r="D850" s="88" t="s">
        <v>3835</v>
      </c>
      <c r="E850" s="89">
        <v>68584524</v>
      </c>
      <c r="F850"/>
      <c r="G850" s="17" t="s">
        <v>1</v>
      </c>
      <c r="H850" s="132">
        <v>46116</v>
      </c>
      <c r="I850" s="127">
        <v>0.46319444444444446</v>
      </c>
      <c r="J850"/>
      <c r="K850"/>
      <c r="L850" t="s">
        <v>3836</v>
      </c>
    </row>
    <row r="851" spans="1:12">
      <c r="A851" s="95" t="s">
        <v>644</v>
      </c>
      <c r="B851" t="s">
        <v>3703</v>
      </c>
      <c r="C851" s="87" t="s">
        <v>720</v>
      </c>
      <c r="D851" s="88"/>
      <c r="E851" s="89">
        <v>7757531</v>
      </c>
      <c r="F851"/>
      <c r="G851" s="17" t="s">
        <v>9</v>
      </c>
      <c r="H851" s="132">
        <v>46116</v>
      </c>
      <c r="I851" s="127" t="s">
        <v>3837</v>
      </c>
      <c r="J851"/>
      <c r="K851"/>
      <c r="L851"/>
    </row>
    <row r="852" spans="1:12">
      <c r="A852" s="95" t="s">
        <v>644</v>
      </c>
      <c r="B852" t="s">
        <v>3703</v>
      </c>
      <c r="C852" s="87" t="s">
        <v>721</v>
      </c>
      <c r="D852" s="88"/>
      <c r="E852" s="89">
        <v>66503288</v>
      </c>
      <c r="F852"/>
      <c r="G852" s="17" t="s">
        <v>3</v>
      </c>
      <c r="H852" s="132">
        <v>46116</v>
      </c>
      <c r="I852" s="127" t="s">
        <v>3838</v>
      </c>
      <c r="J852"/>
      <c r="K852"/>
      <c r="L852"/>
    </row>
    <row r="853" spans="1:12">
      <c r="A853" s="95" t="s">
        <v>644</v>
      </c>
      <c r="B853" t="s">
        <v>3839</v>
      </c>
      <c r="C853" s="87" t="s">
        <v>722</v>
      </c>
      <c r="D853" s="88"/>
      <c r="E853" s="89">
        <v>67075332</v>
      </c>
      <c r="F853"/>
      <c r="G853" s="17" t="s">
        <v>2</v>
      </c>
      <c r="H853" s="132">
        <v>46116</v>
      </c>
      <c r="I853" s="127" t="s">
        <v>3840</v>
      </c>
      <c r="J853"/>
      <c r="K853"/>
      <c r="L853"/>
    </row>
    <row r="854" spans="1:12">
      <c r="A854" s="95" t="s">
        <v>644</v>
      </c>
      <c r="B854" t="s">
        <v>3703</v>
      </c>
      <c r="C854" s="87" t="s">
        <v>723</v>
      </c>
      <c r="D854" s="88" t="s">
        <v>3841</v>
      </c>
      <c r="E854" s="89">
        <v>67069964</v>
      </c>
      <c r="F854"/>
      <c r="G854" s="17" t="s">
        <v>1</v>
      </c>
      <c r="H854" s="132">
        <v>46116</v>
      </c>
      <c r="I854" s="127" t="s">
        <v>3842</v>
      </c>
      <c r="J854"/>
      <c r="K854"/>
      <c r="L854"/>
    </row>
    <row r="855" spans="1:12">
      <c r="A855" s="95" t="s">
        <v>644</v>
      </c>
      <c r="B855" t="s">
        <v>3703</v>
      </c>
      <c r="C855" s="87" t="s">
        <v>724</v>
      </c>
      <c r="D855" s="88"/>
      <c r="E855" s="89">
        <v>67080813</v>
      </c>
      <c r="F855" s="99" t="s">
        <v>3843</v>
      </c>
      <c r="G855" s="17" t="s">
        <v>7</v>
      </c>
      <c r="H855" s="132">
        <v>46116</v>
      </c>
      <c r="I855" s="127" t="s">
        <v>3844</v>
      </c>
      <c r="J855"/>
      <c r="K855"/>
      <c r="L855" t="s">
        <v>3845</v>
      </c>
    </row>
    <row r="856" spans="1:12">
      <c r="A856" s="95" t="s">
        <v>644</v>
      </c>
      <c r="B856" t="s">
        <v>3703</v>
      </c>
      <c r="C856" s="87" t="s">
        <v>725</v>
      </c>
      <c r="D856" s="88"/>
      <c r="E856" s="89">
        <v>7744897</v>
      </c>
      <c r="F856"/>
      <c r="G856" s="17" t="s">
        <v>2</v>
      </c>
      <c r="H856" s="132">
        <v>46116</v>
      </c>
      <c r="I856" s="127" t="s">
        <v>3846</v>
      </c>
      <c r="J856"/>
      <c r="K856"/>
      <c r="L856"/>
    </row>
    <row r="857" spans="1:12">
      <c r="A857" s="95" t="s">
        <v>644</v>
      </c>
      <c r="B857" t="s">
        <v>3703</v>
      </c>
      <c r="C857" s="87" t="s">
        <v>726</v>
      </c>
      <c r="D857" s="88"/>
      <c r="E857" s="89">
        <v>7304720</v>
      </c>
      <c r="F857"/>
      <c r="G857" s="17" t="s">
        <v>9</v>
      </c>
      <c r="H857" s="132">
        <v>46116</v>
      </c>
      <c r="I857" s="127" t="s">
        <v>3847</v>
      </c>
      <c r="J857"/>
      <c r="K857"/>
      <c r="L857"/>
    </row>
    <row r="858" spans="1:12">
      <c r="A858" s="95" t="s">
        <v>644</v>
      </c>
      <c r="B858" t="s">
        <v>3703</v>
      </c>
      <c r="C858" s="87" t="s">
        <v>727</v>
      </c>
      <c r="D858" s="88" t="s">
        <v>3848</v>
      </c>
      <c r="E858" s="89">
        <v>60048166</v>
      </c>
      <c r="F858"/>
      <c r="G858" s="17" t="s">
        <v>1</v>
      </c>
      <c r="H858" s="132">
        <v>46116</v>
      </c>
      <c r="I858" s="127" t="s">
        <v>3849</v>
      </c>
      <c r="J858"/>
      <c r="K858"/>
      <c r="L858"/>
    </row>
    <row r="859" spans="1:12">
      <c r="A859" s="95" t="s">
        <v>644</v>
      </c>
      <c r="B859" t="s">
        <v>3703</v>
      </c>
      <c r="C859" s="87" t="s">
        <v>728</v>
      </c>
      <c r="D859" s="88"/>
      <c r="E859" s="89">
        <v>66962409</v>
      </c>
      <c r="F859"/>
      <c r="G859" s="17" t="s">
        <v>2</v>
      </c>
      <c r="H859" s="132">
        <v>46116</v>
      </c>
      <c r="I859" s="127" t="s">
        <v>3850</v>
      </c>
      <c r="J859"/>
      <c r="K859"/>
      <c r="L859"/>
    </row>
    <row r="860" spans="1:12">
      <c r="A860" s="95" t="s">
        <v>644</v>
      </c>
      <c r="B860" t="s">
        <v>3703</v>
      </c>
      <c r="C860" s="87" t="s">
        <v>729</v>
      </c>
      <c r="D860" s="88"/>
      <c r="E860" s="89">
        <v>61496065</v>
      </c>
      <c r="F860"/>
      <c r="G860" s="17" t="s">
        <v>2</v>
      </c>
      <c r="H860" s="132">
        <v>46116</v>
      </c>
      <c r="I860" s="127" t="s">
        <v>3851</v>
      </c>
      <c r="J860"/>
      <c r="K860"/>
      <c r="L860"/>
    </row>
    <row r="861" spans="1:12">
      <c r="A861" s="95" t="s">
        <v>644</v>
      </c>
      <c r="B861" t="s">
        <v>3703</v>
      </c>
      <c r="C861" s="87" t="s">
        <v>730</v>
      </c>
      <c r="D861" s="88"/>
      <c r="E861" s="89">
        <v>7706033</v>
      </c>
      <c r="F861"/>
      <c r="G861" s="17" t="s">
        <v>2</v>
      </c>
      <c r="H861" s="132">
        <v>46116</v>
      </c>
      <c r="I861" s="127" t="s">
        <v>3852</v>
      </c>
      <c r="J861"/>
      <c r="K861"/>
      <c r="L861"/>
    </row>
    <row r="862" spans="1:12">
      <c r="A862" s="95" t="s">
        <v>644</v>
      </c>
      <c r="B862" t="s">
        <v>3703</v>
      </c>
      <c r="C862" s="87" t="s">
        <v>731</v>
      </c>
      <c r="D862" s="88"/>
      <c r="E862" s="89">
        <v>7774815</v>
      </c>
      <c r="F862"/>
      <c r="G862" s="17" t="s">
        <v>9</v>
      </c>
      <c r="H862" s="132">
        <v>46116</v>
      </c>
      <c r="I862" s="127" t="s">
        <v>3853</v>
      </c>
      <c r="J862" s="22">
        <v>46116</v>
      </c>
      <c r="K862" t="s">
        <v>3854</v>
      </c>
      <c r="L862"/>
    </row>
    <row r="863" spans="1:12">
      <c r="A863" s="95" t="s">
        <v>644</v>
      </c>
      <c r="B863" t="s">
        <v>3703</v>
      </c>
      <c r="C863" s="87" t="s">
        <v>733</v>
      </c>
      <c r="D863" s="88"/>
      <c r="E863" s="89">
        <v>64130992</v>
      </c>
      <c r="F863"/>
      <c r="G863" s="17" t="s">
        <v>6</v>
      </c>
      <c r="H863" s="132">
        <v>46116</v>
      </c>
      <c r="I863" s="127" t="s">
        <v>3855</v>
      </c>
      <c r="J863"/>
      <c r="K863"/>
      <c r="L863"/>
    </row>
    <row r="864" spans="1:12">
      <c r="A864" s="94" t="s">
        <v>644</v>
      </c>
      <c r="B864" t="s">
        <v>3703</v>
      </c>
      <c r="C864" s="92"/>
      <c r="D864" s="17" t="s">
        <v>3856</v>
      </c>
      <c r="E864" s="93" t="s">
        <v>3072</v>
      </c>
      <c r="F864"/>
      <c r="G864" s="17" t="s">
        <v>3</v>
      </c>
      <c r="H864" s="132">
        <v>46116</v>
      </c>
      <c r="J864"/>
      <c r="K864"/>
      <c r="L864"/>
    </row>
    <row r="865" spans="1:12">
      <c r="A865" s="94" t="s">
        <v>644</v>
      </c>
      <c r="B865" t="s">
        <v>3703</v>
      </c>
      <c r="C865" s="92"/>
      <c r="D865" s="17" t="s">
        <v>3857</v>
      </c>
      <c r="E865" s="93" t="s">
        <v>3858</v>
      </c>
      <c r="F865"/>
      <c r="G865" s="17" t="s">
        <v>6</v>
      </c>
      <c r="H865" s="132">
        <v>46116</v>
      </c>
      <c r="I865" s="127" t="s">
        <v>3859</v>
      </c>
      <c r="J865"/>
      <c r="K865"/>
      <c r="L865"/>
    </row>
    <row r="866" spans="1:12">
      <c r="A866" s="94" t="s">
        <v>644</v>
      </c>
      <c r="B866" t="s">
        <v>3703</v>
      </c>
      <c r="C866" s="92"/>
      <c r="D866" s="17" t="s">
        <v>3860</v>
      </c>
      <c r="E866" s="93" t="s">
        <v>3861</v>
      </c>
      <c r="F866"/>
      <c r="G866" s="17" t="s">
        <v>2</v>
      </c>
      <c r="H866" s="132">
        <v>46116</v>
      </c>
      <c r="I866" s="127" t="s">
        <v>3862</v>
      </c>
      <c r="J866"/>
      <c r="K866"/>
      <c r="L866"/>
    </row>
    <row r="867" spans="1:12">
      <c r="A867" s="94" t="s">
        <v>644</v>
      </c>
      <c r="B867" t="s">
        <v>3703</v>
      </c>
      <c r="C867" s="92"/>
      <c r="D867" s="17" t="s">
        <v>3863</v>
      </c>
      <c r="E867" s="93" t="s">
        <v>3864</v>
      </c>
      <c r="F867"/>
      <c r="G867" s="17" t="s">
        <v>2</v>
      </c>
      <c r="H867" s="132">
        <v>46116</v>
      </c>
      <c r="I867" s="127">
        <v>0.1111111111111111</v>
      </c>
      <c r="J867"/>
      <c r="K867"/>
      <c r="L867"/>
    </row>
    <row r="868" spans="1:12">
      <c r="A868" s="94" t="s">
        <v>644</v>
      </c>
      <c r="B868" t="s">
        <v>3865</v>
      </c>
      <c r="C868" s="92" t="s">
        <v>3866</v>
      </c>
      <c r="D868" s="17" t="s">
        <v>3867</v>
      </c>
      <c r="E868" s="93" t="s">
        <v>3868</v>
      </c>
      <c r="F868"/>
      <c r="G868" s="17" t="s">
        <v>1</v>
      </c>
      <c r="H868" s="132">
        <v>46116</v>
      </c>
      <c r="I868" s="127" t="s">
        <v>3869</v>
      </c>
      <c r="J868"/>
      <c r="K868"/>
      <c r="L868"/>
    </row>
    <row r="869" spans="1:12">
      <c r="A869" s="94" t="s">
        <v>644</v>
      </c>
      <c r="B869" t="s">
        <v>3703</v>
      </c>
      <c r="C869" s="92" t="s">
        <v>3870</v>
      </c>
      <c r="D869" s="17" t="s">
        <v>3871</v>
      </c>
      <c r="E869" s="93" t="s">
        <v>3872</v>
      </c>
      <c r="F869"/>
      <c r="G869" s="17" t="s">
        <v>1</v>
      </c>
      <c r="H869" s="132">
        <v>46116</v>
      </c>
      <c r="I869" s="127" t="s">
        <v>3873</v>
      </c>
      <c r="J869"/>
      <c r="K869"/>
      <c r="L869"/>
    </row>
    <row r="870" spans="1:12">
      <c r="A870" s="94" t="s">
        <v>644</v>
      </c>
      <c r="B870" t="s">
        <v>3874</v>
      </c>
      <c r="C870" s="92"/>
      <c r="D870" s="17" t="s">
        <v>3875</v>
      </c>
      <c r="E870" s="93" t="s">
        <v>3876</v>
      </c>
      <c r="F870"/>
      <c r="G870" s="17" t="s">
        <v>1</v>
      </c>
      <c r="H870" s="132">
        <v>46116</v>
      </c>
      <c r="I870" s="127" t="s">
        <v>3877</v>
      </c>
      <c r="J870"/>
      <c r="K870"/>
      <c r="L870"/>
    </row>
    <row r="871" spans="1:12">
      <c r="A871" s="94" t="s">
        <v>644</v>
      </c>
      <c r="B871" t="s">
        <v>3878</v>
      </c>
      <c r="C871" s="92"/>
      <c r="D871" s="17" t="s">
        <v>3879</v>
      </c>
      <c r="E871" s="93" t="s">
        <v>3880</v>
      </c>
      <c r="F871"/>
      <c r="G871" s="17" t="s">
        <v>3</v>
      </c>
      <c r="H871" s="132">
        <v>46116</v>
      </c>
      <c r="I871" s="127" t="s">
        <v>3881</v>
      </c>
      <c r="J871"/>
      <c r="K871"/>
      <c r="L871"/>
    </row>
    <row r="872" spans="1:12">
      <c r="A872" s="94" t="s">
        <v>644</v>
      </c>
      <c r="B872" t="s">
        <v>3703</v>
      </c>
      <c r="C872" s="92"/>
      <c r="D872" s="17" t="s">
        <v>3882</v>
      </c>
      <c r="E872" s="93" t="s">
        <v>3883</v>
      </c>
      <c r="F872"/>
      <c r="G872" s="17" t="s">
        <v>1</v>
      </c>
      <c r="H872" s="132">
        <v>46116</v>
      </c>
      <c r="I872" s="127" t="s">
        <v>3713</v>
      </c>
      <c r="J872" s="22">
        <v>46116</v>
      </c>
      <c r="K872" t="s">
        <v>3746</v>
      </c>
      <c r="L872"/>
    </row>
    <row r="873" spans="1:12">
      <c r="A873" s="94" t="s">
        <v>644</v>
      </c>
      <c r="B873" t="s">
        <v>3703</v>
      </c>
      <c r="C873" s="92"/>
      <c r="D873" s="17" t="s">
        <v>3884</v>
      </c>
      <c r="E873" s="93" t="s">
        <v>3885</v>
      </c>
      <c r="F873"/>
      <c r="G873" s="17" t="s">
        <v>6</v>
      </c>
      <c r="H873" s="132">
        <v>46116</v>
      </c>
      <c r="I873" s="127" t="s">
        <v>3886</v>
      </c>
      <c r="J873" s="22">
        <v>46116</v>
      </c>
      <c r="K873" t="s">
        <v>3887</v>
      </c>
      <c r="L873"/>
    </row>
    <row r="874" spans="1:12">
      <c r="A874" s="94" t="s">
        <v>644</v>
      </c>
      <c r="B874" t="s">
        <v>3888</v>
      </c>
      <c r="C874" s="92" t="s">
        <v>3889</v>
      </c>
      <c r="D874" s="17" t="s">
        <v>3890</v>
      </c>
      <c r="E874" s="93" t="s">
        <v>3891</v>
      </c>
      <c r="F874"/>
      <c r="G874" s="17" t="s">
        <v>1</v>
      </c>
      <c r="H874" s="132">
        <v>46116</v>
      </c>
      <c r="I874" s="127" t="s">
        <v>3721</v>
      </c>
      <c r="J874" s="22"/>
      <c r="K874"/>
      <c r="L874" t="s">
        <v>3892</v>
      </c>
    </row>
    <row r="875" spans="1:12">
      <c r="A875" s="94" t="s">
        <v>644</v>
      </c>
      <c r="B875" t="s">
        <v>3703</v>
      </c>
      <c r="C875" s="92"/>
      <c r="D875" s="17" t="s">
        <v>3893</v>
      </c>
      <c r="E875" s="93" t="s">
        <v>3894</v>
      </c>
      <c r="F875"/>
      <c r="G875" s="17" t="s">
        <v>1</v>
      </c>
      <c r="H875" s="132">
        <v>46116</v>
      </c>
      <c r="I875" s="127" t="s">
        <v>3732</v>
      </c>
      <c r="J875" s="22">
        <v>46116</v>
      </c>
      <c r="K875" t="s">
        <v>3895</v>
      </c>
      <c r="L875"/>
    </row>
    <row r="876" spans="1:12">
      <c r="A876" s="94" t="s">
        <v>644</v>
      </c>
      <c r="B876" t="s">
        <v>3703</v>
      </c>
      <c r="C876" s="92"/>
      <c r="D876" s="17" t="s">
        <v>3896</v>
      </c>
      <c r="E876" s="93" t="s">
        <v>3897</v>
      </c>
      <c r="F876"/>
      <c r="G876" s="17" t="s">
        <v>1</v>
      </c>
      <c r="H876" s="132">
        <v>46116</v>
      </c>
      <c r="I876" s="127" t="s">
        <v>3898</v>
      </c>
      <c r="J876"/>
      <c r="K876"/>
      <c r="L876"/>
    </row>
    <row r="877" spans="1:12">
      <c r="A877" s="94" t="s">
        <v>644</v>
      </c>
      <c r="B877" t="s">
        <v>3703</v>
      </c>
      <c r="C877" s="92"/>
      <c r="D877" s="17" t="s">
        <v>3899</v>
      </c>
      <c r="E877" s="93" t="s">
        <v>3900</v>
      </c>
      <c r="F877"/>
      <c r="G877" s="17" t="s">
        <v>1</v>
      </c>
      <c r="H877" s="132">
        <v>46116</v>
      </c>
      <c r="I877" s="127" t="s">
        <v>3733</v>
      </c>
      <c r="J877"/>
      <c r="K877"/>
      <c r="L877"/>
    </row>
    <row r="878" spans="1:12">
      <c r="A878" s="94" t="s">
        <v>644</v>
      </c>
      <c r="B878" t="s">
        <v>3703</v>
      </c>
      <c r="C878" s="92"/>
      <c r="D878" s="17" t="s">
        <v>3901</v>
      </c>
      <c r="E878" s="93" t="s">
        <v>3902</v>
      </c>
      <c r="F878"/>
      <c r="G878" s="17" t="s">
        <v>1</v>
      </c>
      <c r="H878" s="132">
        <v>46116</v>
      </c>
      <c r="I878" s="127" t="s">
        <v>3903</v>
      </c>
      <c r="J878" s="22">
        <v>46116</v>
      </c>
      <c r="K878" t="s">
        <v>3904</v>
      </c>
      <c r="L878"/>
    </row>
    <row r="879" spans="1:12">
      <c r="A879" s="94" t="s">
        <v>644</v>
      </c>
      <c r="B879" t="s">
        <v>3703</v>
      </c>
      <c r="C879" s="92"/>
      <c r="D879" s="17" t="s">
        <v>3905</v>
      </c>
      <c r="E879" s="93" t="s">
        <v>3906</v>
      </c>
      <c r="F879"/>
      <c r="G879" s="17" t="s">
        <v>1</v>
      </c>
      <c r="H879" s="132">
        <v>46116</v>
      </c>
      <c r="I879" s="127">
        <v>0.13472222222222222</v>
      </c>
      <c r="J879" s="22">
        <v>46116</v>
      </c>
      <c r="K879" t="s">
        <v>3907</v>
      </c>
      <c r="L879"/>
    </row>
    <row r="880" spans="1:12">
      <c r="A880" s="94" t="s">
        <v>644</v>
      </c>
      <c r="B880" t="s">
        <v>3703</v>
      </c>
      <c r="C880" s="92"/>
      <c r="D880" s="17" t="s">
        <v>3908</v>
      </c>
      <c r="E880" s="93" t="s">
        <v>3909</v>
      </c>
      <c r="F880"/>
      <c r="G880" s="17" t="s">
        <v>3</v>
      </c>
      <c r="H880" s="132">
        <v>46116</v>
      </c>
      <c r="I880" s="127" t="s">
        <v>3735</v>
      </c>
      <c r="J880"/>
      <c r="K880"/>
      <c r="L880"/>
    </row>
    <row r="881" spans="1:12">
      <c r="A881" s="94" t="s">
        <v>644</v>
      </c>
      <c r="B881" t="s">
        <v>3703</v>
      </c>
      <c r="C881" s="92"/>
      <c r="D881" s="17" t="s">
        <v>3910</v>
      </c>
      <c r="E881" s="93" t="s">
        <v>3894</v>
      </c>
      <c r="F881"/>
      <c r="G881" s="17" t="s">
        <v>1</v>
      </c>
      <c r="H881" s="132">
        <v>46116</v>
      </c>
      <c r="I881" s="127" t="s">
        <v>3737</v>
      </c>
      <c r="J881"/>
      <c r="K881"/>
      <c r="L881"/>
    </row>
    <row r="882" spans="1:12">
      <c r="A882" s="94" t="s">
        <v>644</v>
      </c>
      <c r="B882" t="s">
        <v>3703</v>
      </c>
      <c r="C882" s="92"/>
      <c r="D882" s="17" t="s">
        <v>3911</v>
      </c>
      <c r="E882" s="93" t="s">
        <v>3912</v>
      </c>
      <c r="F882"/>
      <c r="G882" s="17" t="s">
        <v>9</v>
      </c>
      <c r="H882" s="132">
        <v>46116</v>
      </c>
      <c r="I882" s="127" t="s">
        <v>3740</v>
      </c>
      <c r="J882"/>
      <c r="K882"/>
      <c r="L882"/>
    </row>
    <row r="883" spans="1:12">
      <c r="A883" s="94" t="s">
        <v>644</v>
      </c>
      <c r="B883" t="s">
        <v>3703</v>
      </c>
      <c r="C883" s="92"/>
      <c r="D883" s="17" t="s">
        <v>3789</v>
      </c>
      <c r="E883" s="93" t="s">
        <v>3913</v>
      </c>
      <c r="F883"/>
      <c r="G883" s="17" t="s">
        <v>6</v>
      </c>
      <c r="H883" s="132">
        <v>46116</v>
      </c>
      <c r="I883" s="127" t="s">
        <v>3914</v>
      </c>
      <c r="J883" s="22">
        <v>46116</v>
      </c>
      <c r="K883" t="s">
        <v>3915</v>
      </c>
      <c r="L883"/>
    </row>
    <row r="884" spans="1:12">
      <c r="A884" s="94" t="s">
        <v>644</v>
      </c>
      <c r="B884" t="s">
        <v>3865</v>
      </c>
      <c r="C884" s="92"/>
      <c r="D884" s="17" t="s">
        <v>3916</v>
      </c>
      <c r="E884" s="93" t="s">
        <v>3917</v>
      </c>
      <c r="F884"/>
      <c r="G884" s="17" t="s">
        <v>3</v>
      </c>
      <c r="H884" s="132">
        <v>46116</v>
      </c>
      <c r="I884" s="127" t="s">
        <v>3918</v>
      </c>
      <c r="J884"/>
      <c r="K884"/>
      <c r="L884"/>
    </row>
    <row r="885" spans="1:12">
      <c r="A885" s="94" t="s">
        <v>644</v>
      </c>
      <c r="B885" t="s">
        <v>3703</v>
      </c>
      <c r="C885" s="92"/>
      <c r="D885" s="17" t="s">
        <v>3919</v>
      </c>
      <c r="E885" s="93" t="s">
        <v>3920</v>
      </c>
      <c r="F885"/>
      <c r="G885" s="17" t="s">
        <v>1</v>
      </c>
      <c r="H885" s="132">
        <v>46116</v>
      </c>
      <c r="I885" s="127" t="s">
        <v>3921</v>
      </c>
      <c r="J885"/>
      <c r="K885"/>
      <c r="L885"/>
    </row>
    <row r="886" spans="1:12">
      <c r="A886" s="94" t="s">
        <v>644</v>
      </c>
      <c r="B886" t="s">
        <v>3703</v>
      </c>
      <c r="C886" s="92"/>
      <c r="D886" s="17" t="s">
        <v>3922</v>
      </c>
      <c r="E886" s="93" t="s">
        <v>3923</v>
      </c>
      <c r="F886"/>
      <c r="G886" s="17" t="s">
        <v>1</v>
      </c>
      <c r="H886" s="132">
        <v>46147</v>
      </c>
      <c r="I886" s="127" t="s">
        <v>3924</v>
      </c>
      <c r="J886" s="22">
        <v>46147</v>
      </c>
      <c r="K886" t="s">
        <v>3715</v>
      </c>
      <c r="L886"/>
    </row>
    <row r="887" spans="1:12">
      <c r="A887" s="94" t="s">
        <v>644</v>
      </c>
      <c r="B887" t="s">
        <v>3703</v>
      </c>
      <c r="C887" s="92"/>
      <c r="D887" s="17" t="s">
        <v>3925</v>
      </c>
      <c r="E887" s="93" t="s">
        <v>3926</v>
      </c>
      <c r="F887"/>
      <c r="G887" s="17" t="s">
        <v>1</v>
      </c>
      <c r="H887" s="132">
        <v>46147</v>
      </c>
      <c r="I887" s="127" t="s">
        <v>3927</v>
      </c>
      <c r="J887" s="22">
        <v>46147</v>
      </c>
      <c r="K887" s="109" t="s">
        <v>3928</v>
      </c>
      <c r="L887"/>
    </row>
    <row r="888" spans="1:12">
      <c r="A888" s="94" t="s">
        <v>644</v>
      </c>
      <c r="B888" t="s">
        <v>3703</v>
      </c>
      <c r="C888" s="92"/>
      <c r="D888" s="17" t="s">
        <v>3929</v>
      </c>
      <c r="E888" s="93" t="s">
        <v>3930</v>
      </c>
      <c r="F888"/>
      <c r="G888" s="17" t="s">
        <v>2</v>
      </c>
      <c r="H888" s="132">
        <v>46147</v>
      </c>
      <c r="I888" s="127" t="s">
        <v>3802</v>
      </c>
      <c r="J888"/>
      <c r="K888"/>
      <c r="L888"/>
    </row>
    <row r="889" spans="1:12">
      <c r="A889" s="94" t="s">
        <v>644</v>
      </c>
      <c r="B889" t="s">
        <v>3703</v>
      </c>
      <c r="C889" s="92"/>
      <c r="D889" s="17" t="s">
        <v>3060</v>
      </c>
      <c r="E889" s="93" t="s">
        <v>3931</v>
      </c>
      <c r="F889"/>
      <c r="G889" s="17" t="s">
        <v>6</v>
      </c>
      <c r="H889" s="132">
        <v>46147</v>
      </c>
      <c r="I889" s="127" t="s">
        <v>3932</v>
      </c>
      <c r="J889" s="22">
        <v>46147</v>
      </c>
      <c r="K889" t="s">
        <v>3933</v>
      </c>
      <c r="L889"/>
    </row>
    <row r="890" spans="1:12">
      <c r="A890" s="94" t="s">
        <v>644</v>
      </c>
      <c r="B890" t="s">
        <v>3703</v>
      </c>
      <c r="C890" s="92"/>
      <c r="D890" s="17" t="s">
        <v>3934</v>
      </c>
      <c r="E890" s="93" t="s">
        <v>3935</v>
      </c>
      <c r="F890"/>
      <c r="G890" s="17" t="s">
        <v>2</v>
      </c>
      <c r="H890" s="132">
        <v>46147</v>
      </c>
      <c r="I890" s="127" t="s">
        <v>3936</v>
      </c>
      <c r="J890"/>
      <c r="K890"/>
      <c r="L890"/>
    </row>
    <row r="891" spans="1:12">
      <c r="A891" s="94" t="s">
        <v>644</v>
      </c>
      <c r="B891" t="s">
        <v>3703</v>
      </c>
      <c r="C891" s="92"/>
      <c r="D891" s="17" t="s">
        <v>3937</v>
      </c>
      <c r="E891" s="93" t="s">
        <v>3938</v>
      </c>
      <c r="F891"/>
      <c r="G891" s="17" t="s">
        <v>2</v>
      </c>
      <c r="H891" s="132">
        <v>46147</v>
      </c>
      <c r="I891" s="127" t="s">
        <v>3939</v>
      </c>
      <c r="J891"/>
      <c r="K891"/>
      <c r="L891"/>
    </row>
    <row r="892" spans="1:12">
      <c r="A892" s="94" t="s">
        <v>644</v>
      </c>
      <c r="B892" t="s">
        <v>3703</v>
      </c>
      <c r="C892" s="92"/>
      <c r="D892" s="17" t="s">
        <v>3940</v>
      </c>
      <c r="E892" s="93" t="s">
        <v>3941</v>
      </c>
      <c r="F892"/>
      <c r="G892" s="17" t="s">
        <v>2</v>
      </c>
      <c r="H892" s="132">
        <v>46147</v>
      </c>
      <c r="I892" s="127" t="s">
        <v>3942</v>
      </c>
      <c r="J892"/>
      <c r="K892"/>
      <c r="L892"/>
    </row>
    <row r="893" spans="1:12">
      <c r="A893" s="94" t="s">
        <v>644</v>
      </c>
      <c r="B893" t="s">
        <v>3703</v>
      </c>
      <c r="C893" s="92"/>
      <c r="D893" s="17" t="s">
        <v>3943</v>
      </c>
      <c r="E893" s="93" t="s">
        <v>3944</v>
      </c>
      <c r="F893"/>
      <c r="G893" s="17" t="s">
        <v>1</v>
      </c>
      <c r="H893" s="132">
        <v>38842</v>
      </c>
      <c r="I893" s="127" t="s">
        <v>3945</v>
      </c>
      <c r="J893"/>
      <c r="K893"/>
      <c r="L893"/>
    </row>
    <row r="894" spans="1:12">
      <c r="A894" s="94" t="s">
        <v>644</v>
      </c>
      <c r="B894" t="s">
        <v>3703</v>
      </c>
      <c r="C894" s="92"/>
      <c r="D894" s="17" t="s">
        <v>3946</v>
      </c>
      <c r="E894" s="93" t="s">
        <v>3947</v>
      </c>
      <c r="F894"/>
      <c r="G894" s="17" t="s">
        <v>2</v>
      </c>
      <c r="H894" s="132">
        <v>46147</v>
      </c>
      <c r="I894" s="127" t="s">
        <v>3948</v>
      </c>
      <c r="J894"/>
      <c r="K894"/>
      <c r="L894"/>
    </row>
    <row r="895" spans="1:12">
      <c r="A895" s="94" t="s">
        <v>644</v>
      </c>
      <c r="B895" t="s">
        <v>3703</v>
      </c>
      <c r="C895" s="92"/>
      <c r="D895" s="17" t="s">
        <v>3949</v>
      </c>
      <c r="E895" s="93" t="s">
        <v>3950</v>
      </c>
      <c r="F895"/>
      <c r="G895" s="17" t="s">
        <v>1</v>
      </c>
      <c r="H895" s="132">
        <v>46147</v>
      </c>
      <c r="I895" s="127" t="s">
        <v>3951</v>
      </c>
      <c r="J895"/>
      <c r="K895"/>
      <c r="L895"/>
    </row>
    <row r="896" spans="1:12">
      <c r="A896" s="94" t="s">
        <v>644</v>
      </c>
      <c r="B896" t="s">
        <v>3703</v>
      </c>
      <c r="C896" s="92"/>
      <c r="D896" s="17" t="s">
        <v>3952</v>
      </c>
      <c r="E896" s="93" t="s">
        <v>3953</v>
      </c>
      <c r="F896"/>
      <c r="G896" s="17" t="s">
        <v>6</v>
      </c>
      <c r="H896" s="132">
        <v>46147</v>
      </c>
      <c r="I896" s="127" t="s">
        <v>3954</v>
      </c>
      <c r="J896" s="22">
        <v>37381</v>
      </c>
      <c r="K896" t="s">
        <v>3955</v>
      </c>
      <c r="L896"/>
    </row>
    <row r="897" spans="1:12">
      <c r="A897" s="94" t="s">
        <v>644</v>
      </c>
      <c r="B897" t="s">
        <v>3703</v>
      </c>
      <c r="C897" s="92"/>
      <c r="D897" s="17" t="s">
        <v>3956</v>
      </c>
      <c r="E897" s="93" t="s">
        <v>3957</v>
      </c>
      <c r="F897"/>
      <c r="G897" s="17" t="s">
        <v>9</v>
      </c>
      <c r="H897" s="132">
        <v>46147</v>
      </c>
      <c r="I897" s="127" t="s">
        <v>3958</v>
      </c>
      <c r="J897"/>
      <c r="K897"/>
      <c r="L897"/>
    </row>
    <row r="898" spans="1:12">
      <c r="A898" s="94" t="s">
        <v>644</v>
      </c>
      <c r="B898" t="s">
        <v>3888</v>
      </c>
      <c r="C898" s="92"/>
      <c r="D898" s="17" t="s">
        <v>3959</v>
      </c>
      <c r="E898" s="93" t="s">
        <v>3960</v>
      </c>
      <c r="F898"/>
      <c r="G898" s="17" t="s">
        <v>9</v>
      </c>
      <c r="H898" s="132">
        <v>46147</v>
      </c>
      <c r="I898" s="127" t="s">
        <v>3961</v>
      </c>
      <c r="J898"/>
      <c r="K898"/>
      <c r="L898"/>
    </row>
    <row r="899" spans="1:12">
      <c r="A899" s="94" t="s">
        <v>644</v>
      </c>
      <c r="B899" t="s">
        <v>3703</v>
      </c>
      <c r="C899" s="92"/>
      <c r="D899" s="17" t="s">
        <v>3962</v>
      </c>
      <c r="E899" s="93" t="s">
        <v>3963</v>
      </c>
      <c r="F899"/>
      <c r="G899" s="17" t="s">
        <v>2</v>
      </c>
      <c r="H899" s="132">
        <v>46147</v>
      </c>
      <c r="I899" s="127" t="s">
        <v>3964</v>
      </c>
      <c r="J899"/>
      <c r="K899"/>
      <c r="L899"/>
    </row>
    <row r="900" spans="1:12">
      <c r="A900" s="94" t="s">
        <v>644</v>
      </c>
      <c r="B900" t="s">
        <v>3965</v>
      </c>
      <c r="C900" s="92"/>
      <c r="D900" s="17" t="s">
        <v>3966</v>
      </c>
      <c r="E900" s="93" t="s">
        <v>3967</v>
      </c>
      <c r="F900"/>
      <c r="G900" s="17" t="s">
        <v>1</v>
      </c>
      <c r="H900" s="132">
        <v>46147</v>
      </c>
      <c r="I900" s="127" t="s">
        <v>3718</v>
      </c>
      <c r="J900"/>
      <c r="K900"/>
      <c r="L900"/>
    </row>
    <row r="901" spans="1:12">
      <c r="A901" s="94" t="s">
        <v>644</v>
      </c>
      <c r="B901" t="s">
        <v>3703</v>
      </c>
      <c r="C901" s="92"/>
      <c r="D901" s="17" t="s">
        <v>3968</v>
      </c>
      <c r="E901" s="93" t="s">
        <v>3969</v>
      </c>
      <c r="F901"/>
      <c r="G901" s="17" t="s">
        <v>1</v>
      </c>
      <c r="H901" s="132">
        <v>46147</v>
      </c>
      <c r="I901" s="127" t="s">
        <v>3970</v>
      </c>
      <c r="J901"/>
      <c r="K901"/>
      <c r="L901"/>
    </row>
    <row r="902" spans="1:12">
      <c r="A902" s="94" t="s">
        <v>644</v>
      </c>
      <c r="B902" t="s">
        <v>3703</v>
      </c>
      <c r="C902" s="92"/>
      <c r="D902" s="17" t="s">
        <v>3971</v>
      </c>
      <c r="E902" s="93" t="s">
        <v>3972</v>
      </c>
      <c r="F902"/>
      <c r="G902" s="17" t="s">
        <v>6</v>
      </c>
      <c r="H902" s="132">
        <v>46147</v>
      </c>
      <c r="I902" s="127" t="s">
        <v>3723</v>
      </c>
      <c r="J902"/>
      <c r="K902"/>
      <c r="L902"/>
    </row>
    <row r="903" spans="1:12">
      <c r="A903" s="94" t="s">
        <v>644</v>
      </c>
      <c r="B903" t="s">
        <v>3703</v>
      </c>
      <c r="C903" s="92"/>
      <c r="D903" s="17" t="s">
        <v>3973</v>
      </c>
      <c r="E903" s="93" t="s">
        <v>3974</v>
      </c>
      <c r="F903"/>
      <c r="G903" s="17" t="s">
        <v>9</v>
      </c>
      <c r="H903" s="132">
        <v>46147</v>
      </c>
      <c r="I903" s="127" t="s">
        <v>3975</v>
      </c>
      <c r="J903"/>
      <c r="K903"/>
      <c r="L903"/>
    </row>
    <row r="904" spans="1:12">
      <c r="A904" s="94" t="s">
        <v>644</v>
      </c>
      <c r="B904" t="s">
        <v>3703</v>
      </c>
      <c r="C904" s="92"/>
      <c r="D904" s="17" t="s">
        <v>3976</v>
      </c>
      <c r="E904" s="93" t="s">
        <v>3977</v>
      </c>
      <c r="F904"/>
      <c r="G904" s="17" t="s">
        <v>3</v>
      </c>
      <c r="H904" s="132">
        <v>46147</v>
      </c>
      <c r="I904" s="127" t="s">
        <v>3725</v>
      </c>
      <c r="J904"/>
      <c r="K904"/>
      <c r="L904"/>
    </row>
    <row r="905" spans="1:12">
      <c r="A905" s="94" t="s">
        <v>644</v>
      </c>
      <c r="B905" t="s">
        <v>3703</v>
      </c>
      <c r="C905" s="92"/>
      <c r="D905" s="17" t="s">
        <v>3978</v>
      </c>
      <c r="E905" s="93" t="s">
        <v>3979</v>
      </c>
      <c r="F905"/>
      <c r="G905" s="17" t="s">
        <v>6</v>
      </c>
      <c r="H905" s="132">
        <v>46147</v>
      </c>
      <c r="I905" s="127" t="s">
        <v>3728</v>
      </c>
      <c r="J905" s="22">
        <v>38842</v>
      </c>
      <c r="K905" t="s">
        <v>3735</v>
      </c>
      <c r="L905"/>
    </row>
    <row r="906" spans="1:12">
      <c r="A906" s="94" t="s">
        <v>644</v>
      </c>
      <c r="B906" t="s">
        <v>3703</v>
      </c>
      <c r="C906" s="92"/>
      <c r="D906" s="17" t="s">
        <v>3980</v>
      </c>
      <c r="E906" s="93" t="s">
        <v>3981</v>
      </c>
      <c r="F906"/>
      <c r="G906" s="17" t="s">
        <v>6</v>
      </c>
      <c r="H906" s="132">
        <v>46147</v>
      </c>
      <c r="I906" s="127" t="s">
        <v>3982</v>
      </c>
      <c r="J906" s="22">
        <v>46147</v>
      </c>
      <c r="K906" t="s">
        <v>3737</v>
      </c>
      <c r="L906"/>
    </row>
    <row r="907" spans="1:12">
      <c r="A907" s="94" t="s">
        <v>644</v>
      </c>
      <c r="B907" t="s">
        <v>3703</v>
      </c>
      <c r="C907" s="92"/>
      <c r="D907" s="17" t="s">
        <v>3983</v>
      </c>
      <c r="E907" s="93" t="s">
        <v>3984</v>
      </c>
      <c r="F907"/>
      <c r="G907" s="17" t="s">
        <v>1</v>
      </c>
      <c r="H907" s="132">
        <v>46147</v>
      </c>
      <c r="I907" s="127" t="s">
        <v>3985</v>
      </c>
      <c r="J907"/>
      <c r="K907"/>
      <c r="L907"/>
    </row>
    <row r="908" spans="1:12">
      <c r="A908" s="94" t="s">
        <v>644</v>
      </c>
      <c r="B908" t="s">
        <v>3986</v>
      </c>
      <c r="C908" s="92"/>
      <c r="D908" s="17" t="s">
        <v>3987</v>
      </c>
      <c r="E908" s="93" t="s">
        <v>3988</v>
      </c>
      <c r="F908"/>
      <c r="G908" s="17" t="s">
        <v>1</v>
      </c>
      <c r="H908" s="132">
        <v>46147</v>
      </c>
      <c r="I908" s="127" t="s">
        <v>3989</v>
      </c>
      <c r="J908"/>
      <c r="K908"/>
      <c r="L908"/>
    </row>
    <row r="909" spans="1:12">
      <c r="A909" s="94" t="s">
        <v>644</v>
      </c>
      <c r="B909" t="s">
        <v>3703</v>
      </c>
      <c r="C909" s="92"/>
      <c r="D909" s="17" t="s">
        <v>3990</v>
      </c>
      <c r="E909" s="93" t="s">
        <v>3991</v>
      </c>
      <c r="F909"/>
      <c r="G909" s="17" t="s">
        <v>6</v>
      </c>
      <c r="H909" s="132" t="s">
        <v>3992</v>
      </c>
      <c r="I909" s="127" t="s">
        <v>3740</v>
      </c>
      <c r="J909" s="22">
        <v>46147</v>
      </c>
      <c r="K909" t="s">
        <v>3993</v>
      </c>
      <c r="L909"/>
    </row>
    <row r="910" spans="1:12">
      <c r="A910" s="94" t="s">
        <v>644</v>
      </c>
      <c r="B910" t="s">
        <v>3703</v>
      </c>
      <c r="C910" s="92"/>
      <c r="D910" s="17" t="s">
        <v>3994</v>
      </c>
      <c r="E910" s="93" t="s">
        <v>3995</v>
      </c>
      <c r="F910"/>
      <c r="G910" s="17" t="s">
        <v>2</v>
      </c>
      <c r="H910" s="132">
        <v>46147</v>
      </c>
      <c r="I910" s="127" t="s">
        <v>3996</v>
      </c>
      <c r="J910"/>
      <c r="K910"/>
      <c r="L910"/>
    </row>
    <row r="911" spans="1:12">
      <c r="A911" s="94" t="s">
        <v>644</v>
      </c>
      <c r="B911" t="s">
        <v>3703</v>
      </c>
      <c r="C911" s="92"/>
      <c r="D911" s="17" t="s">
        <v>3997</v>
      </c>
      <c r="E911" s="93" t="s">
        <v>3998</v>
      </c>
      <c r="F911"/>
      <c r="G911" s="17" t="s">
        <v>2</v>
      </c>
      <c r="H911" s="132">
        <v>46147</v>
      </c>
      <c r="I911" s="127" t="s">
        <v>3999</v>
      </c>
      <c r="J911"/>
      <c r="K911"/>
      <c r="L911"/>
    </row>
    <row r="912" spans="1:12">
      <c r="A912" s="94" t="s">
        <v>644</v>
      </c>
      <c r="B912" t="s">
        <v>3703</v>
      </c>
      <c r="C912" s="92"/>
      <c r="D912" s="17" t="s">
        <v>4000</v>
      </c>
      <c r="E912" s="93" t="s">
        <v>4001</v>
      </c>
      <c r="F912"/>
      <c r="G912" s="17" t="s">
        <v>6</v>
      </c>
      <c r="H912" s="132">
        <v>46147</v>
      </c>
      <c r="I912" s="127" t="s">
        <v>3743</v>
      </c>
      <c r="J912"/>
      <c r="K912"/>
      <c r="L912"/>
    </row>
    <row r="913" spans="1:12">
      <c r="A913" s="94" t="s">
        <v>644</v>
      </c>
      <c r="B913" t="s">
        <v>3703</v>
      </c>
      <c r="C913" s="92"/>
      <c r="D913" s="17" t="s">
        <v>4002</v>
      </c>
      <c r="E913" s="93" t="s">
        <v>4003</v>
      </c>
      <c r="F913"/>
      <c r="G913" s="17" t="s">
        <v>6</v>
      </c>
      <c r="H913" s="132">
        <v>46147</v>
      </c>
      <c r="I913" s="127" t="s">
        <v>4004</v>
      </c>
      <c r="J913" s="22">
        <v>46147</v>
      </c>
      <c r="K913" t="s">
        <v>4005</v>
      </c>
      <c r="L913"/>
    </row>
    <row r="914" spans="1:12">
      <c r="A914" s="94" t="s">
        <v>644</v>
      </c>
      <c r="B914" t="s">
        <v>3703</v>
      </c>
      <c r="C914" s="92"/>
      <c r="D914" s="17" t="s">
        <v>4006</v>
      </c>
      <c r="E914" s="93" t="s">
        <v>4007</v>
      </c>
      <c r="F914"/>
      <c r="G914" s="17" t="s">
        <v>6</v>
      </c>
      <c r="H914" s="132">
        <v>46147</v>
      </c>
      <c r="I914" s="127" t="s">
        <v>3747</v>
      </c>
      <c r="J914"/>
      <c r="K914"/>
      <c r="L914"/>
    </row>
    <row r="915" spans="1:12">
      <c r="A915" s="94" t="s">
        <v>644</v>
      </c>
      <c r="B915" t="s">
        <v>3703</v>
      </c>
      <c r="C915" s="92"/>
      <c r="D915" s="17" t="s">
        <v>3186</v>
      </c>
      <c r="E915" s="93" t="s">
        <v>4008</v>
      </c>
      <c r="F915"/>
      <c r="G915" s="17" t="s">
        <v>1</v>
      </c>
      <c r="H915" s="132">
        <v>46147</v>
      </c>
      <c r="I915" s="127" t="s">
        <v>3887</v>
      </c>
      <c r="J915"/>
      <c r="K915"/>
      <c r="L915"/>
    </row>
    <row r="916" spans="1:12">
      <c r="A916" s="94" t="s">
        <v>644</v>
      </c>
      <c r="B916" t="s">
        <v>4009</v>
      </c>
      <c r="C916" s="92"/>
      <c r="D916" s="17" t="s">
        <v>4010</v>
      </c>
      <c r="E916" s="93" t="s">
        <v>4011</v>
      </c>
      <c r="F916"/>
      <c r="G916" s="17" t="s">
        <v>2</v>
      </c>
      <c r="H916" s="132">
        <v>46147</v>
      </c>
      <c r="I916" s="127" t="s">
        <v>4012</v>
      </c>
      <c r="J916"/>
      <c r="K916"/>
      <c r="L916"/>
    </row>
    <row r="917" spans="1:12">
      <c r="A917" s="94" t="s">
        <v>644</v>
      </c>
      <c r="B917" t="s">
        <v>3703</v>
      </c>
      <c r="C917" s="92"/>
      <c r="D917" s="17" t="s">
        <v>4013</v>
      </c>
      <c r="E917" s="93" t="s">
        <v>4014</v>
      </c>
      <c r="F917"/>
      <c r="G917" s="17" t="s">
        <v>1</v>
      </c>
      <c r="H917" s="132">
        <v>46147</v>
      </c>
      <c r="I917" s="127" t="s">
        <v>4015</v>
      </c>
      <c r="J917"/>
      <c r="K917"/>
      <c r="L917"/>
    </row>
    <row r="918" spans="1:12">
      <c r="A918" s="94" t="s">
        <v>644</v>
      </c>
      <c r="B918" t="s">
        <v>3703</v>
      </c>
      <c r="C918" s="92"/>
      <c r="D918" s="17" t="s">
        <v>4016</v>
      </c>
      <c r="E918" s="93" t="s">
        <v>4017</v>
      </c>
      <c r="F918"/>
      <c r="G918" s="17" t="s">
        <v>1</v>
      </c>
      <c r="H918" s="132">
        <v>46147</v>
      </c>
      <c r="I918" s="127" t="s">
        <v>3895</v>
      </c>
      <c r="J918"/>
      <c r="K918"/>
      <c r="L918"/>
    </row>
    <row r="919" spans="1:12">
      <c r="A919" s="94" t="s">
        <v>644</v>
      </c>
      <c r="B919" t="s">
        <v>4018</v>
      </c>
      <c r="C919" s="92"/>
      <c r="D919" s="17" t="s">
        <v>4019</v>
      </c>
      <c r="E919" s="93" t="s">
        <v>4020</v>
      </c>
      <c r="F919"/>
      <c r="G919" s="17" t="s">
        <v>3</v>
      </c>
      <c r="H919" s="132">
        <v>46147</v>
      </c>
      <c r="I919" s="127" t="s">
        <v>4021</v>
      </c>
      <c r="J919"/>
      <c r="K919"/>
      <c r="L919"/>
    </row>
    <row r="920" spans="1:12">
      <c r="A920" s="94" t="s">
        <v>644</v>
      </c>
      <c r="B920" t="s">
        <v>3703</v>
      </c>
      <c r="C920" s="92"/>
      <c r="D920" s="17" t="s">
        <v>4022</v>
      </c>
      <c r="E920" s="93" t="s">
        <v>4023</v>
      </c>
      <c r="F920"/>
      <c r="G920" s="17" t="s">
        <v>1</v>
      </c>
      <c r="H920" s="132">
        <v>46147</v>
      </c>
      <c r="I920" s="127" t="s">
        <v>3751</v>
      </c>
      <c r="J920"/>
      <c r="K920"/>
      <c r="L920"/>
    </row>
    <row r="921" spans="1:12">
      <c r="A921" s="94" t="s">
        <v>644</v>
      </c>
      <c r="B921" t="s">
        <v>4024</v>
      </c>
      <c r="C921" s="92"/>
      <c r="D921" s="17" t="s">
        <v>4025</v>
      </c>
      <c r="E921" s="93" t="s">
        <v>4026</v>
      </c>
      <c r="F921"/>
      <c r="G921" s="17" t="s">
        <v>2</v>
      </c>
      <c r="H921" s="132">
        <v>46147</v>
      </c>
      <c r="I921" s="127" t="s">
        <v>4027</v>
      </c>
      <c r="J921" s="22">
        <v>46179</v>
      </c>
      <c r="K921" t="s">
        <v>3736</v>
      </c>
      <c r="L921"/>
    </row>
    <row r="922" spans="1:12">
      <c r="A922" s="94" t="s">
        <v>644</v>
      </c>
      <c r="B922" t="s">
        <v>4028</v>
      </c>
      <c r="C922" s="92"/>
      <c r="D922" s="17" t="s">
        <v>4029</v>
      </c>
      <c r="E922" s="93" t="s">
        <v>4030</v>
      </c>
      <c r="F922"/>
      <c r="G922" s="17" t="s">
        <v>3</v>
      </c>
      <c r="H922" s="132" t="s">
        <v>4031</v>
      </c>
      <c r="I922" s="127" t="s">
        <v>4032</v>
      </c>
      <c r="J922"/>
      <c r="K922"/>
      <c r="L922"/>
    </row>
    <row r="923" spans="1:12">
      <c r="A923" s="94" t="s">
        <v>644</v>
      </c>
      <c r="B923" t="s">
        <v>3703</v>
      </c>
      <c r="C923" s="92"/>
      <c r="D923" s="17" t="s">
        <v>4033</v>
      </c>
      <c r="E923" s="93" t="s">
        <v>4034</v>
      </c>
      <c r="F923"/>
      <c r="G923" s="17" t="s">
        <v>1</v>
      </c>
      <c r="H923" s="132" t="s">
        <v>4031</v>
      </c>
      <c r="I923" s="127" t="s">
        <v>4035</v>
      </c>
      <c r="J923"/>
      <c r="K923"/>
      <c r="L923"/>
    </row>
    <row r="924" spans="1:12">
      <c r="A924" s="94" t="s">
        <v>644</v>
      </c>
      <c r="B924" t="s">
        <v>3703</v>
      </c>
      <c r="C924" s="92"/>
      <c r="D924" s="17" t="s">
        <v>4036</v>
      </c>
      <c r="E924" s="93">
        <v>68536827</v>
      </c>
      <c r="F924"/>
      <c r="G924" s="17" t="s">
        <v>1</v>
      </c>
      <c r="H924" s="132">
        <v>46147</v>
      </c>
      <c r="I924" s="127" t="s">
        <v>4037</v>
      </c>
      <c r="J924"/>
      <c r="K924"/>
      <c r="L924"/>
    </row>
    <row r="925" spans="1:12">
      <c r="A925" s="94" t="s">
        <v>644</v>
      </c>
      <c r="B925" t="s">
        <v>3703</v>
      </c>
      <c r="C925" s="92"/>
      <c r="D925" s="17" t="s">
        <v>4038</v>
      </c>
      <c r="E925" s="93">
        <v>64694250</v>
      </c>
      <c r="F925"/>
      <c r="G925" s="17" t="s">
        <v>1</v>
      </c>
      <c r="H925" s="132">
        <v>46147</v>
      </c>
      <c r="I925" s="127" t="s">
        <v>3915</v>
      </c>
      <c r="J925"/>
      <c r="K925"/>
      <c r="L925"/>
    </row>
    <row r="926" spans="1:12">
      <c r="A926" s="94" t="s">
        <v>644</v>
      </c>
      <c r="B926" t="s">
        <v>3703</v>
      </c>
      <c r="C926" s="92"/>
      <c r="D926" s="17" t="s">
        <v>4039</v>
      </c>
      <c r="E926" s="93">
        <v>68960600</v>
      </c>
      <c r="F926"/>
      <c r="G926" s="17" t="s">
        <v>1</v>
      </c>
      <c r="H926" s="132">
        <v>46147</v>
      </c>
      <c r="I926" s="127" t="s">
        <v>4040</v>
      </c>
      <c r="J926"/>
      <c r="K926"/>
      <c r="L926"/>
    </row>
    <row r="927" spans="1:12">
      <c r="A927" s="94" t="s">
        <v>644</v>
      </c>
      <c r="B927" t="s">
        <v>3703</v>
      </c>
      <c r="C927" s="92"/>
      <c r="D927" s="17" t="s">
        <v>4041</v>
      </c>
      <c r="E927" s="93" t="s">
        <v>4042</v>
      </c>
      <c r="F927"/>
      <c r="G927" s="17" t="s">
        <v>1</v>
      </c>
      <c r="H927" s="132">
        <v>46147</v>
      </c>
      <c r="I927" s="127" t="s">
        <v>4043</v>
      </c>
      <c r="J927"/>
      <c r="K927"/>
      <c r="L927"/>
    </row>
    <row r="928" spans="1:12">
      <c r="A928" s="94" t="s">
        <v>644</v>
      </c>
      <c r="B928" t="s">
        <v>3703</v>
      </c>
      <c r="C928" s="92"/>
      <c r="D928" s="17" t="s">
        <v>4044</v>
      </c>
      <c r="E928" s="93" t="s">
        <v>4045</v>
      </c>
      <c r="F928"/>
      <c r="G928" s="17" t="s">
        <v>1</v>
      </c>
      <c r="H928" s="132">
        <v>46179</v>
      </c>
      <c r="I928" s="127" t="s">
        <v>4046</v>
      </c>
      <c r="J928"/>
      <c r="K928"/>
      <c r="L928"/>
    </row>
    <row r="929" spans="1:12">
      <c r="A929" s="94" t="s">
        <v>644</v>
      </c>
      <c r="B929" t="s">
        <v>3703</v>
      </c>
      <c r="C929" s="92"/>
      <c r="D929" s="17" t="s">
        <v>4047</v>
      </c>
      <c r="E929" s="93" t="s">
        <v>4048</v>
      </c>
      <c r="F929"/>
      <c r="G929" s="17" t="s">
        <v>1</v>
      </c>
      <c r="H929" s="132">
        <v>46179</v>
      </c>
      <c r="I929" s="127" t="s">
        <v>3761</v>
      </c>
      <c r="J929"/>
      <c r="K929"/>
      <c r="L929"/>
    </row>
    <row r="930" spans="1:12">
      <c r="A930" s="94" t="s">
        <v>644</v>
      </c>
      <c r="B930" t="s">
        <v>3703</v>
      </c>
      <c r="C930" s="92"/>
      <c r="D930" s="17" t="s">
        <v>4049</v>
      </c>
      <c r="E930" s="93" t="s">
        <v>4050</v>
      </c>
      <c r="F930"/>
      <c r="G930" s="17" t="s">
        <v>1</v>
      </c>
      <c r="H930" s="132">
        <v>46179</v>
      </c>
      <c r="I930" s="127" t="s">
        <v>4051</v>
      </c>
      <c r="J930"/>
      <c r="K930"/>
      <c r="L930"/>
    </row>
    <row r="931" spans="1:12">
      <c r="A931" s="94" t="s">
        <v>644</v>
      </c>
      <c r="B931" t="s">
        <v>3703</v>
      </c>
      <c r="C931" s="92"/>
      <c r="D931" s="17" t="s">
        <v>4052</v>
      </c>
      <c r="E931" s="93" t="s">
        <v>4053</v>
      </c>
      <c r="F931"/>
      <c r="G931" s="17" t="s">
        <v>1</v>
      </c>
      <c r="H931" s="132">
        <v>46179</v>
      </c>
      <c r="I931" s="127" t="s">
        <v>4054</v>
      </c>
      <c r="J931"/>
      <c r="K931"/>
      <c r="L931"/>
    </row>
    <row r="932" spans="1:12">
      <c r="A932" s="94" t="s">
        <v>644</v>
      </c>
      <c r="B932" t="s">
        <v>3703</v>
      </c>
      <c r="C932" s="92"/>
      <c r="D932" s="17" t="s">
        <v>4055</v>
      </c>
      <c r="E932" s="93" t="s">
        <v>4056</v>
      </c>
      <c r="F932"/>
      <c r="G932" s="17" t="s">
        <v>2</v>
      </c>
      <c r="H932" s="132">
        <v>46179</v>
      </c>
      <c r="I932" s="127" t="s">
        <v>3769</v>
      </c>
      <c r="J932" s="22">
        <v>46179</v>
      </c>
      <c r="K932" t="s">
        <v>4057</v>
      </c>
      <c r="L932"/>
    </row>
    <row r="933" spans="1:12">
      <c r="A933" s="94" t="s">
        <v>644</v>
      </c>
      <c r="B933" t="s">
        <v>3703</v>
      </c>
      <c r="C933" s="92"/>
      <c r="D933" s="17" t="s">
        <v>4058</v>
      </c>
      <c r="E933" s="93" t="s">
        <v>4059</v>
      </c>
      <c r="F933"/>
      <c r="G933" s="17" t="s">
        <v>9</v>
      </c>
      <c r="H933" s="132">
        <v>46179</v>
      </c>
      <c r="I933" s="127" t="s">
        <v>4060</v>
      </c>
      <c r="J933"/>
      <c r="K933"/>
      <c r="L933"/>
    </row>
    <row r="934" spans="1:12">
      <c r="A934" s="94" t="s">
        <v>644</v>
      </c>
      <c r="B934" t="s">
        <v>3703</v>
      </c>
      <c r="C934" s="92"/>
      <c r="D934" s="17" t="s">
        <v>4061</v>
      </c>
      <c r="E934" s="93" t="s">
        <v>4062</v>
      </c>
      <c r="F934"/>
      <c r="G934" s="17" t="s">
        <v>6</v>
      </c>
      <c r="H934" s="132">
        <v>46179</v>
      </c>
      <c r="I934" s="127" t="s">
        <v>4063</v>
      </c>
      <c r="J934" s="22">
        <v>46179</v>
      </c>
      <c r="K934" t="s">
        <v>4064</v>
      </c>
      <c r="L934"/>
    </row>
    <row r="935" spans="1:12">
      <c r="A935" s="94" t="s">
        <v>644</v>
      </c>
      <c r="B935" t="s">
        <v>3703</v>
      </c>
      <c r="C935" s="92"/>
      <c r="D935" s="17" t="s">
        <v>4065</v>
      </c>
      <c r="E935" s="93" t="s">
        <v>4066</v>
      </c>
      <c r="F935"/>
      <c r="G935" s="17" t="s">
        <v>1</v>
      </c>
      <c r="H935" s="132">
        <v>46179</v>
      </c>
      <c r="I935" s="127" t="s">
        <v>4067</v>
      </c>
      <c r="J935" s="22">
        <v>46179</v>
      </c>
      <c r="K935" t="s">
        <v>3738</v>
      </c>
      <c r="L935"/>
    </row>
    <row r="936" spans="1:12">
      <c r="A936" s="94" t="s">
        <v>644</v>
      </c>
      <c r="B936" t="s">
        <v>3703</v>
      </c>
      <c r="C936" s="92"/>
      <c r="D936" s="17" t="s">
        <v>4068</v>
      </c>
      <c r="E936" s="93" t="s">
        <v>4069</v>
      </c>
      <c r="F936"/>
      <c r="G936" s="17" t="s">
        <v>1</v>
      </c>
      <c r="H936" s="132">
        <v>46179</v>
      </c>
      <c r="I936" s="127" t="s">
        <v>4070</v>
      </c>
      <c r="J936"/>
      <c r="K936"/>
      <c r="L936"/>
    </row>
    <row r="937" spans="1:12">
      <c r="A937" s="94" t="s">
        <v>644</v>
      </c>
      <c r="B937" t="s">
        <v>3703</v>
      </c>
      <c r="C937" s="92"/>
      <c r="D937" s="17" t="s">
        <v>4071</v>
      </c>
      <c r="E937" s="93" t="s">
        <v>4072</v>
      </c>
      <c r="F937"/>
      <c r="G937" s="17" t="s">
        <v>3</v>
      </c>
      <c r="H937" s="132">
        <v>46179</v>
      </c>
      <c r="I937" s="127" t="s">
        <v>4073</v>
      </c>
      <c r="J937" s="22">
        <v>46179</v>
      </c>
      <c r="K937" t="s">
        <v>4074</v>
      </c>
      <c r="L937"/>
    </row>
    <row r="938" spans="1:12">
      <c r="A938" s="94" t="s">
        <v>644</v>
      </c>
      <c r="B938" t="s">
        <v>3703</v>
      </c>
      <c r="C938" s="92"/>
      <c r="D938" s="17" t="s">
        <v>4075</v>
      </c>
      <c r="E938" s="93" t="s">
        <v>4076</v>
      </c>
      <c r="F938"/>
      <c r="G938" s="17" t="s">
        <v>1</v>
      </c>
      <c r="H938" s="132">
        <v>46179</v>
      </c>
      <c r="I938" s="127" t="s">
        <v>4077</v>
      </c>
      <c r="J938"/>
      <c r="K938"/>
      <c r="L938"/>
    </row>
    <row r="939" spans="1:12">
      <c r="A939" s="94" t="s">
        <v>644</v>
      </c>
      <c r="B939" t="s">
        <v>3703</v>
      </c>
      <c r="C939" s="92"/>
      <c r="D939" s="17" t="s">
        <v>4078</v>
      </c>
      <c r="E939" s="93" t="s">
        <v>4079</v>
      </c>
      <c r="F939"/>
      <c r="G939" s="17" t="s">
        <v>1</v>
      </c>
      <c r="H939" s="132">
        <v>46179</v>
      </c>
      <c r="I939" s="127" t="s">
        <v>3811</v>
      </c>
      <c r="J939"/>
      <c r="K939"/>
      <c r="L939"/>
    </row>
    <row r="940" spans="1:12">
      <c r="A940" s="94" t="s">
        <v>644</v>
      </c>
      <c r="B940" t="s">
        <v>3703</v>
      </c>
      <c r="C940" s="92"/>
      <c r="D940" s="17" t="s">
        <v>4080</v>
      </c>
      <c r="E940" s="93" t="s">
        <v>4081</v>
      </c>
      <c r="F940"/>
      <c r="G940" s="17" t="s">
        <v>1</v>
      </c>
      <c r="H940" s="132">
        <v>46179</v>
      </c>
      <c r="I940" s="127" t="s">
        <v>3812</v>
      </c>
      <c r="J940"/>
      <c r="K940"/>
      <c r="L940"/>
    </row>
    <row r="941" spans="1:12">
      <c r="A941" s="94" t="s">
        <v>644</v>
      </c>
      <c r="B941" t="s">
        <v>3703</v>
      </c>
      <c r="C941" s="92"/>
      <c r="D941" s="17" t="s">
        <v>4082</v>
      </c>
      <c r="E941" s="93" t="s">
        <v>4083</v>
      </c>
      <c r="F941"/>
      <c r="G941" s="17" t="s">
        <v>1</v>
      </c>
      <c r="H941" s="132">
        <v>46179</v>
      </c>
      <c r="I941" s="127" t="s">
        <v>4084</v>
      </c>
      <c r="J941"/>
      <c r="K941"/>
      <c r="L941"/>
    </row>
    <row r="942" spans="1:12">
      <c r="A942" s="94" t="s">
        <v>644</v>
      </c>
      <c r="B942" t="s">
        <v>3703</v>
      </c>
      <c r="C942" s="92"/>
      <c r="D942" s="17" t="s">
        <v>4085</v>
      </c>
      <c r="E942" s="93" t="s">
        <v>4086</v>
      </c>
      <c r="F942"/>
      <c r="G942" s="17" t="s">
        <v>1</v>
      </c>
      <c r="H942" s="132">
        <v>46179</v>
      </c>
      <c r="I942" s="127" t="s">
        <v>3813</v>
      </c>
      <c r="J942"/>
      <c r="K942"/>
      <c r="L942"/>
    </row>
    <row r="943" spans="1:12">
      <c r="A943" s="94" t="s">
        <v>644</v>
      </c>
      <c r="B943" t="s">
        <v>3703</v>
      </c>
      <c r="C943" s="92"/>
      <c r="D943" s="17" t="s">
        <v>4087</v>
      </c>
      <c r="E943" s="93" t="s">
        <v>4088</v>
      </c>
      <c r="F943"/>
      <c r="G943" s="17" t="s">
        <v>1</v>
      </c>
      <c r="H943" s="132">
        <v>46179</v>
      </c>
      <c r="I943" s="127" t="s">
        <v>4089</v>
      </c>
      <c r="J943"/>
      <c r="K943"/>
      <c r="L943"/>
    </row>
    <row r="944" spans="1:12">
      <c r="A944" s="94" t="s">
        <v>644</v>
      </c>
      <c r="B944" t="s">
        <v>3703</v>
      </c>
      <c r="C944" s="92"/>
      <c r="D944" s="17" t="s">
        <v>4090</v>
      </c>
      <c r="E944" s="93" t="s">
        <v>4091</v>
      </c>
      <c r="F944"/>
      <c r="G944" s="17" t="s">
        <v>3</v>
      </c>
      <c r="H944" s="132">
        <v>46179</v>
      </c>
      <c r="I944" s="127" t="s">
        <v>4092</v>
      </c>
      <c r="J944"/>
      <c r="K944"/>
      <c r="L944"/>
    </row>
    <row r="945" spans="1:12">
      <c r="A945" s="94" t="s">
        <v>644</v>
      </c>
      <c r="B945" t="s">
        <v>3703</v>
      </c>
      <c r="C945" s="92"/>
      <c r="D945" s="17" t="s">
        <v>4093</v>
      </c>
      <c r="E945" s="93" t="s">
        <v>4094</v>
      </c>
      <c r="F945"/>
      <c r="G945" s="17" t="s">
        <v>2</v>
      </c>
      <c r="H945" s="132"/>
      <c r="J945"/>
      <c r="K945"/>
      <c r="L945" t="s">
        <v>4095</v>
      </c>
    </row>
    <row r="946" spans="1:12">
      <c r="A946" s="94" t="s">
        <v>644</v>
      </c>
      <c r="B946" t="s">
        <v>3703</v>
      </c>
      <c r="C946" s="92"/>
      <c r="D946" s="17" t="s">
        <v>4096</v>
      </c>
      <c r="E946" s="93" t="s">
        <v>4097</v>
      </c>
      <c r="F946"/>
      <c r="G946" s="17" t="s">
        <v>2</v>
      </c>
      <c r="H946" s="132">
        <v>46179</v>
      </c>
      <c r="I946" s="127" t="s">
        <v>4098</v>
      </c>
      <c r="J946"/>
      <c r="K946"/>
      <c r="L946"/>
    </row>
    <row r="947" spans="1:12">
      <c r="A947" s="94" t="s">
        <v>644</v>
      </c>
      <c r="B947" t="s">
        <v>3703</v>
      </c>
      <c r="C947" s="92"/>
      <c r="D947" s="17" t="s">
        <v>4099</v>
      </c>
      <c r="E947" s="93" t="s">
        <v>4100</v>
      </c>
      <c r="F947"/>
      <c r="G947" s="17" t="s">
        <v>1</v>
      </c>
      <c r="H947" s="132">
        <v>46179</v>
      </c>
      <c r="I947" s="127" t="s">
        <v>4101</v>
      </c>
      <c r="J947"/>
      <c r="K947"/>
      <c r="L947"/>
    </row>
    <row r="948" spans="1:12">
      <c r="A948" s="94" t="s">
        <v>644</v>
      </c>
      <c r="B948" t="s">
        <v>3703</v>
      </c>
      <c r="C948" s="92"/>
      <c r="D948" s="17" t="s">
        <v>4102</v>
      </c>
      <c r="E948" s="93" t="s">
        <v>4103</v>
      </c>
      <c r="F948"/>
      <c r="G948" s="17" t="s">
        <v>1</v>
      </c>
      <c r="H948" s="132">
        <v>46179</v>
      </c>
      <c r="I948" s="127" t="s">
        <v>4104</v>
      </c>
      <c r="J948" s="22">
        <v>46179</v>
      </c>
      <c r="K948" t="s">
        <v>4105</v>
      </c>
      <c r="L948"/>
    </row>
    <row r="949" spans="1:12">
      <c r="A949" s="94" t="s">
        <v>644</v>
      </c>
      <c r="B949" t="s">
        <v>3703</v>
      </c>
      <c r="C949" s="92"/>
      <c r="D949" s="17" t="s">
        <v>4106</v>
      </c>
      <c r="E949" s="93" t="s">
        <v>4107</v>
      </c>
      <c r="F949"/>
      <c r="G949" s="17" t="s">
        <v>6</v>
      </c>
      <c r="H949" s="132">
        <v>46179</v>
      </c>
      <c r="I949" s="127">
        <v>0.44374999999999998</v>
      </c>
      <c r="J949" s="22">
        <v>46179</v>
      </c>
      <c r="K949"/>
      <c r="L949"/>
    </row>
    <row r="950" spans="1:12">
      <c r="A950" s="94" t="s">
        <v>644</v>
      </c>
      <c r="B950" t="s">
        <v>3703</v>
      </c>
      <c r="C950" s="92"/>
      <c r="D950" s="17" t="s">
        <v>4108</v>
      </c>
      <c r="E950" s="93" t="s">
        <v>4109</v>
      </c>
      <c r="F950"/>
      <c r="G950" s="17" t="s">
        <v>1</v>
      </c>
      <c r="H950" s="132">
        <v>46544</v>
      </c>
      <c r="I950" s="127" t="s">
        <v>3816</v>
      </c>
      <c r="J950"/>
      <c r="K950"/>
      <c r="L950"/>
    </row>
    <row r="951" spans="1:12">
      <c r="A951" s="95" t="s">
        <v>644</v>
      </c>
      <c r="B951" t="s">
        <v>3703</v>
      </c>
      <c r="C951" s="87" t="s">
        <v>732</v>
      </c>
      <c r="D951" s="88"/>
      <c r="E951" s="89">
        <v>67492105</v>
      </c>
      <c r="F951"/>
      <c r="G951" s="17" t="s">
        <v>3</v>
      </c>
      <c r="H951" s="132">
        <v>46116</v>
      </c>
      <c r="I951" s="127" t="s">
        <v>4110</v>
      </c>
      <c r="J951"/>
      <c r="K951"/>
      <c r="L951"/>
    </row>
    <row r="952" spans="1:12">
      <c r="A952" s="95" t="s">
        <v>734</v>
      </c>
      <c r="B952" t="s">
        <v>4111</v>
      </c>
      <c r="C952" s="87" t="s">
        <v>735</v>
      </c>
      <c r="D952" s="88"/>
      <c r="E952" s="89">
        <v>65866883</v>
      </c>
      <c r="F952"/>
      <c r="G952" s="17" t="s">
        <v>1</v>
      </c>
      <c r="H952" s="132">
        <v>46085</v>
      </c>
      <c r="I952" s="127" t="s">
        <v>4112</v>
      </c>
      <c r="J952"/>
      <c r="K952"/>
      <c r="L952"/>
    </row>
    <row r="953" spans="1:12">
      <c r="A953" s="95" t="s">
        <v>734</v>
      </c>
      <c r="B953" t="s">
        <v>4111</v>
      </c>
      <c r="C953" s="87" t="s">
        <v>736</v>
      </c>
      <c r="D953" s="88"/>
      <c r="E953" s="89">
        <v>68692720</v>
      </c>
      <c r="F953"/>
      <c r="G953" s="17" t="s">
        <v>2</v>
      </c>
      <c r="H953" s="132">
        <v>46085</v>
      </c>
      <c r="I953" s="127" t="s">
        <v>4113</v>
      </c>
      <c r="J953"/>
      <c r="K953"/>
      <c r="L953"/>
    </row>
    <row r="954" spans="1:12">
      <c r="A954" s="95" t="s">
        <v>734</v>
      </c>
      <c r="B954" t="s">
        <v>4111</v>
      </c>
      <c r="C954" s="87" t="s">
        <v>737</v>
      </c>
      <c r="D954" s="88"/>
      <c r="E954" s="89">
        <v>68082876</v>
      </c>
      <c r="F954"/>
      <c r="G954" s="17" t="s">
        <v>4</v>
      </c>
      <c r="H954" s="132">
        <v>46085</v>
      </c>
      <c r="I954" s="127" t="s">
        <v>3425</v>
      </c>
      <c r="J954"/>
      <c r="K954"/>
      <c r="L954"/>
    </row>
    <row r="955" spans="1:12">
      <c r="A955" s="95" t="s">
        <v>734</v>
      </c>
      <c r="B955" t="s">
        <v>4111</v>
      </c>
      <c r="C955" s="87" t="s">
        <v>738</v>
      </c>
      <c r="D955" s="88"/>
      <c r="E955" s="89">
        <v>67865852</v>
      </c>
      <c r="F955"/>
      <c r="G955" s="17" t="s">
        <v>1</v>
      </c>
      <c r="H955" s="132" t="s">
        <v>4114</v>
      </c>
      <c r="I955" s="127" t="s">
        <v>4115</v>
      </c>
      <c r="J955"/>
      <c r="K955"/>
      <c r="L955"/>
    </row>
    <row r="956" spans="1:12">
      <c r="A956" s="95" t="s">
        <v>734</v>
      </c>
      <c r="B956" t="s">
        <v>4111</v>
      </c>
      <c r="C956" s="87" t="s">
        <v>739</v>
      </c>
      <c r="D956" s="88"/>
      <c r="E956" s="89">
        <v>66897433</v>
      </c>
      <c r="F956"/>
      <c r="G956" s="17" t="s">
        <v>1</v>
      </c>
      <c r="H956" s="132" t="s">
        <v>4116</v>
      </c>
      <c r="I956" s="127" t="s">
        <v>4117</v>
      </c>
      <c r="J956"/>
      <c r="K956"/>
      <c r="L956"/>
    </row>
    <row r="957" spans="1:12">
      <c r="A957" s="95" t="s">
        <v>734</v>
      </c>
      <c r="B957" t="s">
        <v>4111</v>
      </c>
      <c r="C957" s="87" t="s">
        <v>740</v>
      </c>
      <c r="D957" s="88"/>
      <c r="E957" s="89">
        <v>62463439</v>
      </c>
      <c r="F957"/>
      <c r="G957" s="17" t="s">
        <v>9</v>
      </c>
      <c r="H957" s="132" t="s">
        <v>4118</v>
      </c>
      <c r="I957" s="127" t="s">
        <v>4119</v>
      </c>
      <c r="J957"/>
      <c r="K957"/>
      <c r="L957"/>
    </row>
    <row r="958" spans="1:12">
      <c r="A958" s="95" t="s">
        <v>734</v>
      </c>
      <c r="B958" t="s">
        <v>4111</v>
      </c>
      <c r="C958" s="87" t="s">
        <v>741</v>
      </c>
      <c r="D958" s="88"/>
      <c r="E958" s="89">
        <v>66238354</v>
      </c>
      <c r="F958"/>
      <c r="G958" s="17" t="s">
        <v>6</v>
      </c>
      <c r="H958" s="132" t="s">
        <v>4120</v>
      </c>
      <c r="I958" s="127" t="s">
        <v>4121</v>
      </c>
      <c r="J958"/>
      <c r="K958"/>
      <c r="L958"/>
    </row>
    <row r="959" spans="1:12">
      <c r="A959" s="95" t="s">
        <v>734</v>
      </c>
      <c r="B959" t="s">
        <v>4111</v>
      </c>
      <c r="C959" s="87" t="s">
        <v>742</v>
      </c>
      <c r="D959" s="88"/>
      <c r="E959" s="89">
        <v>7754054</v>
      </c>
      <c r="F959"/>
      <c r="G959" s="17" t="s">
        <v>4</v>
      </c>
      <c r="H959" s="132" t="s">
        <v>4120</v>
      </c>
      <c r="I959" s="127" t="s">
        <v>4122</v>
      </c>
      <c r="J959"/>
      <c r="K959"/>
      <c r="L959" t="s">
        <v>4123</v>
      </c>
    </row>
    <row r="960" spans="1:12">
      <c r="A960" s="95" t="s">
        <v>734</v>
      </c>
      <c r="B960" t="s">
        <v>4111</v>
      </c>
      <c r="C960" s="87" t="s">
        <v>743</v>
      </c>
      <c r="D960" s="88"/>
      <c r="E960" s="89">
        <v>68027038</v>
      </c>
      <c r="F960"/>
      <c r="G960" s="17" t="s">
        <v>3</v>
      </c>
      <c r="H960" s="132" t="s">
        <v>4120</v>
      </c>
      <c r="I960" s="127" t="s">
        <v>4124</v>
      </c>
      <c r="J960"/>
      <c r="K960"/>
      <c r="L960"/>
    </row>
    <row r="961" spans="1:12">
      <c r="A961" s="95" t="s">
        <v>734</v>
      </c>
      <c r="B961" t="s">
        <v>4111</v>
      </c>
      <c r="C961" s="87" t="s">
        <v>744</v>
      </c>
      <c r="D961" s="88"/>
      <c r="E961" s="89">
        <v>66263807</v>
      </c>
      <c r="F961"/>
      <c r="G961" s="17" t="s">
        <v>1</v>
      </c>
      <c r="H961" s="132" t="s">
        <v>4120</v>
      </c>
      <c r="I961" s="127" t="s">
        <v>4125</v>
      </c>
      <c r="J961"/>
      <c r="K961"/>
      <c r="L961"/>
    </row>
    <row r="962" spans="1:12">
      <c r="A962" s="95" t="s">
        <v>734</v>
      </c>
      <c r="B962" t="s">
        <v>4126</v>
      </c>
      <c r="C962" s="87" t="s">
        <v>745</v>
      </c>
      <c r="D962" s="88"/>
      <c r="E962" s="89">
        <v>66965061</v>
      </c>
      <c r="F962"/>
      <c r="G962" s="17" t="s">
        <v>1</v>
      </c>
      <c r="H962" s="132" t="s">
        <v>4120</v>
      </c>
      <c r="I962" s="127" t="s">
        <v>4127</v>
      </c>
      <c r="J962"/>
      <c r="K962"/>
      <c r="L962"/>
    </row>
    <row r="963" spans="1:12">
      <c r="A963" s="95" t="s">
        <v>734</v>
      </c>
      <c r="B963" t="s">
        <v>4126</v>
      </c>
      <c r="C963" s="87" t="s">
        <v>746</v>
      </c>
      <c r="D963" s="88"/>
      <c r="E963" s="89">
        <v>65724030</v>
      </c>
      <c r="F963"/>
      <c r="G963" s="17" t="s">
        <v>3</v>
      </c>
      <c r="H963" s="132" t="s">
        <v>4120</v>
      </c>
      <c r="I963" s="127" t="s">
        <v>4128</v>
      </c>
      <c r="J963"/>
      <c r="K963"/>
      <c r="L963"/>
    </row>
    <row r="964" spans="1:12">
      <c r="A964" s="95" t="s">
        <v>734</v>
      </c>
      <c r="B964" t="s">
        <v>4126</v>
      </c>
      <c r="C964" s="87" t="s">
        <v>747</v>
      </c>
      <c r="D964" s="88"/>
      <c r="E964" s="89">
        <v>66611938</v>
      </c>
      <c r="F964"/>
      <c r="G964" s="17" t="s">
        <v>6</v>
      </c>
      <c r="H964" s="132" t="s">
        <v>4118</v>
      </c>
      <c r="I964" s="127" t="s">
        <v>4129</v>
      </c>
      <c r="J964"/>
      <c r="K964"/>
      <c r="L964"/>
    </row>
    <row r="965" spans="1:12">
      <c r="A965" s="95" t="s">
        <v>734</v>
      </c>
      <c r="B965" t="s">
        <v>4126</v>
      </c>
      <c r="C965" s="87" t="s">
        <v>748</v>
      </c>
      <c r="D965" s="88"/>
      <c r="E965" s="89">
        <v>66455589</v>
      </c>
      <c r="F965"/>
      <c r="G965" s="17" t="s">
        <v>1</v>
      </c>
      <c r="H965" s="132" t="s">
        <v>4120</v>
      </c>
      <c r="I965" s="127" t="s">
        <v>4130</v>
      </c>
      <c r="J965"/>
      <c r="K965"/>
      <c r="L965"/>
    </row>
    <row r="966" spans="1:12">
      <c r="A966" s="95" t="s">
        <v>734</v>
      </c>
      <c r="B966" t="s">
        <v>4126</v>
      </c>
      <c r="C966" s="87" t="s">
        <v>749</v>
      </c>
      <c r="D966" s="88"/>
      <c r="E966" s="89">
        <v>7205209</v>
      </c>
      <c r="F966"/>
      <c r="G966" s="17" t="s">
        <v>9</v>
      </c>
      <c r="H966" s="132" t="s">
        <v>4120</v>
      </c>
      <c r="I966" s="127" t="s">
        <v>4131</v>
      </c>
      <c r="J966"/>
      <c r="K966"/>
      <c r="L966"/>
    </row>
    <row r="967" spans="1:12">
      <c r="A967" s="95" t="s">
        <v>734</v>
      </c>
      <c r="B967" t="s">
        <v>4126</v>
      </c>
      <c r="C967" s="87" t="s">
        <v>750</v>
      </c>
      <c r="D967" s="88"/>
      <c r="E967" s="89">
        <v>63674636</v>
      </c>
      <c r="F967"/>
      <c r="G967" s="17" t="s">
        <v>2</v>
      </c>
      <c r="H967" s="132" t="s">
        <v>4118</v>
      </c>
      <c r="I967" s="127" t="s">
        <v>4132</v>
      </c>
      <c r="J967"/>
      <c r="K967"/>
      <c r="L967"/>
    </row>
    <row r="968" spans="1:12">
      <c r="A968" s="95" t="s">
        <v>734</v>
      </c>
      <c r="B968" t="s">
        <v>4126</v>
      </c>
      <c r="C968" s="87" t="s">
        <v>751</v>
      </c>
      <c r="D968" s="88"/>
      <c r="E968" s="89">
        <v>63102637</v>
      </c>
      <c r="F968"/>
      <c r="G968" s="17" t="s">
        <v>2</v>
      </c>
      <c r="H968" s="132" t="s">
        <v>4120</v>
      </c>
      <c r="I968" s="127" t="s">
        <v>4133</v>
      </c>
      <c r="J968"/>
      <c r="K968"/>
      <c r="L968"/>
    </row>
    <row r="969" spans="1:12">
      <c r="A969" s="95" t="s">
        <v>734</v>
      </c>
      <c r="B969" t="s">
        <v>4126</v>
      </c>
      <c r="C969" s="87" t="s">
        <v>752</v>
      </c>
      <c r="D969" s="88"/>
      <c r="E969" s="89">
        <v>69906861</v>
      </c>
      <c r="F969"/>
      <c r="G969" s="17" t="s">
        <v>2</v>
      </c>
      <c r="H969" s="132" t="s">
        <v>4120</v>
      </c>
      <c r="I969" s="127" t="s">
        <v>4134</v>
      </c>
      <c r="J969"/>
      <c r="K969"/>
      <c r="L969"/>
    </row>
    <row r="970" spans="1:12">
      <c r="A970" s="95" t="s">
        <v>734</v>
      </c>
      <c r="B970" t="s">
        <v>4126</v>
      </c>
      <c r="C970" s="87" t="s">
        <v>753</v>
      </c>
      <c r="D970" s="88"/>
      <c r="E970" s="89">
        <v>68101855</v>
      </c>
      <c r="F970"/>
      <c r="G970" s="17" t="s">
        <v>6</v>
      </c>
      <c r="H970" s="132" t="s">
        <v>4120</v>
      </c>
      <c r="I970" s="127" t="s">
        <v>4135</v>
      </c>
      <c r="J970"/>
      <c r="K970"/>
      <c r="L970"/>
    </row>
    <row r="971" spans="1:12">
      <c r="A971" s="95" t="s">
        <v>734</v>
      </c>
      <c r="B971" t="s">
        <v>4126</v>
      </c>
      <c r="C971" s="87" t="s">
        <v>754</v>
      </c>
      <c r="D971" s="88"/>
      <c r="E971" s="89">
        <v>63625910</v>
      </c>
      <c r="F971"/>
      <c r="G971" s="17" t="s">
        <v>6</v>
      </c>
      <c r="H971" s="132" t="s">
        <v>4120</v>
      </c>
      <c r="I971" s="127" t="s">
        <v>4136</v>
      </c>
      <c r="J971"/>
      <c r="K971"/>
      <c r="L971"/>
    </row>
    <row r="972" spans="1:12">
      <c r="A972" s="95" t="s">
        <v>734</v>
      </c>
      <c r="B972" t="s">
        <v>4126</v>
      </c>
      <c r="C972" s="87" t="s">
        <v>755</v>
      </c>
      <c r="D972" s="88"/>
      <c r="E972" s="89">
        <v>66728469</v>
      </c>
      <c r="F972"/>
      <c r="G972" s="17" t="s">
        <v>4</v>
      </c>
      <c r="H972" s="132" t="s">
        <v>4120</v>
      </c>
      <c r="I972" s="127" t="s">
        <v>4137</v>
      </c>
      <c r="J972"/>
      <c r="K972"/>
      <c r="L972" t="s">
        <v>4138</v>
      </c>
    </row>
    <row r="973" spans="1:12">
      <c r="A973" s="95" t="s">
        <v>734</v>
      </c>
      <c r="B973" t="s">
        <v>4126</v>
      </c>
      <c r="C973" s="87" t="s">
        <v>756</v>
      </c>
      <c r="D973" s="88"/>
      <c r="E973" s="89">
        <v>66979969</v>
      </c>
      <c r="F973"/>
      <c r="G973" s="17" t="s">
        <v>1</v>
      </c>
      <c r="H973" s="132" t="s">
        <v>4120</v>
      </c>
      <c r="I973" s="127" t="s">
        <v>4139</v>
      </c>
      <c r="J973"/>
      <c r="K973"/>
      <c r="L973"/>
    </row>
    <row r="974" spans="1:12">
      <c r="A974" s="95" t="s">
        <v>734</v>
      </c>
      <c r="B974" t="s">
        <v>4126</v>
      </c>
      <c r="C974" s="87" t="s">
        <v>757</v>
      </c>
      <c r="D974" s="88"/>
      <c r="E974" s="89">
        <v>7706554</v>
      </c>
      <c r="F974"/>
      <c r="G974" s="17" t="s">
        <v>9</v>
      </c>
      <c r="H974" s="132" t="s">
        <v>4120</v>
      </c>
      <c r="I974" s="127" t="s">
        <v>4140</v>
      </c>
      <c r="J974"/>
      <c r="K974"/>
      <c r="L974"/>
    </row>
    <row r="975" spans="1:12">
      <c r="A975" s="95" t="s">
        <v>734</v>
      </c>
      <c r="B975" t="s">
        <v>4126</v>
      </c>
      <c r="C975" s="87" t="s">
        <v>758</v>
      </c>
      <c r="D975" s="88"/>
      <c r="E975" s="89">
        <v>68958553</v>
      </c>
      <c r="F975"/>
      <c r="G975" s="17" t="s">
        <v>6</v>
      </c>
      <c r="H975" s="132" t="s">
        <v>4120</v>
      </c>
      <c r="I975" s="127" t="s">
        <v>4141</v>
      </c>
      <c r="J975"/>
      <c r="K975"/>
      <c r="L975"/>
    </row>
    <row r="976" spans="1:12">
      <c r="A976" s="95" t="s">
        <v>734</v>
      </c>
      <c r="B976" t="s">
        <v>4126</v>
      </c>
      <c r="C976" s="87" t="s">
        <v>759</v>
      </c>
      <c r="D976" s="88"/>
      <c r="E976" s="89">
        <v>64805150</v>
      </c>
      <c r="F976"/>
      <c r="G976" s="17" t="s">
        <v>2</v>
      </c>
      <c r="H976" s="132" t="s">
        <v>4120</v>
      </c>
      <c r="I976" s="127" t="s">
        <v>4142</v>
      </c>
      <c r="J976"/>
      <c r="K976"/>
      <c r="L976"/>
    </row>
    <row r="977" spans="1:12">
      <c r="A977" s="95" t="s">
        <v>734</v>
      </c>
      <c r="B977" t="s">
        <v>4126</v>
      </c>
      <c r="C977" s="87" t="s">
        <v>760</v>
      </c>
      <c r="D977" s="88"/>
      <c r="E977" s="89">
        <v>7757103</v>
      </c>
      <c r="F977"/>
      <c r="G977" s="17" t="s">
        <v>4</v>
      </c>
      <c r="H977" s="132" t="s">
        <v>4120</v>
      </c>
      <c r="I977" s="127" t="s">
        <v>4143</v>
      </c>
      <c r="J977"/>
      <c r="K977"/>
      <c r="L977" t="s">
        <v>4144</v>
      </c>
    </row>
    <row r="978" spans="1:12">
      <c r="A978" s="95" t="s">
        <v>734</v>
      </c>
      <c r="B978" t="s">
        <v>4126</v>
      </c>
      <c r="C978" s="87" t="s">
        <v>761</v>
      </c>
      <c r="D978" s="88"/>
      <c r="E978" s="89">
        <v>62402704</v>
      </c>
      <c r="F978"/>
      <c r="G978" s="17" t="s">
        <v>1</v>
      </c>
      <c r="H978" s="132" t="s">
        <v>4120</v>
      </c>
      <c r="I978" s="127" t="s">
        <v>4145</v>
      </c>
      <c r="J978"/>
      <c r="K978"/>
      <c r="L978"/>
    </row>
    <row r="979" spans="1:12">
      <c r="A979" s="95" t="s">
        <v>734</v>
      </c>
      <c r="B979" t="s">
        <v>4126</v>
      </c>
      <c r="C979" s="87" t="s">
        <v>762</v>
      </c>
      <c r="D979" s="88"/>
      <c r="E979" s="89">
        <v>65633664</v>
      </c>
      <c r="F979"/>
      <c r="G979" s="17" t="s">
        <v>6</v>
      </c>
      <c r="H979" s="132" t="s">
        <v>4120</v>
      </c>
      <c r="I979" s="127" t="s">
        <v>4146</v>
      </c>
      <c r="J979"/>
      <c r="K979"/>
      <c r="L979"/>
    </row>
    <row r="980" spans="1:12">
      <c r="A980" s="95" t="s">
        <v>734</v>
      </c>
      <c r="B980" t="s">
        <v>4126</v>
      </c>
      <c r="C980" s="87" t="s">
        <v>763</v>
      </c>
      <c r="D980" s="88"/>
      <c r="E980" s="89">
        <v>7758914</v>
      </c>
      <c r="F980"/>
      <c r="G980" s="17" t="s">
        <v>1</v>
      </c>
      <c r="H980" s="132" t="s">
        <v>4147</v>
      </c>
      <c r="J980"/>
      <c r="K980"/>
      <c r="L980"/>
    </row>
    <row r="981" spans="1:12">
      <c r="A981" s="95" t="s">
        <v>734</v>
      </c>
      <c r="B981" t="s">
        <v>4126</v>
      </c>
      <c r="C981" s="87" t="s">
        <v>764</v>
      </c>
      <c r="D981" s="88"/>
      <c r="E981" s="89">
        <v>69865868</v>
      </c>
      <c r="F981"/>
      <c r="G981" s="17" t="s">
        <v>1</v>
      </c>
      <c r="H981" s="132" t="s">
        <v>4120</v>
      </c>
      <c r="I981" s="127" t="s">
        <v>4148</v>
      </c>
      <c r="J981"/>
      <c r="K981"/>
      <c r="L981"/>
    </row>
    <row r="982" spans="1:12">
      <c r="A982" s="95" t="s">
        <v>734</v>
      </c>
      <c r="B982" t="s">
        <v>4126</v>
      </c>
      <c r="C982" s="87" t="s">
        <v>765</v>
      </c>
      <c r="D982" s="88"/>
      <c r="E982" s="89">
        <v>65162583</v>
      </c>
      <c r="F982"/>
      <c r="G982" s="17" t="s">
        <v>2</v>
      </c>
      <c r="H982" s="132" t="s">
        <v>4120</v>
      </c>
      <c r="I982" s="127" t="s">
        <v>4149</v>
      </c>
      <c r="J982"/>
      <c r="K982"/>
      <c r="L982"/>
    </row>
    <row r="983" spans="1:12">
      <c r="A983" s="95" t="s">
        <v>734</v>
      </c>
      <c r="B983" t="s">
        <v>4126</v>
      </c>
      <c r="C983" s="87" t="s">
        <v>766</v>
      </c>
      <c r="D983" s="88"/>
      <c r="E983" s="89">
        <v>64439333</v>
      </c>
      <c r="F983"/>
      <c r="G983" s="17" t="s">
        <v>1</v>
      </c>
      <c r="H983" s="132" t="s">
        <v>4120</v>
      </c>
      <c r="I983" s="127" t="s">
        <v>4150</v>
      </c>
      <c r="J983"/>
      <c r="K983"/>
      <c r="L983"/>
    </row>
    <row r="984" spans="1:12">
      <c r="A984" s="95" t="s">
        <v>734</v>
      </c>
      <c r="B984" t="s">
        <v>4126</v>
      </c>
      <c r="C984" s="87" t="s">
        <v>767</v>
      </c>
      <c r="D984" s="88"/>
      <c r="E984" s="89">
        <v>7742387</v>
      </c>
      <c r="F984"/>
      <c r="G984" s="17" t="s">
        <v>1</v>
      </c>
      <c r="H984" s="132" t="s">
        <v>4120</v>
      </c>
      <c r="I984" s="127" t="s">
        <v>4151</v>
      </c>
      <c r="J984"/>
      <c r="K984"/>
      <c r="L984"/>
    </row>
    <row r="985" spans="1:12">
      <c r="A985" s="95" t="s">
        <v>734</v>
      </c>
      <c r="B985" t="s">
        <v>4126</v>
      </c>
      <c r="C985" s="87" t="s">
        <v>768</v>
      </c>
      <c r="D985" s="88"/>
      <c r="E985" s="89">
        <v>69760567</v>
      </c>
      <c r="F985"/>
      <c r="G985" s="17" t="s">
        <v>2</v>
      </c>
      <c r="H985" s="132" t="s">
        <v>4120</v>
      </c>
      <c r="I985" s="127" t="s">
        <v>4152</v>
      </c>
      <c r="J985"/>
      <c r="K985"/>
      <c r="L985"/>
    </row>
    <row r="986" spans="1:12">
      <c r="A986" s="95" t="s">
        <v>734</v>
      </c>
      <c r="B986" t="s">
        <v>4126</v>
      </c>
      <c r="C986" s="87" t="s">
        <v>769</v>
      </c>
      <c r="D986" s="88"/>
      <c r="E986" s="89">
        <v>66397000</v>
      </c>
      <c r="F986"/>
      <c r="G986" s="17" t="s">
        <v>1</v>
      </c>
      <c r="H986" s="132" t="s">
        <v>4120</v>
      </c>
      <c r="I986" s="127" t="s">
        <v>4153</v>
      </c>
      <c r="J986"/>
      <c r="K986"/>
      <c r="L986"/>
    </row>
    <row r="987" spans="1:12">
      <c r="A987" s="95" t="s">
        <v>734</v>
      </c>
      <c r="B987" t="s">
        <v>4126</v>
      </c>
      <c r="C987" s="87" t="s">
        <v>770</v>
      </c>
      <c r="D987" s="88"/>
      <c r="E987" s="89">
        <v>65360469</v>
      </c>
      <c r="F987"/>
      <c r="G987" s="17" t="s">
        <v>1</v>
      </c>
      <c r="H987" s="132" t="s">
        <v>4120</v>
      </c>
      <c r="I987" s="127" t="s">
        <v>4154</v>
      </c>
      <c r="J987"/>
      <c r="K987"/>
      <c r="L987"/>
    </row>
    <row r="988" spans="1:12">
      <c r="A988" s="95" t="s">
        <v>734</v>
      </c>
      <c r="B988" t="s">
        <v>4126</v>
      </c>
      <c r="C988" s="87" t="s">
        <v>771</v>
      </c>
      <c r="D988" s="88"/>
      <c r="E988" s="89">
        <v>69699846</v>
      </c>
      <c r="F988"/>
      <c r="G988" s="17" t="s">
        <v>4</v>
      </c>
      <c r="H988" s="132" t="s">
        <v>4120</v>
      </c>
      <c r="I988" s="127" t="s">
        <v>4155</v>
      </c>
      <c r="J988"/>
      <c r="K988"/>
      <c r="L988" t="s">
        <v>4156</v>
      </c>
    </row>
    <row r="989" spans="1:12">
      <c r="A989" s="95" t="s">
        <v>734</v>
      </c>
      <c r="B989" t="s">
        <v>4126</v>
      </c>
      <c r="C989" s="87" t="s">
        <v>772</v>
      </c>
      <c r="D989" s="88"/>
      <c r="E989" s="89">
        <v>65847356</v>
      </c>
      <c r="F989"/>
      <c r="G989" s="17" t="s">
        <v>1</v>
      </c>
      <c r="H989" s="132" t="s">
        <v>4120</v>
      </c>
      <c r="I989" s="127" t="s">
        <v>4157</v>
      </c>
      <c r="J989"/>
      <c r="K989"/>
      <c r="L989"/>
    </row>
    <row r="990" spans="1:12">
      <c r="A990" s="95" t="s">
        <v>734</v>
      </c>
      <c r="B990" t="s">
        <v>4126</v>
      </c>
      <c r="C990" s="87" t="s">
        <v>773</v>
      </c>
      <c r="D990" s="88"/>
      <c r="E990" s="89">
        <v>65714796</v>
      </c>
      <c r="F990"/>
      <c r="G990" s="17" t="s">
        <v>1</v>
      </c>
      <c r="H990" s="132" t="s">
        <v>4118</v>
      </c>
      <c r="I990" s="127" t="s">
        <v>4158</v>
      </c>
      <c r="J990"/>
      <c r="K990"/>
      <c r="L990"/>
    </row>
    <row r="991" spans="1:12">
      <c r="A991" s="95" t="s">
        <v>734</v>
      </c>
      <c r="B991" t="s">
        <v>4126</v>
      </c>
      <c r="C991" s="87" t="s">
        <v>774</v>
      </c>
      <c r="D991" s="88"/>
      <c r="E991" s="89">
        <v>65866498</v>
      </c>
      <c r="F991"/>
      <c r="G991" s="17" t="s">
        <v>1</v>
      </c>
      <c r="H991" s="132" t="s">
        <v>4159</v>
      </c>
      <c r="I991" s="127" t="s">
        <v>4160</v>
      </c>
      <c r="J991"/>
      <c r="K991"/>
      <c r="L991"/>
    </row>
    <row r="992" spans="1:12">
      <c r="A992" s="95" t="s">
        <v>734</v>
      </c>
      <c r="B992" t="s">
        <v>4126</v>
      </c>
      <c r="C992" s="87" t="s">
        <v>775</v>
      </c>
      <c r="D992" s="88"/>
      <c r="E992" s="89">
        <v>63877762</v>
      </c>
      <c r="F992"/>
      <c r="G992" s="17" t="s">
        <v>6</v>
      </c>
      <c r="H992" s="132" t="s">
        <v>4120</v>
      </c>
      <c r="I992" s="127" t="s">
        <v>4161</v>
      </c>
      <c r="J992"/>
      <c r="K992"/>
      <c r="L992"/>
    </row>
    <row r="993" spans="1:12">
      <c r="A993" s="95" t="s">
        <v>734</v>
      </c>
      <c r="B993" t="s">
        <v>4126</v>
      </c>
      <c r="C993" s="87" t="s">
        <v>776</v>
      </c>
      <c r="D993" s="88"/>
      <c r="E993" s="89">
        <v>64605152</v>
      </c>
      <c r="F993"/>
      <c r="G993" s="17" t="s">
        <v>1</v>
      </c>
      <c r="H993" s="132" t="s">
        <v>4120</v>
      </c>
      <c r="I993" s="127" t="s">
        <v>4162</v>
      </c>
      <c r="J993"/>
      <c r="K993"/>
      <c r="L993"/>
    </row>
    <row r="994" spans="1:12">
      <c r="A994" s="95" t="s">
        <v>734</v>
      </c>
      <c r="B994" t="s">
        <v>4126</v>
      </c>
      <c r="C994" s="87" t="s">
        <v>777</v>
      </c>
      <c r="D994" s="88"/>
      <c r="E994" s="89">
        <v>64479741</v>
      </c>
      <c r="F994"/>
      <c r="G994" s="17" t="s">
        <v>1</v>
      </c>
      <c r="H994" s="132" t="s">
        <v>4120</v>
      </c>
      <c r="I994" s="127" t="s">
        <v>4163</v>
      </c>
      <c r="J994"/>
      <c r="K994"/>
      <c r="L994"/>
    </row>
    <row r="995" spans="1:12">
      <c r="A995" s="95" t="s">
        <v>734</v>
      </c>
      <c r="B995" t="s">
        <v>4126</v>
      </c>
      <c r="C995" s="87" t="s">
        <v>778</v>
      </c>
      <c r="D995" s="88"/>
      <c r="E995" s="89">
        <v>66951313</v>
      </c>
      <c r="F995"/>
      <c r="G995" s="17" t="s">
        <v>9</v>
      </c>
      <c r="H995" s="132" t="s">
        <v>4120</v>
      </c>
      <c r="I995" s="127" t="s">
        <v>4164</v>
      </c>
      <c r="J995"/>
      <c r="K995"/>
      <c r="L995"/>
    </row>
    <row r="996" spans="1:12">
      <c r="A996" s="95" t="s">
        <v>734</v>
      </c>
      <c r="B996" t="s">
        <v>4126</v>
      </c>
      <c r="C996" s="87" t="s">
        <v>779</v>
      </c>
      <c r="D996" s="88"/>
      <c r="E996" s="89">
        <v>64969871</v>
      </c>
      <c r="F996"/>
      <c r="G996" s="17" t="s">
        <v>9</v>
      </c>
      <c r="H996" s="132" t="s">
        <v>4120</v>
      </c>
      <c r="I996" s="127" t="s">
        <v>4165</v>
      </c>
      <c r="J996"/>
      <c r="K996"/>
      <c r="L996"/>
    </row>
    <row r="997" spans="1:12">
      <c r="A997" s="95" t="s">
        <v>734</v>
      </c>
      <c r="B997" t="s">
        <v>4166</v>
      </c>
      <c r="C997" s="87" t="s">
        <v>780</v>
      </c>
      <c r="D997" s="88"/>
      <c r="E997" s="89">
        <v>68449331</v>
      </c>
      <c r="F997"/>
      <c r="G997" s="17" t="s">
        <v>3</v>
      </c>
      <c r="H997" s="132">
        <v>46086</v>
      </c>
      <c r="I997" s="127" t="s">
        <v>4167</v>
      </c>
      <c r="J997"/>
      <c r="K997"/>
      <c r="L997"/>
    </row>
    <row r="998" spans="1:12">
      <c r="A998" s="95" t="s">
        <v>734</v>
      </c>
      <c r="B998" t="s">
        <v>4166</v>
      </c>
      <c r="C998" s="87" t="s">
        <v>781</v>
      </c>
      <c r="D998" s="88"/>
      <c r="E998" s="89">
        <v>65069952</v>
      </c>
      <c r="F998"/>
      <c r="G998" s="17" t="s">
        <v>1</v>
      </c>
      <c r="H998" s="132">
        <v>46086</v>
      </c>
      <c r="I998" s="127" t="s">
        <v>4168</v>
      </c>
      <c r="J998"/>
      <c r="K998"/>
      <c r="L998"/>
    </row>
    <row r="999" spans="1:12">
      <c r="A999" s="95" t="s">
        <v>734</v>
      </c>
      <c r="B999" t="s">
        <v>4166</v>
      </c>
      <c r="C999" s="87" t="s">
        <v>782</v>
      </c>
      <c r="D999" s="88"/>
      <c r="E999" s="89">
        <v>66260054</v>
      </c>
      <c r="F999"/>
      <c r="G999" s="17" t="s">
        <v>2</v>
      </c>
      <c r="H999" s="132">
        <v>46086</v>
      </c>
      <c r="I999" s="127" t="s">
        <v>4169</v>
      </c>
      <c r="J999" s="22">
        <v>46087</v>
      </c>
      <c r="K999" t="s">
        <v>4170</v>
      </c>
      <c r="L999"/>
    </row>
    <row r="1000" spans="1:12">
      <c r="A1000" s="95" t="s">
        <v>734</v>
      </c>
      <c r="B1000" t="s">
        <v>4166</v>
      </c>
      <c r="C1000" s="87" t="s">
        <v>783</v>
      </c>
      <c r="D1000" s="88"/>
      <c r="E1000" s="89">
        <v>68123202</v>
      </c>
      <c r="F1000"/>
      <c r="G1000" s="17" t="s">
        <v>3</v>
      </c>
      <c r="H1000" s="132">
        <v>46086</v>
      </c>
      <c r="I1000" s="127" t="s">
        <v>4171</v>
      </c>
      <c r="J1000" s="22">
        <v>46087</v>
      </c>
      <c r="K1000" t="s">
        <v>4172</v>
      </c>
      <c r="L1000"/>
    </row>
    <row r="1001" spans="1:12">
      <c r="A1001" s="95" t="s">
        <v>734</v>
      </c>
      <c r="B1001" t="s">
        <v>4166</v>
      </c>
      <c r="C1001" s="87" t="s">
        <v>784</v>
      </c>
      <c r="D1001" s="88"/>
      <c r="E1001" s="89">
        <v>67495272</v>
      </c>
      <c r="F1001"/>
      <c r="G1001" s="17" t="s">
        <v>6</v>
      </c>
      <c r="H1001" s="132">
        <v>46086</v>
      </c>
      <c r="I1001" s="127" t="s">
        <v>4173</v>
      </c>
      <c r="J1001" s="22">
        <v>46087</v>
      </c>
      <c r="K1001" t="s">
        <v>4174</v>
      </c>
      <c r="L1001"/>
    </row>
    <row r="1002" spans="1:12">
      <c r="A1002" s="95" t="s">
        <v>734</v>
      </c>
      <c r="B1002" t="s">
        <v>4166</v>
      </c>
      <c r="C1002" s="87" t="s">
        <v>785</v>
      </c>
      <c r="D1002" s="88"/>
      <c r="E1002" s="89">
        <v>7756267</v>
      </c>
      <c r="F1002"/>
      <c r="G1002" s="17" t="s">
        <v>6</v>
      </c>
      <c r="H1002" s="132">
        <v>46086</v>
      </c>
      <c r="I1002" s="127" t="s">
        <v>4175</v>
      </c>
      <c r="J1002" s="22">
        <v>46087</v>
      </c>
      <c r="K1002" t="s">
        <v>4176</v>
      </c>
      <c r="L1002"/>
    </row>
    <row r="1003" spans="1:12">
      <c r="A1003" s="95" t="s">
        <v>734</v>
      </c>
      <c r="B1003" t="s">
        <v>4177</v>
      </c>
      <c r="C1003" s="87" t="s">
        <v>786</v>
      </c>
      <c r="D1003" s="88"/>
      <c r="E1003" s="89">
        <v>62885993</v>
      </c>
      <c r="F1003"/>
      <c r="G1003" s="17" t="s">
        <v>3</v>
      </c>
      <c r="H1003" s="132">
        <v>46086</v>
      </c>
      <c r="I1003" s="127" t="s">
        <v>4178</v>
      </c>
      <c r="J1003"/>
      <c r="K1003"/>
      <c r="L1003"/>
    </row>
    <row r="1004" spans="1:12">
      <c r="A1004" s="95" t="s">
        <v>734</v>
      </c>
      <c r="B1004" t="s">
        <v>4166</v>
      </c>
      <c r="C1004" s="87" t="s">
        <v>787</v>
      </c>
      <c r="D1004" s="88"/>
      <c r="E1004" s="89">
        <v>65134274</v>
      </c>
      <c r="F1004"/>
      <c r="G1004" s="17" t="s">
        <v>2</v>
      </c>
      <c r="H1004" s="132">
        <v>46086</v>
      </c>
      <c r="I1004" s="127" t="s">
        <v>4179</v>
      </c>
      <c r="J1004" s="22">
        <v>46087</v>
      </c>
      <c r="K1004" t="s">
        <v>4180</v>
      </c>
      <c r="L1004"/>
    </row>
    <row r="1005" spans="1:12">
      <c r="A1005" s="95" t="s">
        <v>734</v>
      </c>
      <c r="B1005" t="s">
        <v>4166</v>
      </c>
      <c r="C1005" s="87" t="s">
        <v>788</v>
      </c>
      <c r="D1005" s="88"/>
      <c r="E1005" s="89">
        <v>66672598</v>
      </c>
      <c r="F1005"/>
      <c r="G1005" s="17" t="s">
        <v>1</v>
      </c>
      <c r="H1005" s="132">
        <v>46086</v>
      </c>
      <c r="I1005" s="127" t="s">
        <v>4181</v>
      </c>
      <c r="J1005" s="22">
        <v>46087</v>
      </c>
      <c r="K1005" t="s">
        <v>4182</v>
      </c>
      <c r="L1005"/>
    </row>
    <row r="1006" spans="1:12">
      <c r="A1006" s="95" t="s">
        <v>734</v>
      </c>
      <c r="B1006" t="s">
        <v>4166</v>
      </c>
      <c r="C1006" s="87" t="s">
        <v>789</v>
      </c>
      <c r="D1006" s="88"/>
      <c r="E1006" s="89">
        <v>66428307</v>
      </c>
      <c r="F1006"/>
      <c r="G1006" s="17" t="s">
        <v>1</v>
      </c>
      <c r="H1006" s="132">
        <v>46086</v>
      </c>
      <c r="I1006" s="127" t="s">
        <v>4183</v>
      </c>
      <c r="J1006"/>
      <c r="K1006"/>
      <c r="L1006"/>
    </row>
    <row r="1007" spans="1:12">
      <c r="A1007" s="95" t="s">
        <v>734</v>
      </c>
      <c r="B1007" t="s">
        <v>4166</v>
      </c>
      <c r="C1007" s="87" t="s">
        <v>790</v>
      </c>
      <c r="D1007" s="88"/>
      <c r="E1007" s="89">
        <v>67649388</v>
      </c>
      <c r="F1007"/>
      <c r="G1007" s="17" t="s">
        <v>1</v>
      </c>
      <c r="H1007" s="132">
        <v>46086</v>
      </c>
      <c r="I1007" s="127" t="s">
        <v>4184</v>
      </c>
      <c r="J1007"/>
      <c r="K1007"/>
      <c r="L1007"/>
    </row>
    <row r="1008" spans="1:12">
      <c r="A1008" s="95" t="s">
        <v>734</v>
      </c>
      <c r="B1008" t="s">
        <v>4166</v>
      </c>
      <c r="C1008" s="87" t="s">
        <v>791</v>
      </c>
      <c r="D1008" s="88"/>
      <c r="E1008" s="89">
        <v>7202809</v>
      </c>
      <c r="F1008"/>
      <c r="G1008" s="17" t="s">
        <v>9</v>
      </c>
      <c r="H1008" s="132">
        <v>46086</v>
      </c>
      <c r="I1008" s="127" t="s">
        <v>4185</v>
      </c>
      <c r="J1008"/>
      <c r="K1008"/>
      <c r="L1008"/>
    </row>
    <row r="1009" spans="1:12">
      <c r="A1009" s="95" t="s">
        <v>734</v>
      </c>
      <c r="B1009" t="s">
        <v>4166</v>
      </c>
      <c r="C1009" s="87" t="s">
        <v>792</v>
      </c>
      <c r="D1009" s="88"/>
      <c r="E1009" s="89">
        <v>67235596</v>
      </c>
      <c r="F1009"/>
      <c r="G1009" s="17" t="s">
        <v>1</v>
      </c>
      <c r="H1009" s="132">
        <v>46086</v>
      </c>
      <c r="I1009" s="127" t="s">
        <v>4186</v>
      </c>
      <c r="J1009"/>
      <c r="K1009"/>
      <c r="L1009"/>
    </row>
    <row r="1010" spans="1:12">
      <c r="A1010" s="95" t="s">
        <v>734</v>
      </c>
      <c r="B1010" t="s">
        <v>4166</v>
      </c>
      <c r="C1010" s="87" t="s">
        <v>793</v>
      </c>
      <c r="D1010" s="88"/>
      <c r="E1010" s="89">
        <v>62920623</v>
      </c>
      <c r="F1010"/>
      <c r="G1010" s="17" t="s">
        <v>9</v>
      </c>
      <c r="H1010" s="132">
        <v>46086</v>
      </c>
      <c r="I1010" s="127" t="s">
        <v>4187</v>
      </c>
      <c r="J1010"/>
      <c r="K1010"/>
      <c r="L1010"/>
    </row>
    <row r="1011" spans="1:12">
      <c r="A1011" s="95" t="s">
        <v>734</v>
      </c>
      <c r="B1011" t="s">
        <v>4166</v>
      </c>
      <c r="C1011" s="87" t="s">
        <v>794</v>
      </c>
      <c r="D1011" s="88"/>
      <c r="E1011" s="89">
        <v>65408541</v>
      </c>
      <c r="F1011"/>
      <c r="G1011" s="17" t="s">
        <v>2</v>
      </c>
      <c r="H1011" s="132">
        <v>46086</v>
      </c>
      <c r="I1011" s="127" t="s">
        <v>4188</v>
      </c>
      <c r="J1011" s="22">
        <v>46087</v>
      </c>
      <c r="K1011" t="s">
        <v>4189</v>
      </c>
      <c r="L1011"/>
    </row>
    <row r="1012" spans="1:12">
      <c r="A1012" s="95" t="s">
        <v>734</v>
      </c>
      <c r="B1012" t="s">
        <v>4166</v>
      </c>
      <c r="C1012" s="87" t="s">
        <v>795</v>
      </c>
      <c r="D1012" s="88"/>
      <c r="E1012" s="89">
        <v>68693968</v>
      </c>
      <c r="F1012"/>
      <c r="G1012" s="17" t="s">
        <v>3</v>
      </c>
      <c r="H1012" s="132">
        <v>46086</v>
      </c>
      <c r="I1012" s="127" t="s">
        <v>4190</v>
      </c>
      <c r="J1012" s="22">
        <v>46087</v>
      </c>
      <c r="K1012" t="s">
        <v>4191</v>
      </c>
      <c r="L1012" t="s">
        <v>3654</v>
      </c>
    </row>
    <row r="1013" spans="1:12">
      <c r="A1013" s="95" t="s">
        <v>734</v>
      </c>
      <c r="B1013" t="s">
        <v>4166</v>
      </c>
      <c r="C1013" s="87" t="s">
        <v>796</v>
      </c>
      <c r="D1013" s="88"/>
      <c r="E1013" s="89">
        <v>67160348</v>
      </c>
      <c r="F1013"/>
      <c r="G1013" s="17" t="s">
        <v>1</v>
      </c>
      <c r="H1013" s="132">
        <v>46086</v>
      </c>
      <c r="I1013" s="127" t="s">
        <v>4192</v>
      </c>
      <c r="J1013" s="22">
        <v>46087</v>
      </c>
      <c r="K1013" t="s">
        <v>4193</v>
      </c>
      <c r="L1013"/>
    </row>
    <row r="1014" spans="1:12">
      <c r="A1014" s="95" t="s">
        <v>734</v>
      </c>
      <c r="B1014" t="s">
        <v>4166</v>
      </c>
      <c r="C1014" s="87" t="s">
        <v>797</v>
      </c>
      <c r="D1014" s="88"/>
      <c r="E1014" s="89">
        <v>68040441</v>
      </c>
      <c r="F1014"/>
      <c r="G1014" s="17" t="s">
        <v>1</v>
      </c>
      <c r="H1014" s="132">
        <v>46086</v>
      </c>
      <c r="I1014" s="127" t="s">
        <v>4194</v>
      </c>
      <c r="J1014"/>
      <c r="K1014"/>
      <c r="L1014"/>
    </row>
    <row r="1015" spans="1:12">
      <c r="A1015" s="95" t="s">
        <v>734</v>
      </c>
      <c r="B1015" t="s">
        <v>4166</v>
      </c>
      <c r="C1015" s="87" t="s">
        <v>798</v>
      </c>
      <c r="D1015" s="88"/>
      <c r="E1015" s="89">
        <v>7747814</v>
      </c>
      <c r="F1015"/>
      <c r="G1015" s="17" t="s">
        <v>2</v>
      </c>
      <c r="H1015" s="132">
        <v>46086</v>
      </c>
      <c r="I1015" s="127" t="s">
        <v>4195</v>
      </c>
      <c r="J1015" s="22">
        <v>46087</v>
      </c>
      <c r="K1015" t="s">
        <v>4196</v>
      </c>
      <c r="L1015"/>
    </row>
    <row r="1016" spans="1:12">
      <c r="A1016" s="95" t="s">
        <v>734</v>
      </c>
      <c r="B1016" t="s">
        <v>4166</v>
      </c>
      <c r="C1016" s="87" t="s">
        <v>799</v>
      </c>
      <c r="D1016" s="88"/>
      <c r="E1016" s="89">
        <v>65760382</v>
      </c>
      <c r="F1016"/>
      <c r="G1016" s="17" t="s">
        <v>3</v>
      </c>
      <c r="H1016" s="132">
        <v>46086</v>
      </c>
      <c r="I1016" s="127" t="s">
        <v>4197</v>
      </c>
      <c r="J1016"/>
      <c r="K1016"/>
      <c r="L1016" t="s">
        <v>4198</v>
      </c>
    </row>
    <row r="1017" spans="1:12">
      <c r="A1017" s="95" t="s">
        <v>734</v>
      </c>
      <c r="B1017" t="s">
        <v>4199</v>
      </c>
      <c r="C1017" s="87" t="s">
        <v>800</v>
      </c>
      <c r="D1017" s="88"/>
      <c r="E1017" s="89">
        <v>67990689</v>
      </c>
      <c r="F1017"/>
      <c r="G1017" s="17" t="s">
        <v>1</v>
      </c>
      <c r="H1017" s="132">
        <v>46086</v>
      </c>
      <c r="I1017" s="127" t="s">
        <v>4200</v>
      </c>
      <c r="J1017"/>
      <c r="K1017"/>
      <c r="L1017"/>
    </row>
    <row r="1018" spans="1:12">
      <c r="A1018" s="95" t="s">
        <v>734</v>
      </c>
      <c r="B1018" t="s">
        <v>4166</v>
      </c>
      <c r="C1018" s="87" t="s">
        <v>801</v>
      </c>
      <c r="D1018" s="88"/>
      <c r="E1018" s="89">
        <v>64029765</v>
      </c>
      <c r="F1018"/>
      <c r="G1018" s="17" t="s">
        <v>6</v>
      </c>
      <c r="H1018" s="132">
        <v>46086</v>
      </c>
      <c r="I1018" s="127" t="s">
        <v>4201</v>
      </c>
      <c r="J1018" s="22">
        <v>46087</v>
      </c>
      <c r="K1018" t="s">
        <v>4202</v>
      </c>
      <c r="L1018"/>
    </row>
    <row r="1019" spans="1:12">
      <c r="A1019" s="95" t="s">
        <v>734</v>
      </c>
      <c r="B1019" t="s">
        <v>4166</v>
      </c>
      <c r="C1019" s="87" t="s">
        <v>802</v>
      </c>
      <c r="D1019" s="88"/>
      <c r="E1019" s="89">
        <v>64606088</v>
      </c>
      <c r="F1019"/>
      <c r="G1019" s="17" t="s">
        <v>1</v>
      </c>
      <c r="H1019" s="132">
        <v>46086</v>
      </c>
      <c r="I1019" s="127" t="s">
        <v>4203</v>
      </c>
      <c r="J1019"/>
      <c r="K1019"/>
      <c r="L1019"/>
    </row>
    <row r="1020" spans="1:12">
      <c r="A1020" s="95" t="s">
        <v>734</v>
      </c>
      <c r="B1020" t="s">
        <v>4166</v>
      </c>
      <c r="C1020" s="87" t="s">
        <v>803</v>
      </c>
      <c r="D1020" s="88"/>
      <c r="E1020" s="89">
        <v>63556716</v>
      </c>
      <c r="F1020"/>
      <c r="G1020" s="17" t="s">
        <v>3</v>
      </c>
      <c r="H1020" s="132">
        <v>46086</v>
      </c>
      <c r="I1020" s="127" t="s">
        <v>4204</v>
      </c>
      <c r="J1020"/>
      <c r="K1020"/>
      <c r="L1020"/>
    </row>
    <row r="1021" spans="1:12">
      <c r="A1021" s="95" t="s">
        <v>734</v>
      </c>
      <c r="B1021" t="s">
        <v>4166</v>
      </c>
      <c r="C1021" s="87" t="s">
        <v>804</v>
      </c>
      <c r="D1021" s="88"/>
      <c r="E1021" s="89">
        <v>62501399</v>
      </c>
      <c r="F1021"/>
      <c r="G1021" s="17" t="s">
        <v>3</v>
      </c>
      <c r="H1021" s="132">
        <v>46086</v>
      </c>
      <c r="I1021" s="127" t="s">
        <v>4205</v>
      </c>
      <c r="J1021"/>
      <c r="K1021"/>
      <c r="L1021"/>
    </row>
    <row r="1022" spans="1:12">
      <c r="A1022" s="95" t="s">
        <v>734</v>
      </c>
      <c r="B1022" t="s">
        <v>4166</v>
      </c>
      <c r="C1022" s="87" t="s">
        <v>805</v>
      </c>
      <c r="D1022" s="88"/>
      <c r="E1022" s="89">
        <v>65246556</v>
      </c>
      <c r="F1022"/>
      <c r="G1022" s="17" t="s">
        <v>6</v>
      </c>
      <c r="H1022" s="132">
        <v>46086</v>
      </c>
      <c r="I1022" s="127" t="s">
        <v>4206</v>
      </c>
      <c r="J1022" s="22">
        <v>46087</v>
      </c>
      <c r="K1022" t="s">
        <v>4207</v>
      </c>
      <c r="L1022"/>
    </row>
    <row r="1023" spans="1:12">
      <c r="A1023" s="95" t="s">
        <v>734</v>
      </c>
      <c r="B1023" t="s">
        <v>4166</v>
      </c>
      <c r="C1023" s="87" t="s">
        <v>806</v>
      </c>
      <c r="D1023" s="88"/>
      <c r="E1023" s="89">
        <v>68333561</v>
      </c>
      <c r="F1023"/>
      <c r="G1023" s="17" t="s">
        <v>2</v>
      </c>
      <c r="H1023" s="132">
        <v>46086</v>
      </c>
      <c r="I1023" s="127" t="s">
        <v>4208</v>
      </c>
      <c r="J1023" s="22">
        <v>46087</v>
      </c>
      <c r="K1023" t="s">
        <v>4209</v>
      </c>
      <c r="L1023"/>
    </row>
    <row r="1024" spans="1:12">
      <c r="A1024" s="95" t="s">
        <v>734</v>
      </c>
      <c r="B1024" t="s">
        <v>4166</v>
      </c>
      <c r="C1024" s="87" t="s">
        <v>807</v>
      </c>
      <c r="D1024" s="88"/>
      <c r="E1024" s="89">
        <v>69325449</v>
      </c>
      <c r="F1024"/>
      <c r="G1024" s="17" t="s">
        <v>1</v>
      </c>
      <c r="H1024" s="132">
        <v>46086</v>
      </c>
      <c r="I1024" s="127" t="s">
        <v>4210</v>
      </c>
      <c r="J1024"/>
      <c r="K1024"/>
      <c r="L1024"/>
    </row>
    <row r="1025" spans="1:12">
      <c r="A1025" s="95" t="s">
        <v>734</v>
      </c>
      <c r="B1025" t="s">
        <v>4166</v>
      </c>
      <c r="C1025" s="87" t="s">
        <v>808</v>
      </c>
      <c r="D1025" s="88"/>
      <c r="E1025" s="89">
        <v>63896465</v>
      </c>
      <c r="F1025"/>
      <c r="G1025" s="17" t="s">
        <v>1</v>
      </c>
      <c r="H1025" s="132">
        <v>46086</v>
      </c>
      <c r="I1025" s="127" t="s">
        <v>4211</v>
      </c>
      <c r="J1025"/>
      <c r="K1025"/>
      <c r="L1025"/>
    </row>
    <row r="1026" spans="1:12">
      <c r="A1026" s="95" t="s">
        <v>734</v>
      </c>
      <c r="B1026" t="s">
        <v>4166</v>
      </c>
      <c r="C1026" s="87" t="s">
        <v>809</v>
      </c>
      <c r="D1026" s="88"/>
      <c r="E1026" s="89">
        <v>67957974</v>
      </c>
      <c r="F1026"/>
      <c r="G1026" s="17" t="s">
        <v>6</v>
      </c>
      <c r="H1026" s="132">
        <v>46086</v>
      </c>
      <c r="I1026" s="127" t="s">
        <v>4212</v>
      </c>
      <c r="J1026" s="22">
        <v>46087</v>
      </c>
      <c r="K1026" t="s">
        <v>4213</v>
      </c>
      <c r="L1026"/>
    </row>
    <row r="1027" spans="1:12">
      <c r="A1027" s="95" t="s">
        <v>734</v>
      </c>
      <c r="B1027" t="s">
        <v>4166</v>
      </c>
      <c r="C1027" s="87" t="s">
        <v>810</v>
      </c>
      <c r="D1027" s="88"/>
      <c r="E1027" s="89">
        <v>66174579</v>
      </c>
      <c r="F1027"/>
      <c r="G1027" s="17" t="s">
        <v>2</v>
      </c>
      <c r="H1027" s="132">
        <v>46086</v>
      </c>
      <c r="I1027" s="127" t="s">
        <v>4214</v>
      </c>
      <c r="J1027" s="22">
        <v>46087</v>
      </c>
      <c r="K1027" t="s">
        <v>4215</v>
      </c>
      <c r="L1027"/>
    </row>
    <row r="1028" spans="1:12">
      <c r="A1028" s="95" t="s">
        <v>734</v>
      </c>
      <c r="B1028" t="s">
        <v>4166</v>
      </c>
      <c r="C1028" s="87" t="s">
        <v>811</v>
      </c>
      <c r="D1028" s="88"/>
      <c r="E1028" s="89">
        <v>66967478</v>
      </c>
      <c r="F1028"/>
      <c r="G1028" s="17" t="s">
        <v>2</v>
      </c>
      <c r="H1028" s="132">
        <v>46086</v>
      </c>
      <c r="I1028" s="127" t="s">
        <v>4216</v>
      </c>
      <c r="J1028" s="22">
        <v>46087</v>
      </c>
      <c r="K1028" t="s">
        <v>4217</v>
      </c>
      <c r="L1028"/>
    </row>
    <row r="1029" spans="1:12">
      <c r="A1029" s="95" t="s">
        <v>734</v>
      </c>
      <c r="B1029" t="s">
        <v>4166</v>
      </c>
      <c r="C1029" s="87" t="s">
        <v>812</v>
      </c>
      <c r="D1029" s="88"/>
      <c r="E1029" s="89">
        <v>64107569</v>
      </c>
      <c r="F1029"/>
      <c r="G1029" s="17" t="s">
        <v>1</v>
      </c>
      <c r="H1029" s="132">
        <v>46086</v>
      </c>
      <c r="I1029" s="127" t="s">
        <v>4218</v>
      </c>
      <c r="J1029"/>
      <c r="K1029"/>
      <c r="L1029"/>
    </row>
    <row r="1030" spans="1:12">
      <c r="A1030" s="95" t="s">
        <v>734</v>
      </c>
      <c r="B1030" t="s">
        <v>4166</v>
      </c>
      <c r="C1030" s="87" t="s">
        <v>813</v>
      </c>
      <c r="D1030" s="88"/>
      <c r="E1030" s="89">
        <v>7763248</v>
      </c>
      <c r="F1030"/>
      <c r="G1030" s="17" t="s">
        <v>9</v>
      </c>
      <c r="H1030" s="132">
        <v>46086</v>
      </c>
      <c r="I1030" s="127" t="s">
        <v>4219</v>
      </c>
      <c r="J1030"/>
      <c r="K1030"/>
      <c r="L1030"/>
    </row>
    <row r="1031" spans="1:12">
      <c r="A1031" s="95" t="s">
        <v>734</v>
      </c>
      <c r="B1031" t="s">
        <v>4166</v>
      </c>
      <c r="C1031" s="87" t="s">
        <v>814</v>
      </c>
      <c r="D1031" s="88"/>
      <c r="E1031" s="89">
        <v>62920282</v>
      </c>
      <c r="F1031"/>
      <c r="G1031" s="17" t="s">
        <v>9</v>
      </c>
      <c r="H1031" s="132">
        <v>46086</v>
      </c>
      <c r="I1031" s="127" t="s">
        <v>4220</v>
      </c>
      <c r="J1031"/>
      <c r="K1031"/>
      <c r="L1031"/>
    </row>
    <row r="1032" spans="1:12">
      <c r="A1032" s="95" t="s">
        <v>734</v>
      </c>
      <c r="B1032" t="s">
        <v>4199</v>
      </c>
      <c r="C1032" s="87" t="s">
        <v>815</v>
      </c>
      <c r="D1032" s="88"/>
      <c r="E1032" s="89">
        <v>66042276</v>
      </c>
      <c r="F1032"/>
      <c r="G1032" s="17" t="s">
        <v>9</v>
      </c>
      <c r="H1032" s="132">
        <v>46086</v>
      </c>
      <c r="I1032" s="127" t="s">
        <v>4221</v>
      </c>
      <c r="J1032"/>
      <c r="K1032"/>
      <c r="L1032"/>
    </row>
    <row r="1033" spans="1:12">
      <c r="A1033" s="95" t="s">
        <v>734</v>
      </c>
      <c r="B1033" t="s">
        <v>4166</v>
      </c>
      <c r="C1033" s="87" t="s">
        <v>816</v>
      </c>
      <c r="D1033" s="88"/>
      <c r="E1033" s="89">
        <v>63517015</v>
      </c>
      <c r="F1033"/>
      <c r="G1033" s="17" t="s">
        <v>4</v>
      </c>
      <c r="H1033" s="132">
        <v>46086</v>
      </c>
      <c r="I1033" s="127" t="s">
        <v>4222</v>
      </c>
      <c r="J1033" s="22">
        <v>46087</v>
      </c>
      <c r="K1033" t="s">
        <v>4223</v>
      </c>
      <c r="L1033"/>
    </row>
    <row r="1034" spans="1:12">
      <c r="A1034" s="95" t="s">
        <v>734</v>
      </c>
      <c r="B1034" t="s">
        <v>4166</v>
      </c>
      <c r="C1034" s="87" t="s">
        <v>817</v>
      </c>
      <c r="D1034" s="88"/>
      <c r="E1034" s="89">
        <v>62675879</v>
      </c>
      <c r="F1034"/>
      <c r="G1034" s="17" t="s">
        <v>2</v>
      </c>
      <c r="H1034" s="132">
        <v>46086</v>
      </c>
      <c r="I1034" s="127" t="s">
        <v>4224</v>
      </c>
      <c r="J1034" s="22">
        <v>46087</v>
      </c>
      <c r="K1034" t="s">
        <v>4225</v>
      </c>
      <c r="L1034"/>
    </row>
    <row r="1035" spans="1:12">
      <c r="A1035" s="95" t="s">
        <v>734</v>
      </c>
      <c r="B1035" t="s">
        <v>4166</v>
      </c>
      <c r="C1035" s="87" t="s">
        <v>818</v>
      </c>
      <c r="D1035" s="88"/>
      <c r="E1035" s="89">
        <v>63927716</v>
      </c>
      <c r="F1035"/>
      <c r="G1035" s="17" t="s">
        <v>6</v>
      </c>
      <c r="H1035" s="132">
        <v>46086</v>
      </c>
      <c r="I1035" s="127" t="s">
        <v>4226</v>
      </c>
      <c r="J1035"/>
      <c r="K1035"/>
      <c r="L1035"/>
    </row>
    <row r="1036" spans="1:12">
      <c r="A1036" s="95" t="s">
        <v>734</v>
      </c>
      <c r="B1036" t="s">
        <v>4166</v>
      </c>
      <c r="C1036" s="87" t="s">
        <v>819</v>
      </c>
      <c r="D1036" s="88"/>
      <c r="E1036" s="89">
        <v>64600496</v>
      </c>
      <c r="F1036"/>
      <c r="G1036" s="17" t="s">
        <v>3</v>
      </c>
      <c r="H1036" s="132">
        <v>46086</v>
      </c>
      <c r="I1036" s="127" t="s">
        <v>4227</v>
      </c>
      <c r="J1036"/>
      <c r="K1036"/>
      <c r="L1036" t="s">
        <v>4228</v>
      </c>
    </row>
    <row r="1037" spans="1:12">
      <c r="A1037" s="95" t="s">
        <v>734</v>
      </c>
      <c r="B1037" t="s">
        <v>4166</v>
      </c>
      <c r="C1037" s="87" t="s">
        <v>820</v>
      </c>
      <c r="D1037" s="88"/>
      <c r="E1037" s="89">
        <v>64529679</v>
      </c>
      <c r="F1037"/>
      <c r="G1037" s="17" t="s">
        <v>3</v>
      </c>
      <c r="H1037" s="132">
        <v>46086</v>
      </c>
      <c r="I1037" s="127" t="s">
        <v>4229</v>
      </c>
      <c r="J1037"/>
      <c r="K1037"/>
      <c r="L1037"/>
    </row>
    <row r="1038" spans="1:12">
      <c r="A1038" s="95" t="s">
        <v>734</v>
      </c>
      <c r="B1038" t="s">
        <v>4166</v>
      </c>
      <c r="C1038" s="87" t="s">
        <v>821</v>
      </c>
      <c r="D1038" s="88"/>
      <c r="E1038" s="89">
        <v>66624059</v>
      </c>
      <c r="F1038"/>
      <c r="G1038" s="17" t="s">
        <v>1</v>
      </c>
      <c r="H1038" s="132">
        <v>46086</v>
      </c>
      <c r="I1038" s="127" t="s">
        <v>4230</v>
      </c>
      <c r="J1038"/>
      <c r="K1038"/>
      <c r="L1038"/>
    </row>
    <row r="1039" spans="1:12">
      <c r="A1039" s="95" t="s">
        <v>734</v>
      </c>
      <c r="B1039" t="s">
        <v>4231</v>
      </c>
      <c r="C1039" s="87" t="s">
        <v>822</v>
      </c>
      <c r="D1039" s="88"/>
      <c r="E1039" s="89">
        <v>69009741</v>
      </c>
      <c r="F1039"/>
      <c r="G1039" s="17" t="s">
        <v>3</v>
      </c>
      <c r="H1039" s="132">
        <v>46086</v>
      </c>
      <c r="I1039" s="127" t="s">
        <v>4232</v>
      </c>
      <c r="J1039"/>
      <c r="K1039"/>
      <c r="L1039"/>
    </row>
    <row r="1040" spans="1:12">
      <c r="A1040" s="95" t="s">
        <v>734</v>
      </c>
      <c r="B1040" t="s">
        <v>4166</v>
      </c>
      <c r="C1040" s="87" t="s">
        <v>823</v>
      </c>
      <c r="D1040" s="88"/>
      <c r="E1040" s="89">
        <v>68229116</v>
      </c>
      <c r="F1040"/>
      <c r="G1040" s="17" t="s">
        <v>2</v>
      </c>
      <c r="H1040" s="132">
        <v>46086</v>
      </c>
      <c r="I1040" s="127" t="s">
        <v>4233</v>
      </c>
      <c r="J1040" s="22">
        <v>46087</v>
      </c>
      <c r="K1040" t="s">
        <v>4234</v>
      </c>
      <c r="L1040"/>
    </row>
    <row r="1041" spans="1:12">
      <c r="A1041" s="95" t="s">
        <v>734</v>
      </c>
      <c r="B1041" t="s">
        <v>4166</v>
      </c>
      <c r="C1041" s="87" t="s">
        <v>824</v>
      </c>
      <c r="D1041" s="88"/>
      <c r="E1041" s="89">
        <v>68617488</v>
      </c>
      <c r="F1041"/>
      <c r="G1041" s="17" t="s">
        <v>1</v>
      </c>
      <c r="H1041" s="132">
        <v>46086</v>
      </c>
      <c r="I1041" s="127" t="s">
        <v>4235</v>
      </c>
      <c r="J1041"/>
      <c r="K1041"/>
      <c r="L1041"/>
    </row>
    <row r="1042" spans="1:12">
      <c r="A1042" s="95" t="s">
        <v>734</v>
      </c>
      <c r="B1042" t="s">
        <v>4199</v>
      </c>
      <c r="C1042" s="87" t="s">
        <v>825</v>
      </c>
      <c r="D1042" s="88"/>
      <c r="E1042" s="89">
        <v>64389047</v>
      </c>
      <c r="F1042"/>
      <c r="G1042" s="17" t="s">
        <v>9</v>
      </c>
      <c r="H1042" s="132">
        <v>46086</v>
      </c>
      <c r="I1042" s="127" t="s">
        <v>4236</v>
      </c>
      <c r="J1042"/>
      <c r="K1042"/>
      <c r="L1042"/>
    </row>
    <row r="1043" spans="1:12">
      <c r="A1043" s="95" t="s">
        <v>734</v>
      </c>
      <c r="B1043" t="s">
        <v>4166</v>
      </c>
      <c r="C1043" s="87" t="s">
        <v>826</v>
      </c>
      <c r="D1043" s="88"/>
      <c r="E1043" s="89">
        <v>7746657</v>
      </c>
      <c r="F1043"/>
      <c r="G1043" s="17" t="s">
        <v>1</v>
      </c>
      <c r="H1043" s="132">
        <v>46086</v>
      </c>
      <c r="I1043" s="127" t="s">
        <v>4237</v>
      </c>
      <c r="J1043"/>
      <c r="K1043"/>
      <c r="L1043"/>
    </row>
    <row r="1044" spans="1:12">
      <c r="A1044" s="95" t="s">
        <v>734</v>
      </c>
      <c r="B1044" t="s">
        <v>4166</v>
      </c>
      <c r="C1044" s="87" t="s">
        <v>827</v>
      </c>
      <c r="D1044" s="88"/>
      <c r="E1044" s="89">
        <v>63872044</v>
      </c>
      <c r="F1044"/>
      <c r="G1044" s="17" t="s">
        <v>6</v>
      </c>
      <c r="H1044" s="132">
        <v>46086</v>
      </c>
      <c r="I1044" s="127" t="s">
        <v>4238</v>
      </c>
      <c r="J1044" s="22">
        <v>46087</v>
      </c>
      <c r="K1044" t="s">
        <v>4239</v>
      </c>
      <c r="L1044"/>
    </row>
    <row r="1045" spans="1:12">
      <c r="A1045" s="95" t="s">
        <v>734</v>
      </c>
      <c r="B1045" t="s">
        <v>4199</v>
      </c>
      <c r="C1045" s="87" t="s">
        <v>828</v>
      </c>
      <c r="D1045" s="88"/>
      <c r="E1045" s="89">
        <v>66895925</v>
      </c>
      <c r="F1045"/>
      <c r="G1045" s="17" t="s">
        <v>1</v>
      </c>
      <c r="H1045" s="132">
        <v>46086</v>
      </c>
      <c r="I1045" s="127" t="s">
        <v>4240</v>
      </c>
      <c r="J1045"/>
      <c r="K1045"/>
      <c r="L1045"/>
    </row>
    <row r="1046" spans="1:12">
      <c r="A1046" s="95" t="s">
        <v>734</v>
      </c>
      <c r="B1046" t="s">
        <v>4166</v>
      </c>
      <c r="C1046" s="87" t="s">
        <v>829</v>
      </c>
      <c r="D1046" s="88"/>
      <c r="E1046" s="89">
        <v>66911463</v>
      </c>
      <c r="F1046"/>
      <c r="G1046" s="17" t="s">
        <v>6</v>
      </c>
      <c r="H1046" s="132">
        <v>46086</v>
      </c>
      <c r="I1046" s="127" t="s">
        <v>4241</v>
      </c>
      <c r="J1046" s="22">
        <v>46087</v>
      </c>
      <c r="K1046" t="s">
        <v>4242</v>
      </c>
      <c r="L1046"/>
    </row>
    <row r="1047" spans="1:12">
      <c r="A1047" s="95" t="s">
        <v>734</v>
      </c>
      <c r="B1047" t="s">
        <v>4166</v>
      </c>
      <c r="C1047" s="87" t="s">
        <v>830</v>
      </c>
      <c r="D1047" s="88"/>
      <c r="E1047" s="89">
        <v>68729344</v>
      </c>
      <c r="F1047"/>
      <c r="G1047" s="17" t="s">
        <v>1</v>
      </c>
      <c r="H1047" s="132">
        <v>46086</v>
      </c>
      <c r="I1047" s="127" t="s">
        <v>4243</v>
      </c>
      <c r="J1047"/>
      <c r="K1047"/>
      <c r="L1047"/>
    </row>
    <row r="1048" spans="1:12">
      <c r="A1048" s="95" t="s">
        <v>734</v>
      </c>
      <c r="B1048" t="s">
        <v>4166</v>
      </c>
      <c r="C1048" s="87" t="s">
        <v>831</v>
      </c>
      <c r="D1048" s="88"/>
      <c r="E1048" s="89">
        <v>64413804</v>
      </c>
      <c r="F1048"/>
      <c r="G1048" s="17" t="s">
        <v>3</v>
      </c>
      <c r="H1048" s="132">
        <v>46086</v>
      </c>
      <c r="I1048" s="127" t="s">
        <v>4244</v>
      </c>
      <c r="J1048"/>
      <c r="K1048"/>
      <c r="L1048" t="s">
        <v>4245</v>
      </c>
    </row>
    <row r="1049" spans="1:12">
      <c r="A1049" s="95" t="s">
        <v>734</v>
      </c>
      <c r="B1049" t="s">
        <v>4166</v>
      </c>
      <c r="C1049" s="87" t="s">
        <v>832</v>
      </c>
      <c r="D1049" s="88"/>
      <c r="E1049" s="89">
        <v>68998723</v>
      </c>
      <c r="F1049"/>
      <c r="G1049" s="17" t="s">
        <v>1</v>
      </c>
      <c r="H1049" s="132">
        <v>46086</v>
      </c>
      <c r="I1049" s="127" t="s">
        <v>4246</v>
      </c>
      <c r="J1049"/>
      <c r="K1049"/>
      <c r="L1049"/>
    </row>
    <row r="1050" spans="1:12">
      <c r="A1050" s="95" t="s">
        <v>734</v>
      </c>
      <c r="B1050" t="s">
        <v>4166</v>
      </c>
      <c r="C1050" s="87" t="s">
        <v>833</v>
      </c>
      <c r="D1050" s="88"/>
      <c r="E1050" s="89">
        <v>68454828</v>
      </c>
      <c r="F1050"/>
      <c r="G1050" s="17" t="s">
        <v>3</v>
      </c>
      <c r="H1050" s="132">
        <v>46086</v>
      </c>
      <c r="I1050" s="127" t="s">
        <v>4247</v>
      </c>
      <c r="J1050"/>
      <c r="K1050"/>
      <c r="L1050"/>
    </row>
    <row r="1051" spans="1:12">
      <c r="A1051" s="95" t="s">
        <v>734</v>
      </c>
      <c r="B1051" t="s">
        <v>4166</v>
      </c>
      <c r="C1051" s="87" t="s">
        <v>834</v>
      </c>
      <c r="D1051" s="88"/>
      <c r="E1051" s="89">
        <v>68154468</v>
      </c>
      <c r="F1051"/>
      <c r="G1051" s="17" t="s">
        <v>3</v>
      </c>
      <c r="H1051" s="132">
        <v>46086</v>
      </c>
      <c r="I1051" s="127" t="s">
        <v>4248</v>
      </c>
      <c r="J1051"/>
      <c r="K1051"/>
      <c r="L1051"/>
    </row>
    <row r="1052" spans="1:12">
      <c r="A1052" s="95" t="s">
        <v>734</v>
      </c>
      <c r="B1052" t="s">
        <v>4166</v>
      </c>
      <c r="C1052" s="87" t="s">
        <v>835</v>
      </c>
      <c r="D1052" s="88"/>
      <c r="E1052" s="89">
        <v>66975591</v>
      </c>
      <c r="F1052"/>
      <c r="G1052" s="17" t="s">
        <v>9</v>
      </c>
      <c r="H1052" s="132">
        <v>46086</v>
      </c>
      <c r="I1052" s="127" t="s">
        <v>4249</v>
      </c>
      <c r="J1052"/>
      <c r="K1052"/>
      <c r="L1052"/>
    </row>
    <row r="1053" spans="1:12">
      <c r="A1053" s="95" t="s">
        <v>734</v>
      </c>
      <c r="B1053" t="s">
        <v>4166</v>
      </c>
      <c r="C1053" s="87" t="s">
        <v>836</v>
      </c>
      <c r="D1053" s="88"/>
      <c r="E1053" s="89">
        <v>64760126</v>
      </c>
      <c r="F1053"/>
      <c r="G1053" s="17" t="s">
        <v>1</v>
      </c>
      <c r="H1053" s="132">
        <v>46086</v>
      </c>
      <c r="I1053" s="127" t="s">
        <v>4250</v>
      </c>
      <c r="J1053"/>
      <c r="K1053"/>
      <c r="L1053"/>
    </row>
    <row r="1054" spans="1:12">
      <c r="A1054" s="95" t="s">
        <v>734</v>
      </c>
      <c r="B1054" t="s">
        <v>4166</v>
      </c>
      <c r="C1054" s="87" t="s">
        <v>837</v>
      </c>
      <c r="D1054" s="88"/>
      <c r="E1054" s="89">
        <v>66577908</v>
      </c>
      <c r="F1054"/>
      <c r="G1054" s="17" t="s">
        <v>6</v>
      </c>
      <c r="H1054" s="132">
        <v>46086</v>
      </c>
      <c r="I1054" s="127" t="s">
        <v>4251</v>
      </c>
      <c r="J1054" s="22">
        <v>46087</v>
      </c>
      <c r="K1054" t="s">
        <v>4252</v>
      </c>
      <c r="L1054"/>
    </row>
    <row r="1055" spans="1:12">
      <c r="A1055" s="95" t="s">
        <v>734</v>
      </c>
      <c r="B1055" t="s">
        <v>4166</v>
      </c>
      <c r="C1055" s="87" t="s">
        <v>838</v>
      </c>
      <c r="D1055" s="88"/>
      <c r="E1055" s="89">
        <v>7773571</v>
      </c>
      <c r="F1055"/>
      <c r="G1055" s="17" t="s">
        <v>4</v>
      </c>
      <c r="H1055" s="132">
        <v>46086</v>
      </c>
      <c r="I1055" s="127" t="s">
        <v>4253</v>
      </c>
      <c r="J1055"/>
      <c r="K1055"/>
      <c r="L1055"/>
    </row>
    <row r="1056" spans="1:12">
      <c r="A1056" s="95" t="s">
        <v>734</v>
      </c>
      <c r="B1056" t="s">
        <v>4166</v>
      </c>
      <c r="C1056" s="87" t="s">
        <v>839</v>
      </c>
      <c r="D1056" s="88"/>
      <c r="E1056" s="89">
        <v>67168725</v>
      </c>
      <c r="F1056"/>
      <c r="G1056" s="17" t="s">
        <v>3</v>
      </c>
      <c r="H1056" s="132">
        <v>46086</v>
      </c>
      <c r="I1056" s="127" t="s">
        <v>4254</v>
      </c>
      <c r="J1056"/>
      <c r="K1056"/>
      <c r="L1056"/>
    </row>
    <row r="1057" spans="1:12">
      <c r="A1057" s="95" t="s">
        <v>734</v>
      </c>
      <c r="B1057" t="s">
        <v>4166</v>
      </c>
      <c r="C1057" s="87" t="s">
        <v>840</v>
      </c>
      <c r="D1057" s="88"/>
      <c r="E1057" s="89">
        <v>63936894</v>
      </c>
      <c r="F1057"/>
      <c r="G1057" s="17" t="s">
        <v>4</v>
      </c>
      <c r="H1057" s="132">
        <v>46086</v>
      </c>
      <c r="I1057" s="127" t="s">
        <v>4255</v>
      </c>
      <c r="J1057"/>
      <c r="K1057"/>
      <c r="L1057"/>
    </row>
    <row r="1058" spans="1:12">
      <c r="A1058" s="95" t="s">
        <v>734</v>
      </c>
      <c r="B1058" t="s">
        <v>4166</v>
      </c>
      <c r="C1058" s="87" t="s">
        <v>841</v>
      </c>
      <c r="D1058" s="88"/>
      <c r="E1058" s="89">
        <v>65884903</v>
      </c>
      <c r="F1058"/>
      <c r="G1058" s="17" t="s">
        <v>1</v>
      </c>
      <c r="H1058" s="132">
        <v>46086</v>
      </c>
      <c r="I1058" s="127" t="s">
        <v>4256</v>
      </c>
      <c r="J1058"/>
      <c r="K1058"/>
      <c r="L1058"/>
    </row>
    <row r="1059" spans="1:12">
      <c r="A1059" s="95" t="s">
        <v>734</v>
      </c>
      <c r="B1059" t="s">
        <v>4166</v>
      </c>
      <c r="C1059" s="87" t="s">
        <v>842</v>
      </c>
      <c r="D1059" s="88"/>
      <c r="E1059" s="89">
        <v>67028652</v>
      </c>
      <c r="F1059"/>
      <c r="G1059" s="17" t="s">
        <v>1</v>
      </c>
      <c r="H1059" s="132">
        <v>46086</v>
      </c>
      <c r="I1059" s="127" t="s">
        <v>4256</v>
      </c>
      <c r="J1059"/>
      <c r="K1059"/>
      <c r="L1059"/>
    </row>
    <row r="1060" spans="1:12">
      <c r="A1060" s="95" t="s">
        <v>734</v>
      </c>
      <c r="B1060" t="s">
        <v>4166</v>
      </c>
      <c r="C1060" s="87" t="s">
        <v>843</v>
      </c>
      <c r="D1060" s="88"/>
      <c r="E1060" s="89">
        <v>62139301</v>
      </c>
      <c r="F1060"/>
      <c r="G1060" s="17" t="s">
        <v>3</v>
      </c>
      <c r="H1060" s="132">
        <v>46086</v>
      </c>
      <c r="I1060" s="127" t="s">
        <v>4257</v>
      </c>
      <c r="J1060"/>
      <c r="K1060"/>
      <c r="L1060"/>
    </row>
    <row r="1061" spans="1:12">
      <c r="A1061" s="95" t="s">
        <v>734</v>
      </c>
      <c r="B1061" t="s">
        <v>4166</v>
      </c>
      <c r="C1061" s="87" t="s">
        <v>844</v>
      </c>
      <c r="D1061" s="88"/>
      <c r="E1061" s="89">
        <v>68941396</v>
      </c>
      <c r="F1061"/>
      <c r="G1061" s="17" t="s">
        <v>6</v>
      </c>
      <c r="H1061" s="132">
        <v>46086</v>
      </c>
      <c r="I1061" s="127" t="s">
        <v>4258</v>
      </c>
      <c r="J1061" s="22">
        <v>46087</v>
      </c>
      <c r="K1061" t="s">
        <v>4259</v>
      </c>
      <c r="L1061"/>
    </row>
    <row r="1062" spans="1:12">
      <c r="A1062" s="95" t="s">
        <v>734</v>
      </c>
      <c r="B1062" t="s">
        <v>4166</v>
      </c>
      <c r="C1062" s="87" t="s">
        <v>845</v>
      </c>
      <c r="D1062" s="88"/>
      <c r="E1062" s="89">
        <v>65259149</v>
      </c>
      <c r="F1062"/>
      <c r="G1062" s="17" t="s">
        <v>1</v>
      </c>
      <c r="H1062" s="132">
        <v>46086</v>
      </c>
      <c r="I1062" s="127" t="s">
        <v>4260</v>
      </c>
      <c r="J1062"/>
      <c r="K1062"/>
      <c r="L1062"/>
    </row>
    <row r="1063" spans="1:12">
      <c r="A1063" s="95" t="s">
        <v>734</v>
      </c>
      <c r="B1063" t="s">
        <v>4166</v>
      </c>
      <c r="C1063" s="87" t="s">
        <v>846</v>
      </c>
      <c r="D1063" s="88"/>
      <c r="E1063" s="89">
        <v>62186977</v>
      </c>
      <c r="F1063"/>
      <c r="G1063" s="17" t="s">
        <v>1</v>
      </c>
      <c r="H1063" s="132">
        <v>46086</v>
      </c>
      <c r="I1063" s="127" t="s">
        <v>4261</v>
      </c>
      <c r="J1063"/>
      <c r="K1063"/>
      <c r="L1063"/>
    </row>
    <row r="1064" spans="1:12">
      <c r="A1064" s="95" t="s">
        <v>734</v>
      </c>
      <c r="B1064" t="s">
        <v>4166</v>
      </c>
      <c r="C1064" s="87" t="s">
        <v>847</v>
      </c>
      <c r="D1064" s="88"/>
      <c r="E1064" s="89">
        <v>68150215</v>
      </c>
      <c r="F1064"/>
      <c r="G1064" s="17" t="s">
        <v>2</v>
      </c>
      <c r="H1064" s="132">
        <v>46086</v>
      </c>
      <c r="I1064" s="127" t="s">
        <v>4262</v>
      </c>
      <c r="J1064"/>
      <c r="K1064"/>
      <c r="L1064"/>
    </row>
    <row r="1065" spans="1:12">
      <c r="A1065" s="95" t="s">
        <v>734</v>
      </c>
      <c r="B1065" t="s">
        <v>4166</v>
      </c>
      <c r="C1065" s="87" t="s">
        <v>848</v>
      </c>
      <c r="D1065" s="88"/>
      <c r="E1065" s="89">
        <v>69223667</v>
      </c>
      <c r="F1065"/>
      <c r="G1065" s="17" t="s">
        <v>6</v>
      </c>
      <c r="H1065" s="132">
        <v>46086</v>
      </c>
      <c r="I1065" s="127" t="s">
        <v>4263</v>
      </c>
      <c r="J1065" s="22">
        <v>46087</v>
      </c>
      <c r="K1065" t="s">
        <v>4264</v>
      </c>
      <c r="L1065"/>
    </row>
    <row r="1066" spans="1:12">
      <c r="A1066" s="95" t="s">
        <v>734</v>
      </c>
      <c r="B1066" t="s">
        <v>4166</v>
      </c>
      <c r="C1066" s="87" t="s">
        <v>849</v>
      </c>
      <c r="D1066" s="88"/>
      <c r="E1066" s="89">
        <v>7702517</v>
      </c>
      <c r="F1066"/>
      <c r="G1066" s="17" t="s">
        <v>6</v>
      </c>
      <c r="H1066" s="132">
        <v>46086</v>
      </c>
      <c r="I1066" s="127" t="s">
        <v>4265</v>
      </c>
      <c r="J1066" s="22">
        <v>46087</v>
      </c>
      <c r="K1066" t="s">
        <v>4266</v>
      </c>
      <c r="L1066"/>
    </row>
    <row r="1067" spans="1:12">
      <c r="A1067" s="95" t="s">
        <v>734</v>
      </c>
      <c r="B1067" t="s">
        <v>4166</v>
      </c>
      <c r="C1067" s="87" t="s">
        <v>850</v>
      </c>
      <c r="D1067" s="88"/>
      <c r="E1067" s="89">
        <v>66234475</v>
      </c>
      <c r="F1067"/>
      <c r="G1067" s="17" t="s">
        <v>3</v>
      </c>
      <c r="H1067" s="132">
        <v>46086</v>
      </c>
      <c r="I1067" s="127" t="s">
        <v>4267</v>
      </c>
      <c r="J1067"/>
      <c r="K1067"/>
      <c r="L1067"/>
    </row>
    <row r="1068" spans="1:12">
      <c r="A1068" s="95" t="s">
        <v>734</v>
      </c>
      <c r="B1068" t="s">
        <v>4166</v>
      </c>
      <c r="C1068" s="87" t="s">
        <v>851</v>
      </c>
      <c r="D1068" s="88"/>
      <c r="E1068" s="89">
        <v>64407983</v>
      </c>
      <c r="F1068"/>
      <c r="G1068" s="17" t="s">
        <v>2</v>
      </c>
      <c r="H1068" s="132">
        <v>46086</v>
      </c>
      <c r="I1068" s="127" t="s">
        <v>4268</v>
      </c>
      <c r="J1068" s="22">
        <v>45722</v>
      </c>
      <c r="K1068" t="s">
        <v>4269</v>
      </c>
      <c r="L1068"/>
    </row>
    <row r="1069" spans="1:12">
      <c r="A1069" s="95" t="s">
        <v>734</v>
      </c>
      <c r="B1069" t="s">
        <v>4166</v>
      </c>
      <c r="C1069" s="87" t="s">
        <v>852</v>
      </c>
      <c r="D1069" s="88"/>
      <c r="E1069" s="89">
        <v>65606418</v>
      </c>
      <c r="F1069"/>
      <c r="G1069" s="17" t="s">
        <v>1</v>
      </c>
      <c r="H1069" s="132">
        <v>46086</v>
      </c>
      <c r="I1069" s="127" t="s">
        <v>4270</v>
      </c>
      <c r="J1069"/>
      <c r="K1069"/>
      <c r="L1069" t="s">
        <v>4271</v>
      </c>
    </row>
    <row r="1070" spans="1:12">
      <c r="A1070" s="95" t="s">
        <v>734</v>
      </c>
      <c r="B1070" t="s">
        <v>4166</v>
      </c>
      <c r="C1070" s="87" t="s">
        <v>853</v>
      </c>
      <c r="D1070" s="88"/>
      <c r="E1070" s="89">
        <v>66699196</v>
      </c>
      <c r="F1070"/>
      <c r="G1070" s="17" t="s">
        <v>4</v>
      </c>
      <c r="H1070" s="132">
        <v>46086</v>
      </c>
      <c r="I1070" s="127" t="s">
        <v>4272</v>
      </c>
      <c r="J1070" s="22">
        <v>46087</v>
      </c>
      <c r="K1070" t="s">
        <v>4273</v>
      </c>
      <c r="L1070"/>
    </row>
    <row r="1071" spans="1:12">
      <c r="A1071" s="95" t="s">
        <v>734</v>
      </c>
      <c r="B1071" t="s">
        <v>4166</v>
      </c>
      <c r="C1071" s="87" t="s">
        <v>854</v>
      </c>
      <c r="D1071" s="88"/>
      <c r="E1071" s="89">
        <v>63725473</v>
      </c>
      <c r="F1071"/>
      <c r="G1071" s="17" t="s">
        <v>6</v>
      </c>
      <c r="H1071" s="132">
        <v>46086</v>
      </c>
      <c r="I1071" s="127" t="s">
        <v>4274</v>
      </c>
      <c r="J1071" t="s">
        <v>4275</v>
      </c>
      <c r="K1071" t="s">
        <v>4276</v>
      </c>
      <c r="L1071"/>
    </row>
    <row r="1072" spans="1:12">
      <c r="A1072" s="95" t="s">
        <v>734</v>
      </c>
      <c r="B1072" t="s">
        <v>4166</v>
      </c>
      <c r="C1072" s="87" t="s">
        <v>855</v>
      </c>
      <c r="D1072" s="88"/>
      <c r="E1072" s="89">
        <v>69829726</v>
      </c>
      <c r="F1072"/>
      <c r="G1072" s="17" t="s">
        <v>9</v>
      </c>
      <c r="H1072" s="132">
        <v>46086</v>
      </c>
      <c r="I1072" s="127" t="s">
        <v>4277</v>
      </c>
      <c r="J1072"/>
      <c r="K1072"/>
      <c r="L1072"/>
    </row>
    <row r="1073" spans="1:12">
      <c r="A1073" s="95" t="s">
        <v>734</v>
      </c>
      <c r="B1073" t="s">
        <v>4166</v>
      </c>
      <c r="C1073" s="87" t="s">
        <v>856</v>
      </c>
      <c r="D1073" s="88"/>
      <c r="E1073" s="89">
        <v>65751962</v>
      </c>
      <c r="F1073"/>
      <c r="G1073" s="17" t="s">
        <v>6</v>
      </c>
      <c r="H1073" s="132">
        <v>46086</v>
      </c>
      <c r="I1073" s="127" t="s">
        <v>4278</v>
      </c>
      <c r="J1073" s="22">
        <v>46087</v>
      </c>
      <c r="K1073" t="s">
        <v>4279</v>
      </c>
      <c r="L1073"/>
    </row>
    <row r="1074" spans="1:12">
      <c r="A1074" s="95" t="s">
        <v>734</v>
      </c>
      <c r="B1074" t="s">
        <v>4166</v>
      </c>
      <c r="C1074" s="87" t="s">
        <v>857</v>
      </c>
      <c r="D1074" s="88"/>
      <c r="E1074" s="89">
        <v>66671709</v>
      </c>
      <c r="F1074"/>
      <c r="G1074" s="17" t="s">
        <v>6</v>
      </c>
      <c r="H1074" s="132">
        <v>46086</v>
      </c>
      <c r="I1074" s="127" t="s">
        <v>4280</v>
      </c>
      <c r="J1074" s="22">
        <v>46087</v>
      </c>
      <c r="K1074" t="s">
        <v>4281</v>
      </c>
      <c r="L1074"/>
    </row>
    <row r="1075" spans="1:12">
      <c r="A1075" s="95" t="s">
        <v>734</v>
      </c>
      <c r="B1075" t="s">
        <v>4166</v>
      </c>
      <c r="C1075" s="87" t="s">
        <v>858</v>
      </c>
      <c r="D1075" s="88"/>
      <c r="E1075" s="89">
        <v>65502011</v>
      </c>
      <c r="F1075"/>
      <c r="G1075" s="17" t="s">
        <v>3</v>
      </c>
      <c r="H1075" s="132">
        <v>46086</v>
      </c>
      <c r="I1075" s="127" t="s">
        <v>4282</v>
      </c>
      <c r="J1075"/>
      <c r="K1075"/>
      <c r="L1075"/>
    </row>
    <row r="1076" spans="1:12">
      <c r="A1076" s="95" t="s">
        <v>734</v>
      </c>
      <c r="B1076" t="s">
        <v>4166</v>
      </c>
      <c r="C1076" s="87" t="s">
        <v>859</v>
      </c>
      <c r="D1076" s="88"/>
      <c r="E1076" s="89">
        <v>64885905</v>
      </c>
      <c r="F1076"/>
      <c r="G1076" s="17" t="s">
        <v>3</v>
      </c>
      <c r="H1076" s="132">
        <v>46086</v>
      </c>
      <c r="I1076" s="127" t="s">
        <v>4283</v>
      </c>
      <c r="J1076"/>
      <c r="K1076"/>
      <c r="L1076" t="s">
        <v>4284</v>
      </c>
    </row>
    <row r="1077" spans="1:12">
      <c r="A1077" s="95" t="s">
        <v>734</v>
      </c>
      <c r="B1077" t="s">
        <v>4166</v>
      </c>
      <c r="C1077" s="87" t="s">
        <v>860</v>
      </c>
      <c r="D1077" s="88"/>
      <c r="E1077" s="89">
        <v>62965907</v>
      </c>
      <c r="F1077"/>
      <c r="G1077" s="17" t="s">
        <v>1</v>
      </c>
      <c r="H1077" s="132">
        <v>46086</v>
      </c>
      <c r="I1077" s="127" t="s">
        <v>4285</v>
      </c>
      <c r="J1077"/>
      <c r="K1077"/>
      <c r="L1077"/>
    </row>
    <row r="1078" spans="1:12">
      <c r="A1078" s="95" t="s">
        <v>734</v>
      </c>
      <c r="B1078" t="s">
        <v>4166</v>
      </c>
      <c r="C1078" s="87" t="s">
        <v>861</v>
      </c>
      <c r="D1078" s="88"/>
      <c r="E1078" s="89">
        <v>64703351</v>
      </c>
      <c r="F1078"/>
      <c r="G1078" s="17" t="s">
        <v>6</v>
      </c>
      <c r="H1078" s="132">
        <v>46086</v>
      </c>
      <c r="I1078" s="127" t="s">
        <v>4286</v>
      </c>
      <c r="J1078"/>
      <c r="K1078"/>
      <c r="L1078"/>
    </row>
    <row r="1079" spans="1:12">
      <c r="A1079" s="95" t="s">
        <v>734</v>
      </c>
      <c r="B1079" t="s">
        <v>4166</v>
      </c>
      <c r="C1079" s="87" t="s">
        <v>862</v>
      </c>
      <c r="D1079" s="88"/>
      <c r="E1079" s="89">
        <v>65095972</v>
      </c>
      <c r="F1079"/>
      <c r="G1079" s="17" t="s">
        <v>3</v>
      </c>
      <c r="H1079" s="132">
        <v>46086</v>
      </c>
      <c r="I1079" s="127" t="s">
        <v>4286</v>
      </c>
      <c r="J1079"/>
      <c r="K1079"/>
      <c r="L1079"/>
    </row>
    <row r="1080" spans="1:12">
      <c r="A1080" s="95" t="s">
        <v>734</v>
      </c>
      <c r="B1080" t="s">
        <v>4166</v>
      </c>
      <c r="C1080" s="87" t="s">
        <v>863</v>
      </c>
      <c r="D1080" s="88"/>
      <c r="E1080" s="89">
        <v>64462328</v>
      </c>
      <c r="F1080"/>
      <c r="G1080" s="17" t="s">
        <v>3</v>
      </c>
      <c r="H1080" s="132">
        <v>46086</v>
      </c>
      <c r="I1080" s="127" t="s">
        <v>4287</v>
      </c>
      <c r="J1080"/>
      <c r="K1080"/>
      <c r="L1080" t="s">
        <v>4288</v>
      </c>
    </row>
    <row r="1081" spans="1:12">
      <c r="A1081" s="95" t="s">
        <v>734</v>
      </c>
      <c r="B1081" t="s">
        <v>4166</v>
      </c>
      <c r="C1081" s="87" t="s">
        <v>864</v>
      </c>
      <c r="D1081" s="88"/>
      <c r="E1081" s="89">
        <v>63456761</v>
      </c>
      <c r="F1081"/>
      <c r="G1081" s="17" t="s">
        <v>6</v>
      </c>
      <c r="H1081" s="132">
        <v>46086</v>
      </c>
      <c r="I1081" s="127" t="s">
        <v>4289</v>
      </c>
      <c r="J1081" s="22">
        <v>46087</v>
      </c>
      <c r="K1081" t="s">
        <v>4290</v>
      </c>
      <c r="L1081"/>
    </row>
    <row r="1082" spans="1:12">
      <c r="A1082" s="95" t="s">
        <v>734</v>
      </c>
      <c r="B1082" t="s">
        <v>4166</v>
      </c>
      <c r="C1082" s="87" t="s">
        <v>865</v>
      </c>
      <c r="D1082" s="88"/>
      <c r="E1082" s="89">
        <v>61690017</v>
      </c>
      <c r="F1082"/>
      <c r="G1082" s="17" t="s">
        <v>1</v>
      </c>
      <c r="H1082" s="132">
        <v>46086</v>
      </c>
      <c r="I1082" s="127" t="s">
        <v>4291</v>
      </c>
      <c r="J1082"/>
      <c r="K1082"/>
      <c r="L1082"/>
    </row>
    <row r="1083" spans="1:12">
      <c r="A1083" s="95" t="s">
        <v>734</v>
      </c>
      <c r="B1083" t="s">
        <v>4166</v>
      </c>
      <c r="C1083" s="87" t="s">
        <v>866</v>
      </c>
      <c r="D1083" s="88"/>
      <c r="E1083" s="89">
        <v>7308476</v>
      </c>
      <c r="F1083"/>
      <c r="G1083" s="17" t="s">
        <v>2</v>
      </c>
      <c r="H1083" s="132">
        <v>46086</v>
      </c>
      <c r="I1083" s="127" t="s">
        <v>4292</v>
      </c>
      <c r="J1083" s="22">
        <v>46087</v>
      </c>
      <c r="K1083" t="s">
        <v>4293</v>
      </c>
      <c r="L1083"/>
    </row>
    <row r="1084" spans="1:12">
      <c r="A1084" s="95" t="s">
        <v>734</v>
      </c>
      <c r="B1084" t="s">
        <v>4166</v>
      </c>
      <c r="C1084" s="87" t="s">
        <v>867</v>
      </c>
      <c r="D1084" s="88"/>
      <c r="E1084" s="89">
        <v>64481817</v>
      </c>
      <c r="F1084"/>
      <c r="G1084" s="17" t="s">
        <v>9</v>
      </c>
      <c r="H1084" s="132">
        <v>46086</v>
      </c>
      <c r="I1084" s="127" t="s">
        <v>4294</v>
      </c>
      <c r="J1084"/>
      <c r="K1084"/>
      <c r="L1084"/>
    </row>
    <row r="1085" spans="1:12">
      <c r="A1085" s="95" t="s">
        <v>734</v>
      </c>
      <c r="B1085" t="s">
        <v>4166</v>
      </c>
      <c r="C1085" s="87" t="s">
        <v>868</v>
      </c>
      <c r="D1085" s="88"/>
      <c r="E1085" s="89">
        <v>69244689</v>
      </c>
      <c r="F1085"/>
      <c r="G1085" s="17" t="s">
        <v>2</v>
      </c>
      <c r="H1085" s="132">
        <v>46086</v>
      </c>
      <c r="I1085" s="127" t="s">
        <v>4295</v>
      </c>
      <c r="J1085"/>
      <c r="K1085"/>
      <c r="L1085"/>
    </row>
    <row r="1086" spans="1:12">
      <c r="A1086" s="95" t="s">
        <v>734</v>
      </c>
      <c r="B1086" t="s">
        <v>4166</v>
      </c>
      <c r="C1086" s="87" t="s">
        <v>869</v>
      </c>
      <c r="D1086" s="88"/>
      <c r="E1086" s="89">
        <v>62050629</v>
      </c>
      <c r="F1086"/>
      <c r="G1086" s="17" t="s">
        <v>1</v>
      </c>
      <c r="H1086" s="132">
        <v>46086</v>
      </c>
      <c r="I1086" s="127" t="s">
        <v>4296</v>
      </c>
      <c r="J1086"/>
      <c r="K1086"/>
      <c r="L1086"/>
    </row>
    <row r="1087" spans="1:12">
      <c r="A1087" s="95" t="s">
        <v>734</v>
      </c>
      <c r="B1087" t="s">
        <v>4166</v>
      </c>
      <c r="C1087" s="87" t="s">
        <v>870</v>
      </c>
      <c r="D1087" s="88"/>
      <c r="E1087" s="89">
        <v>69159522</v>
      </c>
      <c r="F1087"/>
      <c r="G1087" s="17" t="s">
        <v>1</v>
      </c>
      <c r="H1087" s="132">
        <v>46086</v>
      </c>
      <c r="I1087" s="127" t="s">
        <v>4297</v>
      </c>
      <c r="J1087" s="22">
        <v>46087</v>
      </c>
      <c r="K1087" t="s">
        <v>4298</v>
      </c>
      <c r="L1087"/>
    </row>
    <row r="1088" spans="1:12">
      <c r="A1088" s="95" t="s">
        <v>734</v>
      </c>
      <c r="B1088" t="s">
        <v>4166</v>
      </c>
      <c r="C1088" s="87" t="s">
        <v>871</v>
      </c>
      <c r="D1088" s="88"/>
      <c r="E1088" s="89">
        <v>66396762</v>
      </c>
      <c r="F1088"/>
      <c r="G1088" s="17" t="s">
        <v>1</v>
      </c>
      <c r="H1088" s="132">
        <v>46086</v>
      </c>
      <c r="I1088" s="127" t="s">
        <v>4299</v>
      </c>
      <c r="J1088"/>
      <c r="K1088"/>
      <c r="L1088"/>
    </row>
    <row r="1089" spans="1:12">
      <c r="A1089" s="95" t="s">
        <v>734</v>
      </c>
      <c r="B1089" t="s">
        <v>4166</v>
      </c>
      <c r="C1089" s="87" t="s">
        <v>872</v>
      </c>
      <c r="D1089" s="88"/>
      <c r="E1089" s="89">
        <v>69389333</v>
      </c>
      <c r="F1089"/>
      <c r="G1089" s="17" t="s">
        <v>2</v>
      </c>
      <c r="H1089" s="132">
        <v>46086</v>
      </c>
      <c r="I1089" s="127" t="s">
        <v>4300</v>
      </c>
      <c r="J1089" s="22">
        <v>46087</v>
      </c>
      <c r="K1089" t="s">
        <v>4301</v>
      </c>
      <c r="L1089"/>
    </row>
    <row r="1090" spans="1:12">
      <c r="A1090" s="95" t="s">
        <v>734</v>
      </c>
      <c r="B1090" t="s">
        <v>4166</v>
      </c>
      <c r="C1090" s="87" t="s">
        <v>873</v>
      </c>
      <c r="D1090" s="88"/>
      <c r="E1090" s="89">
        <v>66312231</v>
      </c>
      <c r="F1090"/>
      <c r="G1090" s="17" t="s">
        <v>2</v>
      </c>
      <c r="H1090" s="132">
        <v>46086</v>
      </c>
      <c r="I1090" s="127" t="s">
        <v>4302</v>
      </c>
      <c r="J1090" s="22">
        <v>46087</v>
      </c>
      <c r="K1090" t="s">
        <v>4303</v>
      </c>
      <c r="L1090"/>
    </row>
    <row r="1091" spans="1:12">
      <c r="A1091" s="95" t="s">
        <v>734</v>
      </c>
      <c r="B1091" t="s">
        <v>4166</v>
      </c>
      <c r="C1091" s="87" t="s">
        <v>874</v>
      </c>
      <c r="D1091" s="88"/>
      <c r="E1091" s="89">
        <v>69141369</v>
      </c>
      <c r="F1091"/>
      <c r="G1091" s="17" t="s">
        <v>6</v>
      </c>
      <c r="H1091" s="132">
        <v>46086</v>
      </c>
      <c r="I1091" s="127" t="s">
        <v>4304</v>
      </c>
      <c r="J1091" s="22">
        <v>46087</v>
      </c>
      <c r="K1091" t="s">
        <v>4305</v>
      </c>
      <c r="L1091"/>
    </row>
    <row r="1092" spans="1:12">
      <c r="A1092" s="95" t="s">
        <v>734</v>
      </c>
      <c r="B1092" t="s">
        <v>4166</v>
      </c>
      <c r="C1092" s="87" t="s">
        <v>875</v>
      </c>
      <c r="D1092" s="88"/>
      <c r="E1092" s="89">
        <v>68884115</v>
      </c>
      <c r="F1092"/>
      <c r="G1092" s="17" t="s">
        <v>1</v>
      </c>
      <c r="H1092" s="132">
        <v>46086</v>
      </c>
      <c r="I1092" s="127" t="s">
        <v>4306</v>
      </c>
      <c r="J1092"/>
      <c r="K1092"/>
      <c r="L1092"/>
    </row>
    <row r="1093" spans="1:12">
      <c r="A1093" s="95" t="s">
        <v>734</v>
      </c>
      <c r="B1093" t="s">
        <v>4166</v>
      </c>
      <c r="C1093" s="87" t="s">
        <v>876</v>
      </c>
      <c r="D1093" s="88"/>
      <c r="E1093" s="89">
        <v>63218639</v>
      </c>
      <c r="F1093"/>
      <c r="G1093" s="17" t="s">
        <v>2</v>
      </c>
      <c r="H1093" s="132">
        <v>46086</v>
      </c>
      <c r="I1093" s="127" t="s">
        <v>4307</v>
      </c>
      <c r="J1093" s="22">
        <v>46087</v>
      </c>
      <c r="K1093" t="s">
        <v>4308</v>
      </c>
      <c r="L1093"/>
    </row>
    <row r="1094" spans="1:12">
      <c r="A1094" s="95" t="s">
        <v>734</v>
      </c>
      <c r="B1094" t="s">
        <v>4166</v>
      </c>
      <c r="C1094" s="87" t="s">
        <v>877</v>
      </c>
      <c r="D1094" s="88"/>
      <c r="E1094" s="89">
        <v>64418122</v>
      </c>
      <c r="F1094"/>
      <c r="G1094" s="17" t="s">
        <v>1</v>
      </c>
      <c r="H1094" s="132">
        <v>46086</v>
      </c>
      <c r="I1094" s="127" t="s">
        <v>4309</v>
      </c>
      <c r="J1094"/>
      <c r="K1094"/>
      <c r="L1094"/>
    </row>
    <row r="1095" spans="1:12">
      <c r="A1095" s="95" t="s">
        <v>734</v>
      </c>
      <c r="B1095" t="s">
        <v>4166</v>
      </c>
      <c r="C1095" s="87" t="s">
        <v>878</v>
      </c>
      <c r="D1095" s="88"/>
      <c r="E1095" s="89">
        <v>63498782</v>
      </c>
      <c r="F1095"/>
      <c r="G1095" s="17" t="s">
        <v>3</v>
      </c>
      <c r="H1095" s="132">
        <v>46086</v>
      </c>
      <c r="I1095" s="127" t="s">
        <v>4310</v>
      </c>
      <c r="J1095"/>
      <c r="K1095"/>
      <c r="L1095"/>
    </row>
    <row r="1096" spans="1:12">
      <c r="A1096" s="95" t="s">
        <v>734</v>
      </c>
      <c r="B1096" t="s">
        <v>4166</v>
      </c>
      <c r="C1096" s="87" t="s">
        <v>879</v>
      </c>
      <c r="D1096" s="88"/>
      <c r="E1096" s="89">
        <v>64100771</v>
      </c>
      <c r="F1096"/>
      <c r="G1096" s="17" t="s">
        <v>6</v>
      </c>
      <c r="H1096" s="132">
        <v>46086</v>
      </c>
      <c r="I1096" s="127" t="s">
        <v>4311</v>
      </c>
      <c r="J1096" t="s">
        <v>4312</v>
      </c>
      <c r="K1096" t="s">
        <v>4313</v>
      </c>
      <c r="L1096"/>
    </row>
    <row r="1097" spans="1:12">
      <c r="A1097" s="95" t="s">
        <v>734</v>
      </c>
      <c r="B1097" t="s">
        <v>4166</v>
      </c>
      <c r="C1097" s="87" t="s">
        <v>880</v>
      </c>
      <c r="D1097" s="88"/>
      <c r="E1097" s="89">
        <v>65423146</v>
      </c>
      <c r="F1097"/>
      <c r="G1097" s="17" t="s">
        <v>6</v>
      </c>
      <c r="H1097" s="132">
        <v>46086</v>
      </c>
      <c r="I1097" s="127" t="s">
        <v>4314</v>
      </c>
      <c r="J1097" s="22">
        <v>46087</v>
      </c>
      <c r="K1097" t="s">
        <v>4315</v>
      </c>
      <c r="L1097"/>
    </row>
    <row r="1098" spans="1:12">
      <c r="A1098" s="95" t="s">
        <v>734</v>
      </c>
      <c r="B1098" t="s">
        <v>4166</v>
      </c>
      <c r="C1098" s="87" t="s">
        <v>881</v>
      </c>
      <c r="D1098" s="88"/>
      <c r="E1098" s="89">
        <v>66213398</v>
      </c>
      <c r="F1098"/>
      <c r="G1098" s="17" t="s">
        <v>1</v>
      </c>
      <c r="H1098" s="132">
        <v>46086</v>
      </c>
      <c r="I1098" s="127" t="s">
        <v>4316</v>
      </c>
      <c r="J1098"/>
      <c r="K1098"/>
      <c r="L1098"/>
    </row>
    <row r="1099" spans="1:12">
      <c r="A1099" s="95" t="s">
        <v>734</v>
      </c>
      <c r="B1099" t="s">
        <v>4166</v>
      </c>
      <c r="C1099" s="87" t="s">
        <v>882</v>
      </c>
      <c r="D1099" s="88"/>
      <c r="E1099" s="89">
        <v>63343813</v>
      </c>
      <c r="F1099"/>
      <c r="G1099" s="17" t="s">
        <v>9</v>
      </c>
      <c r="H1099" s="132">
        <v>46086</v>
      </c>
      <c r="I1099" s="127" t="s">
        <v>4317</v>
      </c>
      <c r="J1099"/>
      <c r="K1099"/>
      <c r="L1099"/>
    </row>
    <row r="1100" spans="1:12">
      <c r="A1100" s="95" t="s">
        <v>734</v>
      </c>
      <c r="B1100" t="s">
        <v>4166</v>
      </c>
      <c r="C1100" s="87" t="s">
        <v>883</v>
      </c>
      <c r="D1100" s="88"/>
      <c r="E1100" s="89">
        <v>66392999</v>
      </c>
      <c r="F1100"/>
      <c r="G1100" s="17" t="s">
        <v>1</v>
      </c>
      <c r="H1100" s="132">
        <v>46086</v>
      </c>
      <c r="I1100" s="127" t="s">
        <v>4318</v>
      </c>
      <c r="J1100"/>
      <c r="K1100"/>
      <c r="L1100"/>
    </row>
    <row r="1101" spans="1:12">
      <c r="A1101" s="95" t="s">
        <v>734</v>
      </c>
      <c r="B1101" t="s">
        <v>4166</v>
      </c>
      <c r="C1101" s="87" t="s">
        <v>884</v>
      </c>
      <c r="D1101" s="88"/>
      <c r="E1101" s="89">
        <v>64283378</v>
      </c>
      <c r="F1101"/>
      <c r="G1101" s="17" t="s">
        <v>2</v>
      </c>
      <c r="H1101" s="132">
        <v>46086</v>
      </c>
      <c r="I1101" s="127" t="s">
        <v>4319</v>
      </c>
      <c r="J1101" s="22">
        <v>46087</v>
      </c>
      <c r="K1101" t="s">
        <v>4320</v>
      </c>
      <c r="L1101"/>
    </row>
    <row r="1102" spans="1:12">
      <c r="A1102" s="95" t="s">
        <v>734</v>
      </c>
      <c r="B1102" t="s">
        <v>4166</v>
      </c>
      <c r="C1102" s="87" t="s">
        <v>885</v>
      </c>
      <c r="D1102" s="88"/>
      <c r="E1102" s="89">
        <v>65226128</v>
      </c>
      <c r="F1102"/>
      <c r="G1102" s="17" t="s">
        <v>2</v>
      </c>
      <c r="H1102" s="132">
        <v>46086</v>
      </c>
      <c r="I1102" s="127" t="s">
        <v>4321</v>
      </c>
      <c r="J1102" s="22">
        <v>46087</v>
      </c>
      <c r="K1102" t="s">
        <v>4322</v>
      </c>
      <c r="L1102"/>
    </row>
    <row r="1103" spans="1:12">
      <c r="A1103" s="95" t="s">
        <v>734</v>
      </c>
      <c r="B1103" t="s">
        <v>4166</v>
      </c>
      <c r="C1103" s="87" t="s">
        <v>886</v>
      </c>
      <c r="D1103" s="88"/>
      <c r="E1103" s="89">
        <v>67265664</v>
      </c>
      <c r="F1103"/>
      <c r="G1103" s="17" t="s">
        <v>6</v>
      </c>
      <c r="H1103" s="132">
        <v>46086</v>
      </c>
      <c r="I1103" s="127" t="s">
        <v>4323</v>
      </c>
      <c r="J1103" s="22">
        <v>46087</v>
      </c>
      <c r="K1103" t="s">
        <v>4324</v>
      </c>
      <c r="L1103"/>
    </row>
    <row r="1104" spans="1:12">
      <c r="A1104" s="95" t="s">
        <v>734</v>
      </c>
      <c r="B1104" t="s">
        <v>4166</v>
      </c>
      <c r="C1104" s="87" t="s">
        <v>887</v>
      </c>
      <c r="D1104" s="88"/>
      <c r="E1104" s="89">
        <v>63947178</v>
      </c>
      <c r="F1104"/>
      <c r="G1104" s="17" t="s">
        <v>9</v>
      </c>
      <c r="H1104" s="132">
        <v>46086</v>
      </c>
      <c r="I1104" s="127" t="s">
        <v>4325</v>
      </c>
      <c r="J1104" s="22">
        <v>46087</v>
      </c>
      <c r="K1104" t="s">
        <v>4326</v>
      </c>
      <c r="L1104"/>
    </row>
    <row r="1105" spans="1:12">
      <c r="A1105" s="95" t="s">
        <v>734</v>
      </c>
      <c r="B1105" t="s">
        <v>4166</v>
      </c>
      <c r="C1105" s="87" t="s">
        <v>888</v>
      </c>
      <c r="D1105" s="88"/>
      <c r="E1105" s="89">
        <v>63731581</v>
      </c>
      <c r="F1105"/>
      <c r="G1105" s="17" t="s">
        <v>2</v>
      </c>
      <c r="H1105" s="132">
        <v>46086</v>
      </c>
      <c r="I1105" s="127" t="s">
        <v>4327</v>
      </c>
      <c r="J1105" s="22">
        <v>46087</v>
      </c>
      <c r="K1105" t="s">
        <v>4328</v>
      </c>
      <c r="L1105"/>
    </row>
    <row r="1106" spans="1:12">
      <c r="A1106" s="95" t="s">
        <v>734</v>
      </c>
      <c r="B1106" t="s">
        <v>4166</v>
      </c>
      <c r="C1106" s="87" t="s">
        <v>889</v>
      </c>
      <c r="D1106" s="88"/>
      <c r="E1106" s="89">
        <v>66940303</v>
      </c>
      <c r="F1106"/>
      <c r="G1106" s="17" t="s">
        <v>1</v>
      </c>
      <c r="H1106" s="132">
        <v>46086</v>
      </c>
      <c r="I1106" s="127" t="s">
        <v>4329</v>
      </c>
      <c r="J1106"/>
      <c r="K1106"/>
      <c r="L1106"/>
    </row>
    <row r="1107" spans="1:12">
      <c r="A1107" s="95" t="s">
        <v>734</v>
      </c>
      <c r="B1107" t="s">
        <v>4330</v>
      </c>
      <c r="C1107" s="87" t="s">
        <v>890</v>
      </c>
      <c r="D1107" s="88"/>
      <c r="E1107" s="89">
        <v>64548980</v>
      </c>
      <c r="F1107"/>
      <c r="G1107" s="17" t="s">
        <v>1</v>
      </c>
      <c r="H1107" s="132">
        <v>46086</v>
      </c>
      <c r="I1107" s="127">
        <v>0.45833333333333331</v>
      </c>
      <c r="J1107" s="22">
        <v>46087</v>
      </c>
      <c r="K1107" s="109">
        <v>0.43541666666666667</v>
      </c>
      <c r="L1107"/>
    </row>
    <row r="1108" spans="1:12">
      <c r="A1108" s="95" t="s">
        <v>734</v>
      </c>
      <c r="B1108" t="s">
        <v>4330</v>
      </c>
      <c r="C1108" s="87" t="s">
        <v>891</v>
      </c>
      <c r="D1108" s="88"/>
      <c r="E1108" s="89">
        <v>63093616</v>
      </c>
      <c r="F1108"/>
      <c r="G1108" s="17" t="s">
        <v>2</v>
      </c>
      <c r="H1108" s="132">
        <v>46086</v>
      </c>
      <c r="I1108" s="127">
        <v>0.45833333333333331</v>
      </c>
      <c r="J1108" s="22">
        <v>46087</v>
      </c>
      <c r="K1108" s="109">
        <v>0.43472222222222223</v>
      </c>
      <c r="L1108"/>
    </row>
    <row r="1109" spans="1:12">
      <c r="A1109" s="95" t="s">
        <v>734</v>
      </c>
      <c r="B1109" t="s">
        <v>4330</v>
      </c>
      <c r="C1109" s="87" t="s">
        <v>892</v>
      </c>
      <c r="D1109" s="88"/>
      <c r="E1109" s="89">
        <v>66500405</v>
      </c>
      <c r="F1109"/>
      <c r="G1109" s="17" t="s">
        <v>4</v>
      </c>
      <c r="H1109" s="132">
        <v>46086</v>
      </c>
      <c r="I1109" s="127">
        <v>0.4597222222222222</v>
      </c>
      <c r="J1109"/>
      <c r="K1109"/>
      <c r="L1109"/>
    </row>
    <row r="1110" spans="1:12">
      <c r="A1110" s="95" t="s">
        <v>734</v>
      </c>
      <c r="B1110" t="s">
        <v>4330</v>
      </c>
      <c r="C1110" s="87" t="s">
        <v>893</v>
      </c>
      <c r="D1110" s="88"/>
      <c r="E1110" s="89">
        <v>64654133</v>
      </c>
      <c r="F1110"/>
      <c r="G1110" s="17" t="s">
        <v>1</v>
      </c>
      <c r="H1110" s="132">
        <v>46086</v>
      </c>
      <c r="I1110" s="127">
        <v>0.46041666666666664</v>
      </c>
      <c r="J1110" s="22">
        <v>46087</v>
      </c>
      <c r="K1110" s="109">
        <v>0.43263888888888891</v>
      </c>
      <c r="L1110"/>
    </row>
    <row r="1111" spans="1:12">
      <c r="A1111" s="95" t="s">
        <v>734</v>
      </c>
      <c r="B1111" t="s">
        <v>4330</v>
      </c>
      <c r="C1111" s="87" t="s">
        <v>894</v>
      </c>
      <c r="D1111" s="88"/>
      <c r="E1111" s="89">
        <v>68984613</v>
      </c>
      <c r="F1111"/>
      <c r="G1111" s="17" t="s">
        <v>1</v>
      </c>
      <c r="H1111" s="132">
        <v>46086</v>
      </c>
      <c r="I1111" s="127" t="s">
        <v>4331</v>
      </c>
      <c r="J1111" s="22">
        <v>46087</v>
      </c>
      <c r="K1111" s="109">
        <v>0.42986111111111114</v>
      </c>
      <c r="L1111"/>
    </row>
    <row r="1112" spans="1:12">
      <c r="A1112" s="95" t="s">
        <v>734</v>
      </c>
      <c r="B1112" t="s">
        <v>4330</v>
      </c>
      <c r="C1112" s="87" t="s">
        <v>895</v>
      </c>
      <c r="D1112" s="88"/>
      <c r="E1112" s="89">
        <v>61117842</v>
      </c>
      <c r="F1112"/>
      <c r="G1112" s="17" t="s">
        <v>1</v>
      </c>
      <c r="H1112" s="132">
        <v>46086</v>
      </c>
      <c r="I1112" s="127">
        <v>0.46250000000000002</v>
      </c>
      <c r="J1112"/>
      <c r="K1112"/>
      <c r="L1112"/>
    </row>
    <row r="1113" spans="1:12">
      <c r="A1113" s="95" t="s">
        <v>734</v>
      </c>
      <c r="B1113" t="s">
        <v>4330</v>
      </c>
      <c r="C1113" s="87" t="s">
        <v>896</v>
      </c>
      <c r="D1113" s="88"/>
      <c r="E1113" s="89">
        <v>63962278</v>
      </c>
      <c r="F1113"/>
      <c r="G1113" s="17" t="s">
        <v>2</v>
      </c>
      <c r="H1113" s="132">
        <v>46086</v>
      </c>
      <c r="I1113" s="127">
        <v>0.46458333333333335</v>
      </c>
      <c r="J1113" s="22">
        <v>46087</v>
      </c>
      <c r="K1113" s="109">
        <v>0.42916666666666664</v>
      </c>
      <c r="L1113"/>
    </row>
    <row r="1114" spans="1:12">
      <c r="A1114" s="95" t="s">
        <v>734</v>
      </c>
      <c r="B1114" t="s">
        <v>4330</v>
      </c>
      <c r="C1114" s="87" t="s">
        <v>897</v>
      </c>
      <c r="D1114" s="88"/>
      <c r="E1114" s="89">
        <v>69661698</v>
      </c>
      <c r="F1114"/>
      <c r="G1114" s="17" t="s">
        <v>8</v>
      </c>
      <c r="H1114" s="132">
        <v>46086</v>
      </c>
      <c r="I1114" s="127">
        <v>0.46458333333333335</v>
      </c>
      <c r="J1114" s="22">
        <v>46087</v>
      </c>
      <c r="K1114" s="109">
        <v>0.4284722222222222</v>
      </c>
      <c r="L1114"/>
    </row>
    <row r="1115" spans="1:12">
      <c r="A1115" s="95" t="s">
        <v>734</v>
      </c>
      <c r="B1115" t="s">
        <v>4330</v>
      </c>
      <c r="C1115" s="87" t="s">
        <v>898</v>
      </c>
      <c r="D1115" s="88"/>
      <c r="E1115" s="89">
        <v>62931139</v>
      </c>
      <c r="F1115"/>
      <c r="G1115" s="17" t="s">
        <v>1</v>
      </c>
      <c r="H1115" s="132">
        <v>46086</v>
      </c>
      <c r="I1115" s="127">
        <v>0.46527777777777779</v>
      </c>
      <c r="J1115"/>
      <c r="K1115"/>
      <c r="L1115"/>
    </row>
    <row r="1116" spans="1:12">
      <c r="A1116" s="95" t="s">
        <v>734</v>
      </c>
      <c r="B1116" t="s">
        <v>4330</v>
      </c>
      <c r="C1116" s="87" t="s">
        <v>899</v>
      </c>
      <c r="D1116" s="88"/>
      <c r="E1116" s="89">
        <v>62704242</v>
      </c>
      <c r="F1116"/>
      <c r="G1116" s="17" t="s">
        <v>6</v>
      </c>
      <c r="H1116" s="132">
        <v>46086</v>
      </c>
      <c r="I1116" s="127">
        <v>0.46736111111111112</v>
      </c>
      <c r="J1116" s="22">
        <v>46087</v>
      </c>
      <c r="K1116" t="s">
        <v>4332</v>
      </c>
      <c r="L1116"/>
    </row>
    <row r="1117" spans="1:12">
      <c r="A1117" s="95" t="s">
        <v>734</v>
      </c>
      <c r="B1117" t="s">
        <v>4111</v>
      </c>
      <c r="C1117" s="87" t="s">
        <v>900</v>
      </c>
      <c r="D1117" s="88"/>
      <c r="E1117" s="89">
        <v>69844252</v>
      </c>
      <c r="F1117"/>
      <c r="G1117" s="17" t="s">
        <v>9</v>
      </c>
      <c r="H1117" s="132"/>
      <c r="J1117" s="22">
        <v>46087</v>
      </c>
      <c r="K1117" t="s">
        <v>4333</v>
      </c>
      <c r="L1117"/>
    </row>
    <row r="1118" spans="1:12">
      <c r="A1118" s="95" t="s">
        <v>734</v>
      </c>
      <c r="B1118" t="s">
        <v>4111</v>
      </c>
      <c r="C1118" s="87" t="s">
        <v>901</v>
      </c>
      <c r="D1118" s="88"/>
      <c r="E1118" s="89">
        <v>63179481</v>
      </c>
      <c r="F1118"/>
      <c r="G1118" s="17" t="s">
        <v>1</v>
      </c>
      <c r="H1118" s="132"/>
      <c r="J1118"/>
      <c r="K1118"/>
      <c r="L1118"/>
    </row>
    <row r="1119" spans="1:12">
      <c r="A1119" s="95" t="s">
        <v>734</v>
      </c>
      <c r="B1119" t="s">
        <v>4111</v>
      </c>
      <c r="C1119" s="87" t="s">
        <v>902</v>
      </c>
      <c r="D1119" s="88"/>
      <c r="E1119" s="89">
        <v>69163205</v>
      </c>
      <c r="F1119"/>
      <c r="G1119" s="17" t="s">
        <v>2</v>
      </c>
      <c r="H1119" s="132"/>
      <c r="J1119" t="s">
        <v>4334</v>
      </c>
      <c r="K1119" t="s">
        <v>4335</v>
      </c>
      <c r="L1119"/>
    </row>
    <row r="1120" spans="1:12">
      <c r="A1120" s="95" t="s">
        <v>734</v>
      </c>
      <c r="B1120" t="s">
        <v>4111</v>
      </c>
      <c r="C1120" s="87" t="s">
        <v>903</v>
      </c>
      <c r="D1120" s="88"/>
      <c r="E1120" s="89">
        <v>66900494</v>
      </c>
      <c r="F1120"/>
      <c r="G1120" s="17" t="s">
        <v>1</v>
      </c>
      <c r="H1120" s="132"/>
      <c r="I1120" s="127" t="s">
        <v>4336</v>
      </c>
      <c r="J1120"/>
      <c r="K1120"/>
      <c r="L1120"/>
    </row>
    <row r="1121" spans="1:12">
      <c r="A1121" s="95" t="s">
        <v>734</v>
      </c>
      <c r="B1121" t="s">
        <v>4111</v>
      </c>
      <c r="C1121" s="87" t="s">
        <v>904</v>
      </c>
      <c r="D1121" s="88"/>
      <c r="E1121" s="89">
        <v>68075473</v>
      </c>
      <c r="F1121"/>
      <c r="G1121" s="17" t="s">
        <v>2</v>
      </c>
      <c r="H1121" s="132"/>
      <c r="J1121"/>
      <c r="K1121"/>
      <c r="L1121"/>
    </row>
    <row r="1122" spans="1:12">
      <c r="A1122" s="95" t="s">
        <v>734</v>
      </c>
      <c r="B1122" t="s">
        <v>4111</v>
      </c>
      <c r="C1122" s="87" t="s">
        <v>905</v>
      </c>
      <c r="D1122" s="88"/>
      <c r="E1122" s="89">
        <v>7718738</v>
      </c>
      <c r="F1122"/>
      <c r="G1122" s="17" t="s">
        <v>6</v>
      </c>
      <c r="H1122" s="132"/>
      <c r="J1122" t="s">
        <v>4337</v>
      </c>
      <c r="K1122" t="s">
        <v>4338</v>
      </c>
      <c r="L1122"/>
    </row>
    <row r="1123" spans="1:12">
      <c r="A1123" s="95" t="s">
        <v>734</v>
      </c>
      <c r="B1123" t="s">
        <v>4111</v>
      </c>
      <c r="C1123" s="87" t="s">
        <v>906</v>
      </c>
      <c r="D1123" s="88"/>
      <c r="E1123" s="89">
        <v>65049908</v>
      </c>
      <c r="F1123"/>
      <c r="G1123" s="17" t="s">
        <v>1</v>
      </c>
      <c r="H1123" s="132"/>
      <c r="J1123"/>
      <c r="K1123"/>
      <c r="L1123"/>
    </row>
    <row r="1124" spans="1:12">
      <c r="A1124" s="95" t="s">
        <v>734</v>
      </c>
      <c r="B1124" t="s">
        <v>4111</v>
      </c>
      <c r="C1124" s="87" t="s">
        <v>907</v>
      </c>
      <c r="D1124" s="88"/>
      <c r="E1124" s="89">
        <v>68888868</v>
      </c>
      <c r="F1124"/>
      <c r="G1124" s="17" t="s">
        <v>6</v>
      </c>
      <c r="H1124" s="132"/>
      <c r="J1124" t="s">
        <v>4339</v>
      </c>
      <c r="K1124"/>
      <c r="L1124"/>
    </row>
    <row r="1125" spans="1:12">
      <c r="A1125" s="95" t="s">
        <v>734</v>
      </c>
      <c r="B1125" t="s">
        <v>4111</v>
      </c>
      <c r="C1125" s="87" t="s">
        <v>908</v>
      </c>
      <c r="D1125" s="88"/>
      <c r="E1125" s="89">
        <v>7714306</v>
      </c>
      <c r="F1125"/>
      <c r="G1125" s="17" t="s">
        <v>1</v>
      </c>
      <c r="H1125" s="132"/>
      <c r="J1125"/>
      <c r="K1125"/>
      <c r="L1125"/>
    </row>
    <row r="1126" spans="1:12">
      <c r="A1126" s="95" t="s">
        <v>734</v>
      </c>
      <c r="B1126" t="s">
        <v>4330</v>
      </c>
      <c r="C1126" s="87" t="s">
        <v>909</v>
      </c>
      <c r="D1126" s="88"/>
      <c r="E1126" s="89">
        <v>67878491</v>
      </c>
      <c r="F1126"/>
      <c r="G1126" s="17" t="s">
        <v>1</v>
      </c>
      <c r="H1126" s="132">
        <v>46086</v>
      </c>
      <c r="I1126" s="127">
        <v>0.42222222222222222</v>
      </c>
      <c r="J1126"/>
      <c r="K1126"/>
      <c r="L1126"/>
    </row>
    <row r="1127" spans="1:12">
      <c r="A1127" s="95" t="s">
        <v>734</v>
      </c>
      <c r="B1127" t="s">
        <v>4330</v>
      </c>
      <c r="C1127" s="87" t="s">
        <v>910</v>
      </c>
      <c r="D1127" s="88"/>
      <c r="E1127" s="89">
        <v>65701199</v>
      </c>
      <c r="F1127"/>
      <c r="G1127" s="17" t="s">
        <v>3</v>
      </c>
      <c r="H1127" s="132">
        <v>46086</v>
      </c>
      <c r="I1127" s="127">
        <v>0.41875000000000001</v>
      </c>
      <c r="J1127"/>
      <c r="K1127"/>
      <c r="L1127"/>
    </row>
    <row r="1128" spans="1:12">
      <c r="A1128" s="95" t="s">
        <v>734</v>
      </c>
      <c r="B1128" t="s">
        <v>4330</v>
      </c>
      <c r="C1128" s="87" t="s">
        <v>911</v>
      </c>
      <c r="D1128" s="88"/>
      <c r="E1128" s="89">
        <v>66278099</v>
      </c>
      <c r="F1128"/>
      <c r="G1128" s="17" t="s">
        <v>2</v>
      </c>
      <c r="H1128" s="132">
        <v>46086</v>
      </c>
      <c r="I1128" s="127">
        <v>0.4513888888888889</v>
      </c>
      <c r="J1128" s="22">
        <v>46087</v>
      </c>
      <c r="K1128" s="109">
        <v>0.42638888888888887</v>
      </c>
      <c r="L1128"/>
    </row>
    <row r="1129" spans="1:12">
      <c r="A1129" s="95" t="s">
        <v>734</v>
      </c>
      <c r="B1129" t="s">
        <v>4330</v>
      </c>
      <c r="C1129" s="87" t="s">
        <v>912</v>
      </c>
      <c r="D1129" s="88"/>
      <c r="E1129" s="89">
        <v>64859942</v>
      </c>
      <c r="F1129"/>
      <c r="G1129" s="17" t="s">
        <v>1</v>
      </c>
      <c r="H1129" s="132">
        <v>46086</v>
      </c>
      <c r="I1129" s="127">
        <v>0.44930555555555557</v>
      </c>
      <c r="J1129"/>
      <c r="K1129"/>
      <c r="L1129"/>
    </row>
    <row r="1130" spans="1:12">
      <c r="A1130" s="95" t="s">
        <v>734</v>
      </c>
      <c r="B1130" t="s">
        <v>4330</v>
      </c>
      <c r="C1130" s="87" t="s">
        <v>913</v>
      </c>
      <c r="D1130" s="88"/>
      <c r="E1130" s="89">
        <v>66858086</v>
      </c>
      <c r="F1130"/>
      <c r="G1130" s="17" t="s">
        <v>8</v>
      </c>
      <c r="H1130" s="132">
        <v>46086</v>
      </c>
      <c r="I1130" s="127">
        <v>0.44861111111111113</v>
      </c>
      <c r="J1130" s="22">
        <v>46087</v>
      </c>
      <c r="K1130" s="109">
        <v>0.42499999999999999</v>
      </c>
      <c r="L1130"/>
    </row>
    <row r="1131" spans="1:12">
      <c r="A1131" s="95" t="s">
        <v>734</v>
      </c>
      <c r="B1131" t="s">
        <v>4330</v>
      </c>
      <c r="C1131" s="87" t="s">
        <v>914</v>
      </c>
      <c r="D1131" s="88"/>
      <c r="E1131" s="89">
        <v>66014605</v>
      </c>
      <c r="F1131"/>
      <c r="G1131" s="17" t="s">
        <v>8</v>
      </c>
      <c r="H1131" s="132">
        <v>46086</v>
      </c>
      <c r="I1131" s="127">
        <v>0.44722222222222224</v>
      </c>
      <c r="J1131"/>
      <c r="K1131"/>
      <c r="L1131"/>
    </row>
    <row r="1132" spans="1:12">
      <c r="A1132" s="95" t="s">
        <v>734</v>
      </c>
      <c r="B1132" t="s">
        <v>4330</v>
      </c>
      <c r="C1132" s="87" t="s">
        <v>915</v>
      </c>
      <c r="D1132" s="88"/>
      <c r="E1132" s="89">
        <v>6468960</v>
      </c>
      <c r="F1132"/>
      <c r="G1132" s="17" t="s">
        <v>8</v>
      </c>
      <c r="H1132" s="132">
        <v>46087</v>
      </c>
      <c r="I1132" s="127" t="s">
        <v>4340</v>
      </c>
      <c r="J1132" s="22">
        <v>46087</v>
      </c>
      <c r="K1132" t="s">
        <v>4341</v>
      </c>
      <c r="L1132" t="s">
        <v>4342</v>
      </c>
    </row>
    <row r="1133" spans="1:12">
      <c r="A1133" s="95" t="s">
        <v>734</v>
      </c>
      <c r="B1133" t="s">
        <v>4330</v>
      </c>
      <c r="C1133" s="87" t="s">
        <v>916</v>
      </c>
      <c r="D1133" s="88"/>
      <c r="E1133" s="89">
        <v>67025508</v>
      </c>
      <c r="F1133"/>
      <c r="G1133" s="17" t="s">
        <v>2</v>
      </c>
      <c r="H1133" s="132">
        <v>46086</v>
      </c>
      <c r="I1133" s="127">
        <v>0.44444444444444442</v>
      </c>
      <c r="J1133" s="22">
        <v>46087</v>
      </c>
      <c r="K1133" s="109">
        <v>0.42430555555555555</v>
      </c>
      <c r="L1133"/>
    </row>
    <row r="1134" spans="1:12">
      <c r="A1134" s="95" t="s">
        <v>734</v>
      </c>
      <c r="B1134" t="s">
        <v>4330</v>
      </c>
      <c r="C1134" s="87" t="s">
        <v>917</v>
      </c>
      <c r="D1134" s="88"/>
      <c r="E1134" s="89">
        <v>69881769</v>
      </c>
      <c r="F1134"/>
      <c r="G1134" s="17" t="s">
        <v>9</v>
      </c>
      <c r="H1134" s="132">
        <v>46086</v>
      </c>
      <c r="I1134" s="127">
        <v>0.44374999999999998</v>
      </c>
      <c r="J1134"/>
      <c r="K1134"/>
      <c r="L1134"/>
    </row>
    <row r="1135" spans="1:12">
      <c r="A1135" s="95" t="s">
        <v>734</v>
      </c>
      <c r="B1135" t="s">
        <v>4330</v>
      </c>
      <c r="C1135" s="87" t="s">
        <v>918</v>
      </c>
      <c r="D1135" s="88"/>
      <c r="E1135" s="89">
        <v>65913388</v>
      </c>
      <c r="F1135"/>
      <c r="G1135" s="17" t="s">
        <v>3</v>
      </c>
      <c r="H1135" s="132">
        <v>46086</v>
      </c>
      <c r="I1135" s="127">
        <v>0.44166666666666665</v>
      </c>
      <c r="J1135"/>
      <c r="K1135"/>
      <c r="L1135"/>
    </row>
    <row r="1136" spans="1:12">
      <c r="A1136" s="95" t="s">
        <v>734</v>
      </c>
      <c r="B1136" t="s">
        <v>4330</v>
      </c>
      <c r="C1136" s="87" t="s">
        <v>919</v>
      </c>
      <c r="D1136" s="88"/>
      <c r="E1136" s="89">
        <v>65171640</v>
      </c>
      <c r="F1136"/>
      <c r="G1136" s="17" t="s">
        <v>2</v>
      </c>
      <c r="H1136" s="132">
        <v>46086</v>
      </c>
      <c r="I1136" s="127">
        <v>0.44097222222222221</v>
      </c>
      <c r="J1136" s="22">
        <v>46087</v>
      </c>
      <c r="K1136" s="109">
        <v>0.42291666666666666</v>
      </c>
      <c r="L1136"/>
    </row>
    <row r="1137" spans="1:12">
      <c r="A1137" s="95" t="s">
        <v>734</v>
      </c>
      <c r="B1137" t="s">
        <v>4330</v>
      </c>
      <c r="C1137" s="87" t="s">
        <v>920</v>
      </c>
      <c r="D1137" s="88"/>
      <c r="E1137" s="89">
        <v>64087575</v>
      </c>
      <c r="F1137"/>
      <c r="G1137" s="17" t="s">
        <v>3</v>
      </c>
      <c r="H1137" s="132">
        <v>46086</v>
      </c>
      <c r="I1137" s="127">
        <v>0.44027777777777777</v>
      </c>
      <c r="J1137" s="22">
        <v>46087</v>
      </c>
      <c r="K1137" s="109">
        <v>0.42152777777777778</v>
      </c>
      <c r="L1137"/>
    </row>
    <row r="1138" spans="1:12">
      <c r="A1138" s="95" t="s">
        <v>734</v>
      </c>
      <c r="B1138" t="s">
        <v>4330</v>
      </c>
      <c r="C1138" s="87" t="s">
        <v>921</v>
      </c>
      <c r="D1138" s="88"/>
      <c r="E1138" s="89">
        <v>7206690</v>
      </c>
      <c r="F1138"/>
      <c r="G1138" s="17" t="s">
        <v>1</v>
      </c>
      <c r="H1138" s="132">
        <v>46086</v>
      </c>
      <c r="I1138" s="127">
        <v>0.43958333333333333</v>
      </c>
      <c r="J1138" s="22">
        <v>46087</v>
      </c>
      <c r="K1138" s="109">
        <v>0.41875000000000001</v>
      </c>
      <c r="L1138"/>
    </row>
    <row r="1139" spans="1:12">
      <c r="A1139" s="95" t="s">
        <v>734</v>
      </c>
      <c r="B1139" t="s">
        <v>4330</v>
      </c>
      <c r="C1139" s="87" t="s">
        <v>922</v>
      </c>
      <c r="D1139" s="88"/>
      <c r="E1139" s="89">
        <v>7706296</v>
      </c>
      <c r="F1139"/>
      <c r="G1139" s="17" t="s">
        <v>3</v>
      </c>
      <c r="H1139" s="132">
        <v>46086</v>
      </c>
      <c r="I1139" s="127">
        <v>0.43680555555555556</v>
      </c>
      <c r="J1139" s="22">
        <v>46087</v>
      </c>
      <c r="K1139" s="109">
        <v>0.41805555555555557</v>
      </c>
      <c r="L1139"/>
    </row>
    <row r="1140" spans="1:12">
      <c r="A1140" s="95" t="s">
        <v>734</v>
      </c>
      <c r="B1140" t="s">
        <v>4330</v>
      </c>
      <c r="C1140" s="87" t="s">
        <v>923</v>
      </c>
      <c r="D1140" s="88"/>
      <c r="E1140" s="89">
        <v>7752354</v>
      </c>
      <c r="F1140"/>
      <c r="G1140" s="17" t="s">
        <v>8</v>
      </c>
      <c r="H1140" s="132">
        <v>46086</v>
      </c>
      <c r="I1140" s="127">
        <v>0.43541666666666667</v>
      </c>
      <c r="J1140" s="22">
        <v>46087</v>
      </c>
      <c r="K1140" s="109">
        <v>0.41666666666666669</v>
      </c>
      <c r="L1140"/>
    </row>
    <row r="1141" spans="1:12">
      <c r="A1141" s="95" t="s">
        <v>734</v>
      </c>
      <c r="B1141" t="s">
        <v>4330</v>
      </c>
      <c r="C1141" s="87" t="s">
        <v>924</v>
      </c>
      <c r="D1141" s="88"/>
      <c r="E1141" s="89">
        <v>7307263</v>
      </c>
      <c r="F1141"/>
      <c r="G1141" s="17" t="s">
        <v>8</v>
      </c>
      <c r="H1141" s="132">
        <v>46086</v>
      </c>
      <c r="I1141" s="127">
        <v>0.43472222222222223</v>
      </c>
      <c r="J1141" s="22">
        <v>46087</v>
      </c>
      <c r="K1141" s="109">
        <v>0.41458333333333336</v>
      </c>
      <c r="L1141"/>
    </row>
    <row r="1142" spans="1:12">
      <c r="A1142" s="95" t="s">
        <v>734</v>
      </c>
      <c r="B1142" t="s">
        <v>4330</v>
      </c>
      <c r="C1142" s="87" t="s">
        <v>925</v>
      </c>
      <c r="D1142" s="88"/>
      <c r="E1142" s="89">
        <v>7754969</v>
      </c>
      <c r="F1142"/>
      <c r="G1142" s="17" t="s">
        <v>2</v>
      </c>
      <c r="H1142" s="132">
        <v>46086</v>
      </c>
      <c r="I1142" s="127">
        <v>0.43472222222222223</v>
      </c>
      <c r="J1142" s="22">
        <v>46087</v>
      </c>
      <c r="K1142" s="109">
        <v>0.41319444444444442</v>
      </c>
      <c r="L1142"/>
    </row>
    <row r="1143" spans="1:12">
      <c r="A1143" s="95" t="s">
        <v>734</v>
      </c>
      <c r="B1143" t="s">
        <v>4330</v>
      </c>
      <c r="C1143" s="87" t="s">
        <v>926</v>
      </c>
      <c r="D1143" s="88"/>
      <c r="E1143" s="89">
        <v>7752746</v>
      </c>
      <c r="F1143"/>
      <c r="G1143" s="17" t="s">
        <v>6</v>
      </c>
      <c r="H1143" s="132">
        <v>46086</v>
      </c>
      <c r="I1143" s="127">
        <v>0.43402777777777779</v>
      </c>
      <c r="J1143" s="22">
        <v>46087</v>
      </c>
      <c r="K1143" s="109">
        <v>0.41249999999999998</v>
      </c>
      <c r="L1143"/>
    </row>
    <row r="1144" spans="1:12">
      <c r="A1144" s="95" t="s">
        <v>734</v>
      </c>
      <c r="B1144" t="s">
        <v>4330</v>
      </c>
      <c r="C1144" s="87" t="s">
        <v>927</v>
      </c>
      <c r="D1144" s="88"/>
      <c r="E1144" s="89">
        <v>7745990</v>
      </c>
      <c r="F1144"/>
      <c r="G1144" s="17" t="s">
        <v>1</v>
      </c>
      <c r="H1144" s="132">
        <v>46086</v>
      </c>
      <c r="I1144" s="127">
        <v>0.43194444444444446</v>
      </c>
      <c r="J1144"/>
      <c r="K1144"/>
      <c r="L1144"/>
    </row>
    <row r="1145" spans="1:12">
      <c r="A1145" s="95" t="s">
        <v>734</v>
      </c>
      <c r="B1145" t="s">
        <v>4330</v>
      </c>
      <c r="C1145" s="87" t="s">
        <v>928</v>
      </c>
      <c r="D1145" s="88"/>
      <c r="E1145" s="89">
        <v>60917371</v>
      </c>
      <c r="F1145"/>
      <c r="G1145" s="17" t="s">
        <v>6</v>
      </c>
      <c r="H1145" s="132">
        <v>46086</v>
      </c>
      <c r="I1145" s="127">
        <v>0.43125000000000002</v>
      </c>
      <c r="J1145" s="22">
        <v>46087</v>
      </c>
      <c r="K1145" s="109">
        <v>0.41111111111111109</v>
      </c>
      <c r="L1145"/>
    </row>
    <row r="1146" spans="1:12">
      <c r="A1146" s="95" t="s">
        <v>734</v>
      </c>
      <c r="B1146" t="s">
        <v>4330</v>
      </c>
      <c r="C1146" s="87" t="s">
        <v>929</v>
      </c>
      <c r="D1146" s="88"/>
      <c r="E1146" s="89">
        <v>63281781</v>
      </c>
      <c r="F1146"/>
      <c r="G1146" s="17" t="s">
        <v>2</v>
      </c>
      <c r="H1146" s="132">
        <v>46086</v>
      </c>
      <c r="I1146" s="127">
        <v>0.43055555555555558</v>
      </c>
      <c r="J1146"/>
      <c r="K1146"/>
      <c r="L1146"/>
    </row>
    <row r="1147" spans="1:12">
      <c r="A1147" s="95" t="s">
        <v>734</v>
      </c>
      <c r="B1147" t="s">
        <v>4330</v>
      </c>
      <c r="C1147" s="87" t="s">
        <v>930</v>
      </c>
      <c r="D1147" s="88"/>
      <c r="E1147" s="89">
        <v>62006587</v>
      </c>
      <c r="F1147"/>
      <c r="G1147" s="17" t="s">
        <v>8</v>
      </c>
      <c r="H1147" s="132">
        <v>46086</v>
      </c>
      <c r="I1147" s="127">
        <v>0.42708333333333331</v>
      </c>
      <c r="J1147"/>
      <c r="K1147"/>
      <c r="L1147"/>
    </row>
    <row r="1148" spans="1:12">
      <c r="A1148" s="95" t="s">
        <v>734</v>
      </c>
      <c r="B1148" t="s">
        <v>4330</v>
      </c>
      <c r="C1148" s="87" t="s">
        <v>931</v>
      </c>
      <c r="D1148" s="88"/>
      <c r="E1148" s="89">
        <v>7709486</v>
      </c>
      <c r="F1148"/>
      <c r="G1148" s="17" t="s">
        <v>2</v>
      </c>
      <c r="H1148" s="132">
        <v>46086</v>
      </c>
      <c r="I1148" s="127">
        <v>0.42638888888888887</v>
      </c>
      <c r="J1148" s="22">
        <v>46087</v>
      </c>
      <c r="K1148" s="109">
        <v>0.41041666666666665</v>
      </c>
      <c r="L1148"/>
    </row>
    <row r="1149" spans="1:12">
      <c r="A1149" s="95" t="s">
        <v>734</v>
      </c>
      <c r="B1149" t="s">
        <v>4330</v>
      </c>
      <c r="C1149" s="87" t="s">
        <v>932</v>
      </c>
      <c r="D1149" s="88"/>
      <c r="E1149" s="89">
        <v>7300427</v>
      </c>
      <c r="F1149"/>
      <c r="G1149" s="17" t="s">
        <v>4</v>
      </c>
      <c r="H1149" s="132">
        <v>46086</v>
      </c>
      <c r="I1149" s="127">
        <v>0.42430555555555555</v>
      </c>
      <c r="J1149"/>
      <c r="K1149"/>
      <c r="L1149"/>
    </row>
    <row r="1150" spans="1:12">
      <c r="A1150" s="95" t="s">
        <v>734</v>
      </c>
      <c r="B1150" t="s">
        <v>4343</v>
      </c>
      <c r="C1150" s="87" t="s">
        <v>933</v>
      </c>
      <c r="D1150" s="88"/>
      <c r="E1150" s="89">
        <v>7882755</v>
      </c>
      <c r="F1150"/>
      <c r="G1150" s="17" t="s">
        <v>4</v>
      </c>
      <c r="H1150" s="132">
        <v>46086</v>
      </c>
      <c r="I1150" s="127" t="s">
        <v>4336</v>
      </c>
      <c r="J1150"/>
      <c r="K1150"/>
      <c r="L1150"/>
    </row>
    <row r="1151" spans="1:12">
      <c r="A1151" s="95" t="s">
        <v>734</v>
      </c>
      <c r="B1151" t="s">
        <v>4343</v>
      </c>
      <c r="C1151" s="87" t="s">
        <v>934</v>
      </c>
      <c r="D1151" s="88"/>
      <c r="E1151" s="89">
        <v>66123417</v>
      </c>
      <c r="F1151"/>
      <c r="G1151" s="17" t="s">
        <v>1</v>
      </c>
      <c r="H1151" s="132">
        <v>46086</v>
      </c>
      <c r="I1151" s="127" t="s">
        <v>4344</v>
      </c>
      <c r="J1151"/>
      <c r="K1151"/>
      <c r="L1151"/>
    </row>
    <row r="1152" spans="1:12">
      <c r="A1152" s="95" t="s">
        <v>734</v>
      </c>
      <c r="B1152" t="s">
        <v>4343</v>
      </c>
      <c r="C1152" s="87" t="s">
        <v>935</v>
      </c>
      <c r="D1152" s="88"/>
      <c r="E1152" s="89">
        <v>67138880</v>
      </c>
      <c r="F1152"/>
      <c r="G1152" s="17" t="s">
        <v>6</v>
      </c>
      <c r="H1152" s="132">
        <v>46086</v>
      </c>
      <c r="I1152" s="127" t="s">
        <v>3293</v>
      </c>
      <c r="J1152"/>
      <c r="K1152"/>
      <c r="L1152"/>
    </row>
    <row r="1153" spans="1:12">
      <c r="A1153" s="95" t="s">
        <v>734</v>
      </c>
      <c r="B1153" t="s">
        <v>4343</v>
      </c>
      <c r="C1153" s="87" t="s">
        <v>936</v>
      </c>
      <c r="D1153" s="88"/>
      <c r="E1153" s="89">
        <v>7301482</v>
      </c>
      <c r="F1153"/>
      <c r="G1153" s="17" t="s">
        <v>6</v>
      </c>
      <c r="H1153" s="132">
        <v>46086</v>
      </c>
      <c r="I1153" s="127" t="s">
        <v>3294</v>
      </c>
      <c r="J1153"/>
      <c r="K1153"/>
      <c r="L1153"/>
    </row>
    <row r="1154" spans="1:12">
      <c r="A1154" s="95" t="s">
        <v>734</v>
      </c>
      <c r="B1154" t="s">
        <v>4343</v>
      </c>
      <c r="C1154" s="87" t="s">
        <v>937</v>
      </c>
      <c r="D1154" s="88"/>
      <c r="E1154" s="89">
        <v>64888811</v>
      </c>
      <c r="F1154"/>
      <c r="G1154" s="17" t="s">
        <v>6</v>
      </c>
      <c r="H1154" s="132">
        <v>46086</v>
      </c>
      <c r="I1154" s="127" t="s">
        <v>3295</v>
      </c>
      <c r="J1154"/>
      <c r="K1154"/>
      <c r="L1154"/>
    </row>
    <row r="1155" spans="1:12">
      <c r="A1155" s="95" t="s">
        <v>734</v>
      </c>
      <c r="B1155" t="s">
        <v>4343</v>
      </c>
      <c r="C1155" s="87" t="s">
        <v>938</v>
      </c>
      <c r="D1155" s="88"/>
      <c r="E1155" s="89">
        <v>62385461</v>
      </c>
      <c r="F1155" s="99" t="s">
        <v>4345</v>
      </c>
      <c r="G1155" s="17" t="s">
        <v>1</v>
      </c>
      <c r="H1155" s="132">
        <v>46086</v>
      </c>
      <c r="I1155" s="127" t="s">
        <v>3451</v>
      </c>
      <c r="J1155"/>
      <c r="K1155"/>
      <c r="L1155" t="s">
        <v>4346</v>
      </c>
    </row>
    <row r="1156" spans="1:12">
      <c r="A1156" s="95" t="s">
        <v>734</v>
      </c>
      <c r="B1156" t="s">
        <v>4343</v>
      </c>
      <c r="C1156" s="87" t="s">
        <v>939</v>
      </c>
      <c r="D1156" s="88"/>
      <c r="E1156" s="89">
        <v>64779617</v>
      </c>
      <c r="F1156"/>
      <c r="G1156" s="17" t="s">
        <v>1</v>
      </c>
      <c r="H1156" s="132">
        <v>46086</v>
      </c>
      <c r="I1156" s="127" t="s">
        <v>4347</v>
      </c>
      <c r="J1156"/>
      <c r="K1156"/>
      <c r="L1156"/>
    </row>
    <row r="1157" spans="1:12">
      <c r="A1157" s="95" t="s">
        <v>734</v>
      </c>
      <c r="B1157" t="s">
        <v>4343</v>
      </c>
      <c r="C1157" s="87" t="s">
        <v>940</v>
      </c>
      <c r="D1157" s="88"/>
      <c r="E1157" s="89">
        <v>62310312</v>
      </c>
      <c r="F1157"/>
      <c r="G1157" s="17" t="s">
        <v>6</v>
      </c>
      <c r="H1157" s="132">
        <v>46086</v>
      </c>
      <c r="I1157" s="127" t="s">
        <v>3475</v>
      </c>
      <c r="J1157"/>
      <c r="K1157"/>
      <c r="L1157"/>
    </row>
    <row r="1158" spans="1:12">
      <c r="A1158" s="95" t="s">
        <v>734</v>
      </c>
      <c r="B1158" t="s">
        <v>4343</v>
      </c>
      <c r="C1158" s="87" t="s">
        <v>941</v>
      </c>
      <c r="D1158" s="88"/>
      <c r="E1158" s="89">
        <v>69931345</v>
      </c>
      <c r="F1158"/>
      <c r="G1158" s="17" t="s">
        <v>6</v>
      </c>
      <c r="H1158" s="132">
        <v>46086</v>
      </c>
      <c r="I1158" s="127" t="s">
        <v>3478</v>
      </c>
      <c r="J1158"/>
      <c r="K1158"/>
      <c r="L1158"/>
    </row>
    <row r="1159" spans="1:12">
      <c r="A1159" s="95" t="s">
        <v>734</v>
      </c>
      <c r="B1159" t="s">
        <v>4343</v>
      </c>
      <c r="C1159" s="87" t="s">
        <v>942</v>
      </c>
      <c r="D1159" s="88"/>
      <c r="E1159" s="89">
        <v>68301018</v>
      </c>
      <c r="F1159"/>
      <c r="G1159" s="17" t="s">
        <v>2</v>
      </c>
      <c r="H1159" s="132">
        <v>46086</v>
      </c>
      <c r="I1159" s="127" t="s">
        <v>4348</v>
      </c>
      <c r="J1159"/>
      <c r="K1159"/>
      <c r="L1159"/>
    </row>
    <row r="1160" spans="1:12">
      <c r="A1160" s="95" t="s">
        <v>734</v>
      </c>
      <c r="B1160" t="s">
        <v>4343</v>
      </c>
      <c r="C1160" s="87" t="s">
        <v>943</v>
      </c>
      <c r="D1160" s="88"/>
      <c r="E1160" s="89">
        <v>6768297</v>
      </c>
      <c r="F1160"/>
      <c r="G1160" s="17" t="s">
        <v>9</v>
      </c>
      <c r="H1160" s="132">
        <v>46086</v>
      </c>
      <c r="I1160" s="127" t="s">
        <v>3321</v>
      </c>
      <c r="J1160"/>
      <c r="K1160"/>
      <c r="L1160"/>
    </row>
    <row r="1161" spans="1:12">
      <c r="A1161" s="95" t="s">
        <v>734</v>
      </c>
      <c r="B1161" t="s">
        <v>4343</v>
      </c>
      <c r="C1161" s="87" t="s">
        <v>944</v>
      </c>
      <c r="D1161" s="88"/>
      <c r="E1161" s="89">
        <v>66835606</v>
      </c>
      <c r="F1161"/>
      <c r="G1161" s="17" t="s">
        <v>6</v>
      </c>
      <c r="H1161" s="132">
        <v>46086</v>
      </c>
      <c r="I1161" s="127" t="s">
        <v>4349</v>
      </c>
      <c r="J1161"/>
      <c r="K1161"/>
      <c r="L1161"/>
    </row>
    <row r="1162" spans="1:12">
      <c r="A1162" s="95" t="s">
        <v>734</v>
      </c>
      <c r="B1162" t="s">
        <v>4343</v>
      </c>
      <c r="C1162" s="87" t="s">
        <v>945</v>
      </c>
      <c r="D1162" s="88"/>
      <c r="E1162" s="89">
        <v>69476218</v>
      </c>
      <c r="F1162"/>
      <c r="G1162" s="17" t="s">
        <v>9</v>
      </c>
      <c r="H1162" s="132">
        <v>46086</v>
      </c>
      <c r="I1162" s="127" t="s">
        <v>3323</v>
      </c>
      <c r="J1162"/>
      <c r="K1162"/>
      <c r="L1162"/>
    </row>
    <row r="1163" spans="1:12">
      <c r="A1163" s="95" t="s">
        <v>734</v>
      </c>
      <c r="B1163" t="s">
        <v>4343</v>
      </c>
      <c r="C1163" s="87" t="s">
        <v>946</v>
      </c>
      <c r="D1163" s="88"/>
      <c r="E1163" s="89">
        <v>7303564</v>
      </c>
      <c r="F1163"/>
      <c r="G1163" s="17" t="s">
        <v>6</v>
      </c>
      <c r="H1163" s="132">
        <v>46086</v>
      </c>
      <c r="I1163" s="127" t="s">
        <v>3325</v>
      </c>
      <c r="J1163"/>
      <c r="K1163"/>
      <c r="L1163"/>
    </row>
    <row r="1164" spans="1:12">
      <c r="A1164" s="95" t="s">
        <v>734</v>
      </c>
      <c r="B1164" t="s">
        <v>4343</v>
      </c>
      <c r="C1164" s="87" t="s">
        <v>947</v>
      </c>
      <c r="D1164" s="88"/>
      <c r="E1164" s="89">
        <v>69561964</v>
      </c>
      <c r="F1164"/>
      <c r="G1164" s="17" t="s">
        <v>1</v>
      </c>
      <c r="H1164" s="132">
        <v>46086</v>
      </c>
      <c r="I1164" s="127" t="s">
        <v>4350</v>
      </c>
      <c r="J1164"/>
      <c r="K1164"/>
      <c r="L1164"/>
    </row>
    <row r="1165" spans="1:12">
      <c r="A1165" s="95" t="s">
        <v>734</v>
      </c>
      <c r="B1165" t="s">
        <v>4343</v>
      </c>
      <c r="C1165" s="87" t="s">
        <v>948</v>
      </c>
      <c r="D1165" s="88"/>
      <c r="E1165" s="89">
        <v>62104644</v>
      </c>
      <c r="F1165"/>
      <c r="G1165" s="17" t="s">
        <v>6</v>
      </c>
      <c r="H1165" s="132">
        <v>46086</v>
      </c>
      <c r="I1165" s="127" t="s">
        <v>4351</v>
      </c>
      <c r="J1165"/>
      <c r="K1165"/>
      <c r="L1165"/>
    </row>
    <row r="1166" spans="1:12">
      <c r="A1166" s="95" t="s">
        <v>734</v>
      </c>
      <c r="B1166" t="s">
        <v>4343</v>
      </c>
      <c r="C1166" s="87" t="s">
        <v>949</v>
      </c>
      <c r="D1166" s="88"/>
      <c r="E1166" s="89">
        <v>68616387</v>
      </c>
      <c r="F1166"/>
      <c r="G1166" s="17" t="s">
        <v>6</v>
      </c>
      <c r="H1166" s="132">
        <v>46086</v>
      </c>
      <c r="I1166" s="127" t="s">
        <v>3330</v>
      </c>
      <c r="J1166"/>
      <c r="K1166"/>
      <c r="L1166"/>
    </row>
    <row r="1167" spans="1:12">
      <c r="A1167" s="95" t="s">
        <v>734</v>
      </c>
      <c r="B1167" t="s">
        <v>4343</v>
      </c>
      <c r="C1167" s="87" t="s">
        <v>950</v>
      </c>
      <c r="D1167" s="88"/>
      <c r="E1167" s="89">
        <v>65032140</v>
      </c>
      <c r="F1167"/>
      <c r="G1167" s="17" t="s">
        <v>3</v>
      </c>
      <c r="H1167" s="132">
        <v>46086</v>
      </c>
      <c r="I1167" s="127" t="s">
        <v>4352</v>
      </c>
      <c r="J1167"/>
      <c r="K1167"/>
      <c r="L1167"/>
    </row>
    <row r="1168" spans="1:12">
      <c r="A1168" s="95" t="s">
        <v>734</v>
      </c>
      <c r="B1168" t="s">
        <v>4343</v>
      </c>
      <c r="C1168" s="87" t="s">
        <v>951</v>
      </c>
      <c r="D1168" s="88"/>
      <c r="E1168" s="89">
        <v>66556299</v>
      </c>
      <c r="F1168"/>
      <c r="G1168" s="17" t="s">
        <v>6</v>
      </c>
      <c r="H1168" s="132">
        <v>46086</v>
      </c>
      <c r="I1168" s="127" t="s">
        <v>3331</v>
      </c>
      <c r="J1168"/>
      <c r="K1168"/>
      <c r="L1168"/>
    </row>
    <row r="1169" spans="1:12">
      <c r="A1169" s="95" t="s">
        <v>734</v>
      </c>
      <c r="B1169" t="s">
        <v>4343</v>
      </c>
      <c r="C1169" s="87" t="s">
        <v>952</v>
      </c>
      <c r="D1169" s="88"/>
      <c r="E1169" s="89">
        <v>68068036</v>
      </c>
      <c r="F1169"/>
      <c r="G1169" s="17" t="s">
        <v>4</v>
      </c>
      <c r="H1169" s="132">
        <v>46086</v>
      </c>
      <c r="I1169" s="127" t="s">
        <v>4353</v>
      </c>
      <c r="J1169"/>
      <c r="K1169"/>
      <c r="L1169"/>
    </row>
    <row r="1170" spans="1:12">
      <c r="A1170" s="95" t="s">
        <v>734</v>
      </c>
      <c r="B1170" t="s">
        <v>4343</v>
      </c>
      <c r="C1170" s="87" t="s">
        <v>953</v>
      </c>
      <c r="D1170" s="88"/>
      <c r="E1170" s="89">
        <v>65502289</v>
      </c>
      <c r="F1170"/>
      <c r="G1170" s="17" t="s">
        <v>3</v>
      </c>
      <c r="H1170" s="132">
        <v>46086</v>
      </c>
      <c r="I1170" s="127" t="s">
        <v>3354</v>
      </c>
      <c r="J1170"/>
      <c r="K1170"/>
      <c r="L1170"/>
    </row>
    <row r="1171" spans="1:12">
      <c r="A1171" s="95" t="s">
        <v>734</v>
      </c>
      <c r="B1171" t="s">
        <v>4343</v>
      </c>
      <c r="C1171" s="87" t="s">
        <v>954</v>
      </c>
      <c r="D1171" s="88"/>
      <c r="E1171" s="89">
        <v>68270499</v>
      </c>
      <c r="F1171"/>
      <c r="G1171" s="17" t="s">
        <v>1</v>
      </c>
      <c r="H1171" s="132">
        <v>46086</v>
      </c>
      <c r="I1171" s="127" t="s">
        <v>3357</v>
      </c>
      <c r="J1171"/>
      <c r="K1171"/>
      <c r="L1171"/>
    </row>
    <row r="1172" spans="1:12">
      <c r="A1172" s="95" t="s">
        <v>734</v>
      </c>
      <c r="B1172" t="s">
        <v>4330</v>
      </c>
      <c r="C1172" s="87" t="s">
        <v>955</v>
      </c>
      <c r="D1172" s="88"/>
      <c r="E1172" s="89">
        <v>66361084</v>
      </c>
      <c r="F1172"/>
      <c r="G1172" s="17" t="s">
        <v>3</v>
      </c>
      <c r="H1172" s="132">
        <v>46086</v>
      </c>
      <c r="I1172" s="127">
        <v>0.47013888888888888</v>
      </c>
      <c r="J1172"/>
      <c r="K1172"/>
      <c r="L1172"/>
    </row>
    <row r="1173" spans="1:12">
      <c r="A1173" s="95" t="s">
        <v>734</v>
      </c>
      <c r="B1173" t="s">
        <v>4330</v>
      </c>
      <c r="C1173" s="87" t="s">
        <v>956</v>
      </c>
      <c r="D1173" s="88"/>
      <c r="E1173" s="89">
        <v>66465524</v>
      </c>
      <c r="F1173"/>
      <c r="G1173" s="17" t="s">
        <v>1</v>
      </c>
      <c r="H1173" s="132">
        <v>46086</v>
      </c>
      <c r="I1173" s="127">
        <v>0.47152777777777777</v>
      </c>
      <c r="J1173" s="22">
        <v>46087</v>
      </c>
      <c r="K1173" s="109">
        <v>0.38194444444444442</v>
      </c>
      <c r="L1173"/>
    </row>
    <row r="1174" spans="1:12">
      <c r="A1174" s="95" t="s">
        <v>734</v>
      </c>
      <c r="B1174" t="s">
        <v>4330</v>
      </c>
      <c r="C1174" s="87" t="s">
        <v>957</v>
      </c>
      <c r="D1174" s="88"/>
      <c r="E1174" s="89">
        <v>66368125</v>
      </c>
      <c r="F1174"/>
      <c r="G1174" s="17" t="s">
        <v>1</v>
      </c>
      <c r="H1174" s="132">
        <v>46086</v>
      </c>
      <c r="I1174" s="127">
        <v>0.47361111111111109</v>
      </c>
      <c r="J1174"/>
      <c r="K1174"/>
      <c r="L1174"/>
    </row>
    <row r="1175" spans="1:12">
      <c r="A1175" s="95" t="s">
        <v>734</v>
      </c>
      <c r="B1175" t="s">
        <v>4330</v>
      </c>
      <c r="C1175" s="87" t="s">
        <v>958</v>
      </c>
      <c r="D1175" s="88"/>
      <c r="E1175" s="89">
        <v>65743849</v>
      </c>
      <c r="F1175"/>
      <c r="G1175" s="17" t="s">
        <v>8</v>
      </c>
      <c r="H1175" s="132">
        <v>46086</v>
      </c>
      <c r="I1175" s="127">
        <v>0.47499999999999998</v>
      </c>
      <c r="J1175"/>
      <c r="K1175"/>
      <c r="L1175"/>
    </row>
    <row r="1176" spans="1:12">
      <c r="A1176" s="95" t="s">
        <v>734</v>
      </c>
      <c r="B1176" t="s">
        <v>4330</v>
      </c>
      <c r="C1176" s="87" t="s">
        <v>959</v>
      </c>
      <c r="D1176" s="88"/>
      <c r="E1176" s="89">
        <v>67421060</v>
      </c>
      <c r="F1176"/>
      <c r="G1176" s="17" t="s">
        <v>1</v>
      </c>
      <c r="H1176" s="132">
        <v>46086</v>
      </c>
      <c r="I1176" s="127">
        <v>0.47916666666666669</v>
      </c>
      <c r="J1176" s="22">
        <v>46087</v>
      </c>
      <c r="K1176" s="109">
        <v>0.38333333333333336</v>
      </c>
      <c r="L1176"/>
    </row>
    <row r="1177" spans="1:12">
      <c r="A1177" s="95" t="s">
        <v>734</v>
      </c>
      <c r="B1177" t="s">
        <v>4330</v>
      </c>
      <c r="C1177" s="87" t="s">
        <v>960</v>
      </c>
      <c r="D1177" s="88"/>
      <c r="E1177" s="89">
        <v>64964249</v>
      </c>
      <c r="F1177"/>
      <c r="G1177" s="17" t="s">
        <v>1</v>
      </c>
      <c r="H1177" s="132">
        <v>46086</v>
      </c>
      <c r="I1177" s="127">
        <v>0.41666666666666669</v>
      </c>
      <c r="J1177"/>
      <c r="K1177"/>
      <c r="L1177"/>
    </row>
    <row r="1178" spans="1:12">
      <c r="A1178" s="95" t="s">
        <v>734</v>
      </c>
      <c r="B1178" t="s">
        <v>4330</v>
      </c>
      <c r="C1178" s="87" t="s">
        <v>961</v>
      </c>
      <c r="D1178" s="88"/>
      <c r="E1178" s="89">
        <v>66267606</v>
      </c>
      <c r="F1178"/>
      <c r="G1178" s="17" t="s">
        <v>3</v>
      </c>
      <c r="H1178" s="132">
        <v>46086</v>
      </c>
      <c r="I1178" s="127">
        <v>0.41666666666666669</v>
      </c>
      <c r="J1178" s="22">
        <v>46087</v>
      </c>
      <c r="K1178" s="109">
        <v>0.38611111111111113</v>
      </c>
      <c r="L1178"/>
    </row>
    <row r="1179" spans="1:12">
      <c r="A1179" s="95" t="s">
        <v>734</v>
      </c>
      <c r="B1179" t="s">
        <v>4330</v>
      </c>
      <c r="C1179" s="87" t="s">
        <v>962</v>
      </c>
      <c r="D1179" s="88"/>
      <c r="E1179" s="89">
        <v>68517397</v>
      </c>
      <c r="F1179"/>
      <c r="G1179" s="17" t="s">
        <v>1</v>
      </c>
      <c r="H1179" s="132">
        <v>46086</v>
      </c>
      <c r="I1179" s="127">
        <v>0.41458333333333336</v>
      </c>
      <c r="J1179"/>
      <c r="K1179"/>
      <c r="L1179"/>
    </row>
    <row r="1180" spans="1:12">
      <c r="A1180" s="95" t="s">
        <v>734</v>
      </c>
      <c r="B1180" t="s">
        <v>4330</v>
      </c>
      <c r="C1180" s="87" t="s">
        <v>963</v>
      </c>
      <c r="D1180" s="88"/>
      <c r="E1180" s="89">
        <v>68329019</v>
      </c>
      <c r="F1180"/>
      <c r="G1180" s="17" t="s">
        <v>6</v>
      </c>
      <c r="H1180" s="132">
        <v>46086</v>
      </c>
      <c r="I1180" s="127">
        <v>0.41388888888888886</v>
      </c>
      <c r="J1180" s="22">
        <v>46087</v>
      </c>
      <c r="K1180" s="109">
        <v>0.38819444444444445</v>
      </c>
      <c r="L1180"/>
    </row>
    <row r="1181" spans="1:12">
      <c r="A1181" s="95" t="s">
        <v>734</v>
      </c>
      <c r="B1181" t="s">
        <v>4330</v>
      </c>
      <c r="C1181" s="87" t="s">
        <v>964</v>
      </c>
      <c r="D1181" s="88"/>
      <c r="E1181" s="89">
        <v>63840122</v>
      </c>
      <c r="F1181"/>
      <c r="G1181" s="17" t="s">
        <v>1</v>
      </c>
      <c r="H1181" s="132">
        <v>46086</v>
      </c>
      <c r="I1181" s="127">
        <v>0.41319444444444442</v>
      </c>
      <c r="J1181"/>
      <c r="K1181"/>
      <c r="L1181"/>
    </row>
    <row r="1182" spans="1:12">
      <c r="A1182" s="95" t="s">
        <v>734</v>
      </c>
      <c r="B1182" t="s">
        <v>4330</v>
      </c>
      <c r="C1182" s="87" t="s">
        <v>965</v>
      </c>
      <c r="D1182" s="88"/>
      <c r="E1182" s="89">
        <v>7740024</v>
      </c>
      <c r="F1182"/>
      <c r="G1182" s="17" t="s">
        <v>2</v>
      </c>
      <c r="H1182" s="132">
        <v>46086</v>
      </c>
      <c r="I1182" s="127">
        <v>0.41249999999999998</v>
      </c>
      <c r="J1182" s="22">
        <v>46087</v>
      </c>
      <c r="K1182" s="109">
        <v>0.3888888888888889</v>
      </c>
      <c r="L1182"/>
    </row>
    <row r="1183" spans="1:12">
      <c r="A1183" s="95" t="s">
        <v>734</v>
      </c>
      <c r="B1183" t="s">
        <v>4330</v>
      </c>
      <c r="C1183" s="87" t="s">
        <v>966</v>
      </c>
      <c r="D1183" s="88"/>
      <c r="E1183" s="89">
        <v>68442861</v>
      </c>
      <c r="F1183"/>
      <c r="G1183" s="17" t="s">
        <v>3</v>
      </c>
      <c r="H1183" s="132">
        <v>46086</v>
      </c>
      <c r="I1183" s="127">
        <v>0.41041666666666665</v>
      </c>
      <c r="J1183"/>
      <c r="K1183"/>
      <c r="L1183"/>
    </row>
    <row r="1184" spans="1:12">
      <c r="A1184" s="95" t="s">
        <v>734</v>
      </c>
      <c r="B1184" t="s">
        <v>4330</v>
      </c>
      <c r="C1184" s="87" t="s">
        <v>967</v>
      </c>
      <c r="D1184" s="88"/>
      <c r="E1184" s="89">
        <v>67592484</v>
      </c>
      <c r="F1184"/>
      <c r="G1184" s="17" t="s">
        <v>4</v>
      </c>
      <c r="H1184" s="132">
        <v>46086</v>
      </c>
      <c r="I1184" s="127">
        <v>0.40902777777777777</v>
      </c>
      <c r="J1184"/>
      <c r="K1184"/>
      <c r="L1184"/>
    </row>
    <row r="1185" spans="1:12">
      <c r="A1185" s="95" t="s">
        <v>734</v>
      </c>
      <c r="B1185" t="s">
        <v>4330</v>
      </c>
      <c r="C1185" s="87" t="s">
        <v>968</v>
      </c>
      <c r="D1185" s="88"/>
      <c r="E1185" s="89">
        <v>7755573</v>
      </c>
      <c r="F1185"/>
      <c r="G1185" s="17" t="s">
        <v>9</v>
      </c>
      <c r="H1185" s="132">
        <v>46086</v>
      </c>
      <c r="I1185" s="127" t="s">
        <v>4354</v>
      </c>
      <c r="J1185"/>
      <c r="K1185"/>
      <c r="L1185"/>
    </row>
    <row r="1186" spans="1:12">
      <c r="A1186" s="95" t="s">
        <v>734</v>
      </c>
      <c r="B1186" t="s">
        <v>4330</v>
      </c>
      <c r="C1186" s="87" t="s">
        <v>969</v>
      </c>
      <c r="D1186" s="88"/>
      <c r="E1186" s="89">
        <v>65339408</v>
      </c>
      <c r="F1186"/>
      <c r="G1186" s="17" t="s">
        <v>6</v>
      </c>
      <c r="H1186" s="132">
        <v>46086</v>
      </c>
      <c r="I1186" s="127">
        <v>0.40763888888888888</v>
      </c>
      <c r="J1186" s="22">
        <v>46087</v>
      </c>
      <c r="K1186" s="109">
        <v>0.39097222222222222</v>
      </c>
      <c r="L1186"/>
    </row>
    <row r="1187" spans="1:12">
      <c r="A1187" s="95" t="s">
        <v>734</v>
      </c>
      <c r="B1187" t="s">
        <v>4330</v>
      </c>
      <c r="C1187" s="87" t="s">
        <v>970</v>
      </c>
      <c r="D1187" s="88"/>
      <c r="E1187" s="89">
        <v>67936888</v>
      </c>
      <c r="F1187"/>
      <c r="G1187" s="17" t="s">
        <v>1</v>
      </c>
      <c r="H1187" s="132">
        <v>46086</v>
      </c>
      <c r="I1187" s="127">
        <v>0.40625</v>
      </c>
      <c r="J1187"/>
      <c r="K1187"/>
      <c r="L1187"/>
    </row>
    <row r="1188" spans="1:12">
      <c r="A1188" s="95" t="s">
        <v>734</v>
      </c>
      <c r="B1188" t="s">
        <v>4330</v>
      </c>
      <c r="C1188" s="87" t="s">
        <v>971</v>
      </c>
      <c r="D1188" s="88"/>
      <c r="E1188" s="89">
        <v>64911413</v>
      </c>
      <c r="F1188"/>
      <c r="G1188" s="17" t="s">
        <v>1</v>
      </c>
      <c r="H1188" s="132">
        <v>46086</v>
      </c>
      <c r="I1188" s="127">
        <v>0.40486111111111112</v>
      </c>
      <c r="J1188"/>
      <c r="K1188"/>
      <c r="L1188"/>
    </row>
    <row r="1189" spans="1:12">
      <c r="A1189" s="95" t="s">
        <v>734</v>
      </c>
      <c r="B1189" t="s">
        <v>4330</v>
      </c>
      <c r="C1189" s="87" t="s">
        <v>972</v>
      </c>
      <c r="D1189" s="88"/>
      <c r="E1189" s="89">
        <v>63892163</v>
      </c>
      <c r="F1189"/>
      <c r="G1189" s="17" t="s">
        <v>2</v>
      </c>
      <c r="H1189" s="132">
        <v>46086</v>
      </c>
      <c r="I1189" s="127">
        <v>0.40416666666666667</v>
      </c>
      <c r="J1189" s="22">
        <v>46087</v>
      </c>
      <c r="K1189" s="109">
        <v>0.39166666666666666</v>
      </c>
      <c r="L1189"/>
    </row>
    <row r="1190" spans="1:12">
      <c r="A1190" s="95" t="s">
        <v>734</v>
      </c>
      <c r="B1190" t="s">
        <v>4330</v>
      </c>
      <c r="C1190" s="87" t="s">
        <v>973</v>
      </c>
      <c r="D1190" s="88"/>
      <c r="E1190" s="89">
        <v>67958981</v>
      </c>
      <c r="F1190"/>
      <c r="G1190" s="17" t="s">
        <v>6</v>
      </c>
      <c r="H1190" s="132">
        <v>46086</v>
      </c>
      <c r="I1190" s="127">
        <v>0.40347222222222223</v>
      </c>
      <c r="J1190" s="22">
        <v>46087</v>
      </c>
      <c r="K1190" s="109">
        <v>0.3923611111111111</v>
      </c>
      <c r="L1190"/>
    </row>
    <row r="1191" spans="1:12">
      <c r="A1191" s="95" t="s">
        <v>734</v>
      </c>
      <c r="B1191" t="s">
        <v>4330</v>
      </c>
      <c r="C1191" s="87" t="s">
        <v>974</v>
      </c>
      <c r="D1191" s="88"/>
      <c r="E1191" s="89">
        <v>7751613</v>
      </c>
      <c r="F1191"/>
      <c r="G1191" s="17" t="s">
        <v>2</v>
      </c>
      <c r="H1191" s="132">
        <v>46086</v>
      </c>
      <c r="I1191" s="127">
        <v>0.40277777777777779</v>
      </c>
      <c r="J1191" s="22">
        <v>46087</v>
      </c>
      <c r="K1191" s="109">
        <v>0.39305555555555555</v>
      </c>
      <c r="L1191"/>
    </row>
    <row r="1192" spans="1:12">
      <c r="A1192" s="95" t="s">
        <v>734</v>
      </c>
      <c r="B1192" t="s">
        <v>4330</v>
      </c>
      <c r="C1192" s="87" t="s">
        <v>975</v>
      </c>
      <c r="D1192" s="88"/>
      <c r="E1192" s="89">
        <v>62935552</v>
      </c>
      <c r="F1192"/>
      <c r="G1192" s="17" t="s">
        <v>1</v>
      </c>
      <c r="H1192" s="132">
        <v>46086</v>
      </c>
      <c r="I1192" s="127">
        <v>0.40138888888888891</v>
      </c>
      <c r="J1192"/>
      <c r="K1192"/>
      <c r="L1192"/>
    </row>
    <row r="1193" spans="1:12">
      <c r="A1193" s="95" t="s">
        <v>734</v>
      </c>
      <c r="B1193" t="s">
        <v>4330</v>
      </c>
      <c r="C1193" s="87" t="s">
        <v>976</v>
      </c>
      <c r="D1193" s="88"/>
      <c r="E1193" s="89">
        <v>69241671</v>
      </c>
      <c r="F1193"/>
      <c r="G1193" s="17" t="s">
        <v>1</v>
      </c>
      <c r="H1193" s="132">
        <v>46086</v>
      </c>
      <c r="I1193" s="127">
        <v>0.4</v>
      </c>
      <c r="J1193"/>
      <c r="K1193"/>
      <c r="L1193"/>
    </row>
    <row r="1194" spans="1:12">
      <c r="A1194" s="95" t="s">
        <v>734</v>
      </c>
      <c r="B1194" t="s">
        <v>4330</v>
      </c>
      <c r="C1194" s="87" t="s">
        <v>977</v>
      </c>
      <c r="D1194" s="88"/>
      <c r="E1194" s="89">
        <v>68396621</v>
      </c>
      <c r="F1194"/>
      <c r="G1194" s="17" t="s">
        <v>1</v>
      </c>
      <c r="H1194" s="132">
        <v>46086</v>
      </c>
      <c r="I1194" s="127">
        <v>0.39791666666666664</v>
      </c>
      <c r="J1194"/>
      <c r="K1194"/>
      <c r="L1194"/>
    </row>
    <row r="1195" spans="1:12">
      <c r="A1195" s="95" t="s">
        <v>734</v>
      </c>
      <c r="B1195" t="s">
        <v>4330</v>
      </c>
      <c r="C1195" s="87" t="s">
        <v>978</v>
      </c>
      <c r="D1195" s="88"/>
      <c r="E1195" s="89">
        <v>67523619</v>
      </c>
      <c r="F1195"/>
      <c r="G1195" s="17" t="s">
        <v>6</v>
      </c>
      <c r="H1195" s="132">
        <v>46086</v>
      </c>
      <c r="I1195" s="127">
        <v>0.39652777777777776</v>
      </c>
      <c r="J1195" s="22">
        <v>46087</v>
      </c>
      <c r="K1195" s="109">
        <v>0.39305555555555555</v>
      </c>
      <c r="L1195"/>
    </row>
    <row r="1196" spans="1:12">
      <c r="A1196" s="95" t="s">
        <v>734</v>
      </c>
      <c r="B1196" t="s">
        <v>4330</v>
      </c>
      <c r="C1196" s="87" t="s">
        <v>979</v>
      </c>
      <c r="D1196" s="88"/>
      <c r="E1196" s="89">
        <v>69510662</v>
      </c>
      <c r="F1196"/>
      <c r="G1196" s="17" t="s">
        <v>9</v>
      </c>
      <c r="H1196" s="132">
        <v>46086</v>
      </c>
      <c r="I1196" s="127">
        <v>0.375</v>
      </c>
      <c r="J1196"/>
      <c r="K1196"/>
      <c r="L1196"/>
    </row>
    <row r="1197" spans="1:12">
      <c r="A1197" s="95" t="s">
        <v>734</v>
      </c>
      <c r="B1197" t="s">
        <v>4330</v>
      </c>
      <c r="C1197" s="87" t="s">
        <v>980</v>
      </c>
      <c r="D1197" s="88"/>
      <c r="E1197" s="89">
        <v>7222832</v>
      </c>
      <c r="F1197"/>
      <c r="G1197" s="17" t="s">
        <v>3</v>
      </c>
      <c r="H1197" s="132">
        <v>46086</v>
      </c>
      <c r="I1197" s="127">
        <v>0.36249999999999999</v>
      </c>
      <c r="J1197" s="22">
        <v>46087</v>
      </c>
      <c r="K1197" s="109">
        <v>0.39444444444444443</v>
      </c>
      <c r="L1197"/>
    </row>
    <row r="1198" spans="1:12">
      <c r="A1198" s="95" t="s">
        <v>734</v>
      </c>
      <c r="B1198" t="s">
        <v>4330</v>
      </c>
      <c r="C1198" s="87" t="s">
        <v>981</v>
      </c>
      <c r="D1198" s="88"/>
      <c r="E1198" s="89">
        <v>7741641</v>
      </c>
      <c r="F1198"/>
      <c r="G1198" s="17" t="s">
        <v>9</v>
      </c>
      <c r="H1198" s="132">
        <v>46086</v>
      </c>
      <c r="I1198" s="127">
        <v>0.36319444444444443</v>
      </c>
      <c r="J1198" s="22">
        <v>46087</v>
      </c>
      <c r="K1198" s="109">
        <v>0.39652777777777776</v>
      </c>
      <c r="L1198"/>
    </row>
    <row r="1199" spans="1:12">
      <c r="A1199" s="95" t="s">
        <v>734</v>
      </c>
      <c r="B1199" t="s">
        <v>4330</v>
      </c>
      <c r="C1199" s="87" t="s">
        <v>982</v>
      </c>
      <c r="D1199" s="88"/>
      <c r="E1199" s="89">
        <v>65963252</v>
      </c>
      <c r="F1199"/>
      <c r="G1199" s="17" t="s">
        <v>1</v>
      </c>
      <c r="H1199" s="132">
        <v>46086</v>
      </c>
      <c r="I1199" s="127">
        <v>0.36527777777777776</v>
      </c>
      <c r="J1199"/>
      <c r="K1199"/>
      <c r="L1199"/>
    </row>
    <row r="1200" spans="1:12">
      <c r="A1200" s="95" t="s">
        <v>734</v>
      </c>
      <c r="B1200" t="s">
        <v>4330</v>
      </c>
      <c r="C1200" s="87" t="s">
        <v>983</v>
      </c>
      <c r="D1200" s="88"/>
      <c r="E1200" s="89">
        <v>62830747</v>
      </c>
      <c r="F1200"/>
      <c r="G1200" s="17" t="s">
        <v>6</v>
      </c>
      <c r="H1200" s="132">
        <v>46086</v>
      </c>
      <c r="I1200" s="127">
        <v>0.36736111111111114</v>
      </c>
      <c r="J1200" s="22">
        <v>46087</v>
      </c>
      <c r="K1200" s="109">
        <v>0.3972222222222222</v>
      </c>
      <c r="L1200"/>
    </row>
    <row r="1201" spans="1:12">
      <c r="A1201" s="95" t="s">
        <v>734</v>
      </c>
      <c r="B1201" t="s">
        <v>4330</v>
      </c>
      <c r="C1201" s="87" t="s">
        <v>984</v>
      </c>
      <c r="D1201" s="88"/>
      <c r="E1201" s="89">
        <v>64426468</v>
      </c>
      <c r="F1201"/>
      <c r="G1201" s="17" t="s">
        <v>6</v>
      </c>
      <c r="H1201" s="132">
        <v>46086</v>
      </c>
      <c r="I1201" s="127">
        <v>0.36875000000000002</v>
      </c>
      <c r="J1201" s="22">
        <v>46087</v>
      </c>
      <c r="K1201" s="109">
        <v>0.39791666666666664</v>
      </c>
      <c r="L1201"/>
    </row>
    <row r="1202" spans="1:12">
      <c r="A1202" s="95" t="s">
        <v>734</v>
      </c>
      <c r="B1202" t="s">
        <v>4330</v>
      </c>
      <c r="C1202" s="87" t="s">
        <v>985</v>
      </c>
      <c r="D1202" s="88"/>
      <c r="E1202" s="89">
        <v>64016666</v>
      </c>
      <c r="F1202"/>
      <c r="G1202" s="17" t="s">
        <v>1</v>
      </c>
      <c r="H1202" s="132">
        <v>46086</v>
      </c>
      <c r="I1202" s="127">
        <v>0.37222222222222223</v>
      </c>
      <c r="J1202" s="22">
        <v>46087</v>
      </c>
      <c r="K1202" s="109">
        <v>0.39861111111111114</v>
      </c>
      <c r="L1202"/>
    </row>
    <row r="1203" spans="1:12">
      <c r="A1203" s="95" t="s">
        <v>734</v>
      </c>
      <c r="B1203" t="s">
        <v>4330</v>
      </c>
      <c r="C1203" s="87" t="s">
        <v>986</v>
      </c>
      <c r="D1203" s="88"/>
      <c r="E1203" s="89">
        <v>64544391</v>
      </c>
      <c r="F1203"/>
      <c r="G1203" s="17" t="s">
        <v>3</v>
      </c>
      <c r="H1203" s="132">
        <v>46086</v>
      </c>
      <c r="I1203" s="127">
        <v>0.36944444444444446</v>
      </c>
      <c r="J1203" s="22">
        <v>46087</v>
      </c>
      <c r="K1203" s="109">
        <v>0.40138888888888891</v>
      </c>
      <c r="L1203"/>
    </row>
    <row r="1204" spans="1:12">
      <c r="A1204" s="95" t="s">
        <v>734</v>
      </c>
      <c r="B1204" t="s">
        <v>4330</v>
      </c>
      <c r="C1204" s="87" t="s">
        <v>987</v>
      </c>
      <c r="D1204" s="88"/>
      <c r="E1204" s="89">
        <v>68377049</v>
      </c>
      <c r="F1204"/>
      <c r="G1204" s="17" t="s">
        <v>6</v>
      </c>
      <c r="H1204" s="132">
        <v>46086</v>
      </c>
      <c r="I1204" s="127">
        <v>0.37291666666666667</v>
      </c>
      <c r="J1204" s="22">
        <v>46087</v>
      </c>
      <c r="K1204" s="109">
        <v>0.40277777777777779</v>
      </c>
      <c r="L1204"/>
    </row>
    <row r="1205" spans="1:12">
      <c r="A1205" s="95" t="s">
        <v>734</v>
      </c>
      <c r="B1205" t="s">
        <v>4330</v>
      </c>
      <c r="C1205" s="87" t="s">
        <v>988</v>
      </c>
      <c r="D1205" s="88"/>
      <c r="E1205" s="89">
        <v>65164606</v>
      </c>
      <c r="F1205"/>
      <c r="G1205" s="17" t="s">
        <v>1</v>
      </c>
      <c r="H1205" s="132">
        <v>46086</v>
      </c>
      <c r="I1205" s="127">
        <v>0.37361111111111112</v>
      </c>
      <c r="J1205"/>
      <c r="K1205"/>
      <c r="L1205"/>
    </row>
    <row r="1206" spans="1:12">
      <c r="A1206" s="95" t="s">
        <v>734</v>
      </c>
      <c r="B1206" t="s">
        <v>4330</v>
      </c>
      <c r="C1206" s="87" t="s">
        <v>989</v>
      </c>
      <c r="D1206" s="88"/>
      <c r="E1206" s="89">
        <v>7304804</v>
      </c>
      <c r="F1206"/>
      <c r="G1206" s="17" t="s">
        <v>6</v>
      </c>
      <c r="H1206" s="132">
        <v>46086</v>
      </c>
      <c r="I1206" s="127">
        <v>0.37569444444444444</v>
      </c>
      <c r="J1206" s="22">
        <v>46087</v>
      </c>
      <c r="K1206">
        <v>0.68125000000000002</v>
      </c>
      <c r="L1206"/>
    </row>
    <row r="1207" spans="1:12">
      <c r="A1207" s="95" t="s">
        <v>734</v>
      </c>
      <c r="B1207" t="s">
        <v>4330</v>
      </c>
      <c r="C1207" s="87" t="s">
        <v>990</v>
      </c>
      <c r="D1207" s="88"/>
      <c r="E1207" s="89">
        <v>7706308</v>
      </c>
      <c r="F1207"/>
      <c r="G1207" s="17" t="s">
        <v>9</v>
      </c>
      <c r="H1207" s="132">
        <v>46086</v>
      </c>
      <c r="I1207" s="127">
        <v>0.37638888888888888</v>
      </c>
      <c r="J1207" s="22">
        <v>46087</v>
      </c>
      <c r="K1207" s="109">
        <v>0.40486111111111112</v>
      </c>
      <c r="L1207"/>
    </row>
    <row r="1208" spans="1:12">
      <c r="A1208" s="95" t="s">
        <v>734</v>
      </c>
      <c r="B1208" t="s">
        <v>4330</v>
      </c>
      <c r="C1208" s="87" t="s">
        <v>991</v>
      </c>
      <c r="D1208" s="88"/>
      <c r="E1208" s="89">
        <v>65296283</v>
      </c>
      <c r="F1208"/>
      <c r="G1208" s="17" t="s">
        <v>3</v>
      </c>
      <c r="H1208" s="132">
        <v>46086</v>
      </c>
      <c r="I1208" s="127">
        <v>0.37708333333333333</v>
      </c>
      <c r="J1208"/>
      <c r="K1208"/>
      <c r="L1208"/>
    </row>
    <row r="1209" spans="1:12">
      <c r="A1209" s="95" t="s">
        <v>734</v>
      </c>
      <c r="B1209" t="s">
        <v>4330</v>
      </c>
      <c r="C1209" s="87" t="s">
        <v>992</v>
      </c>
      <c r="D1209" s="88"/>
      <c r="E1209" s="89">
        <v>64906310</v>
      </c>
      <c r="F1209"/>
      <c r="G1209" s="17" t="s">
        <v>1</v>
      </c>
      <c r="H1209" s="132">
        <v>46086</v>
      </c>
      <c r="I1209" s="127" t="s">
        <v>4355</v>
      </c>
      <c r="J1209"/>
      <c r="K1209"/>
      <c r="L1209"/>
    </row>
    <row r="1210" spans="1:12">
      <c r="A1210" s="95" t="s">
        <v>734</v>
      </c>
      <c r="B1210" t="s">
        <v>4330</v>
      </c>
      <c r="C1210" s="87" t="s">
        <v>993</v>
      </c>
      <c r="D1210" s="88"/>
      <c r="E1210" s="89">
        <v>7209091</v>
      </c>
      <c r="F1210"/>
      <c r="G1210" s="17" t="s">
        <v>3</v>
      </c>
      <c r="H1210" s="132">
        <v>46086</v>
      </c>
      <c r="I1210" s="127">
        <v>0.38055555555555554</v>
      </c>
      <c r="J1210"/>
      <c r="K1210"/>
      <c r="L1210"/>
    </row>
    <row r="1211" spans="1:12">
      <c r="A1211" s="95" t="s">
        <v>734</v>
      </c>
      <c r="B1211" t="s">
        <v>4330</v>
      </c>
      <c r="C1211" s="87" t="s">
        <v>994</v>
      </c>
      <c r="D1211" s="88"/>
      <c r="E1211" s="89">
        <v>67900212</v>
      </c>
      <c r="F1211"/>
      <c r="G1211" s="17" t="s">
        <v>1</v>
      </c>
      <c r="H1211" s="132">
        <v>46086</v>
      </c>
      <c r="I1211" s="127">
        <v>0.38472222222222224</v>
      </c>
      <c r="J1211"/>
      <c r="K1211"/>
      <c r="L1211"/>
    </row>
    <row r="1212" spans="1:12">
      <c r="A1212" s="95" t="s">
        <v>734</v>
      </c>
      <c r="B1212" t="s">
        <v>4330</v>
      </c>
      <c r="C1212" s="87" t="s">
        <v>995</v>
      </c>
      <c r="D1212" s="88"/>
      <c r="E1212" s="89">
        <v>67666023</v>
      </c>
      <c r="F1212"/>
      <c r="G1212" s="17" t="s">
        <v>1</v>
      </c>
      <c r="H1212" s="132">
        <v>46086</v>
      </c>
      <c r="I1212" s="127">
        <v>0.38680555555555557</v>
      </c>
      <c r="J1212"/>
      <c r="K1212"/>
      <c r="L1212"/>
    </row>
    <row r="1213" spans="1:12">
      <c r="A1213" s="95" t="s">
        <v>734</v>
      </c>
      <c r="B1213" t="s">
        <v>4330</v>
      </c>
      <c r="C1213" s="87" t="s">
        <v>996</v>
      </c>
      <c r="D1213" s="88"/>
      <c r="E1213" s="89">
        <v>7758298</v>
      </c>
      <c r="F1213"/>
      <c r="G1213" s="17" t="s">
        <v>6</v>
      </c>
      <c r="H1213" s="132">
        <v>46086</v>
      </c>
      <c r="I1213" s="127" t="s">
        <v>4356</v>
      </c>
      <c r="J1213" s="22">
        <v>46087</v>
      </c>
      <c r="K1213" s="109">
        <v>0.40555555555555556</v>
      </c>
      <c r="L1213"/>
    </row>
    <row r="1214" spans="1:12">
      <c r="A1214" s="95" t="s">
        <v>734</v>
      </c>
      <c r="B1214" t="s">
        <v>4330</v>
      </c>
      <c r="C1214" s="87" t="s">
        <v>997</v>
      </c>
      <c r="D1214" s="88"/>
      <c r="E1214" s="89">
        <v>64283307</v>
      </c>
      <c r="F1214"/>
      <c r="G1214" s="17" t="s">
        <v>6</v>
      </c>
      <c r="H1214" s="132">
        <v>46086</v>
      </c>
      <c r="I1214" s="127">
        <v>0.39027777777777778</v>
      </c>
      <c r="J1214" s="22">
        <v>46087</v>
      </c>
      <c r="K1214" s="109">
        <v>0.40625</v>
      </c>
      <c r="L1214"/>
    </row>
    <row r="1215" spans="1:12">
      <c r="A1215" s="95" t="s">
        <v>734</v>
      </c>
      <c r="B1215" t="s">
        <v>4330</v>
      </c>
      <c r="C1215" s="87" t="s">
        <v>998</v>
      </c>
      <c r="D1215" s="88"/>
      <c r="E1215" s="89">
        <v>7744287</v>
      </c>
      <c r="F1215"/>
      <c r="G1215" s="17" t="s">
        <v>4</v>
      </c>
      <c r="H1215" s="132">
        <v>46086</v>
      </c>
      <c r="I1215" s="127">
        <v>0.3923611111111111</v>
      </c>
      <c r="J1215"/>
      <c r="K1215"/>
      <c r="L1215"/>
    </row>
    <row r="1216" spans="1:12">
      <c r="A1216" s="95" t="s">
        <v>734</v>
      </c>
      <c r="B1216" t="s">
        <v>4330</v>
      </c>
      <c r="C1216" s="87" t="s">
        <v>999</v>
      </c>
      <c r="D1216" s="88"/>
      <c r="E1216" s="89">
        <v>7751348</v>
      </c>
      <c r="F1216"/>
      <c r="G1216" s="17" t="s">
        <v>9</v>
      </c>
      <c r="H1216" s="132">
        <v>46086</v>
      </c>
      <c r="I1216" s="127">
        <v>0.39305555555555555</v>
      </c>
      <c r="J1216"/>
      <c r="K1216"/>
      <c r="L1216"/>
    </row>
    <row r="1217" spans="1:12">
      <c r="A1217" s="95" t="s">
        <v>734</v>
      </c>
      <c r="B1217" t="s">
        <v>4330</v>
      </c>
      <c r="C1217" s="87" t="s">
        <v>1000</v>
      </c>
      <c r="D1217" s="88"/>
      <c r="E1217" s="89">
        <v>7098384</v>
      </c>
      <c r="F1217"/>
      <c r="G1217" s="17" t="s">
        <v>6</v>
      </c>
      <c r="H1217" s="132">
        <v>46086</v>
      </c>
      <c r="I1217" s="127">
        <v>0.39444444444444443</v>
      </c>
      <c r="J1217" s="22">
        <v>46087</v>
      </c>
      <c r="K1217" s="109">
        <v>0.40694444444444444</v>
      </c>
      <c r="L1217"/>
    </row>
    <row r="1218" spans="1:12">
      <c r="A1218" s="95" t="s">
        <v>734</v>
      </c>
      <c r="B1218" t="s">
        <v>4343</v>
      </c>
      <c r="C1218" s="87" t="s">
        <v>1001</v>
      </c>
      <c r="D1218" s="88"/>
      <c r="E1218" s="89">
        <v>68646044</v>
      </c>
      <c r="F1218"/>
      <c r="G1218" s="17" t="s">
        <v>6</v>
      </c>
      <c r="H1218" s="132">
        <v>46086</v>
      </c>
      <c r="I1218" s="127" t="s">
        <v>4357</v>
      </c>
      <c r="J1218" s="22">
        <v>46087</v>
      </c>
      <c r="K1218" s="109">
        <v>0.40763888888888888</v>
      </c>
      <c r="L1218"/>
    </row>
    <row r="1219" spans="1:12">
      <c r="A1219" s="95" t="s">
        <v>734</v>
      </c>
      <c r="B1219" t="s">
        <v>4343</v>
      </c>
      <c r="C1219" s="87" t="s">
        <v>1002</v>
      </c>
      <c r="D1219" s="88"/>
      <c r="E1219" s="89">
        <v>7760083</v>
      </c>
      <c r="F1219"/>
      <c r="G1219" s="17" t="s">
        <v>4</v>
      </c>
      <c r="H1219" s="132">
        <v>46086</v>
      </c>
      <c r="I1219" s="127" t="s">
        <v>3327</v>
      </c>
      <c r="J1219"/>
      <c r="K1219"/>
      <c r="L1219"/>
    </row>
    <row r="1220" spans="1:12">
      <c r="A1220" s="95" t="s">
        <v>734</v>
      </c>
      <c r="B1220" t="s">
        <v>4343</v>
      </c>
      <c r="C1220" s="87" t="s">
        <v>1003</v>
      </c>
      <c r="D1220" s="88"/>
      <c r="E1220" s="89">
        <v>68130281</v>
      </c>
      <c r="F1220"/>
      <c r="G1220" s="17" t="s">
        <v>1</v>
      </c>
      <c r="H1220" s="132">
        <v>46086</v>
      </c>
      <c r="I1220" s="127" t="s">
        <v>4358</v>
      </c>
      <c r="J1220"/>
      <c r="K1220"/>
      <c r="L1220"/>
    </row>
    <row r="1221" spans="1:12">
      <c r="A1221" s="95" t="s">
        <v>734</v>
      </c>
      <c r="B1221" t="s">
        <v>4343</v>
      </c>
      <c r="C1221" s="87" t="s">
        <v>1004</v>
      </c>
      <c r="D1221" s="88"/>
      <c r="E1221" s="89">
        <v>65752908</v>
      </c>
      <c r="F1221"/>
      <c r="G1221" s="17" t="s">
        <v>6</v>
      </c>
      <c r="H1221" s="132">
        <v>46086</v>
      </c>
      <c r="I1221" s="127" t="s">
        <v>4359</v>
      </c>
      <c r="J1221"/>
      <c r="K1221"/>
      <c r="L1221"/>
    </row>
    <row r="1222" spans="1:12">
      <c r="A1222" s="96" t="s">
        <v>734</v>
      </c>
      <c r="B1222" t="s">
        <v>4343</v>
      </c>
      <c r="C1222" s="92"/>
      <c r="D1222" s="17" t="s">
        <v>4360</v>
      </c>
      <c r="E1222" s="93" t="s">
        <v>4361</v>
      </c>
      <c r="F1222"/>
      <c r="G1222" s="17" t="s">
        <v>6</v>
      </c>
      <c r="H1222" s="132">
        <v>46086</v>
      </c>
      <c r="I1222" s="127" t="s">
        <v>3290</v>
      </c>
      <c r="J1222"/>
      <c r="K1222"/>
      <c r="L1222"/>
    </row>
    <row r="1223" spans="1:12">
      <c r="A1223" s="96" t="s">
        <v>734</v>
      </c>
      <c r="B1223" t="s">
        <v>4343</v>
      </c>
      <c r="C1223" s="92"/>
      <c r="D1223" s="17" t="s">
        <v>4362</v>
      </c>
      <c r="E1223" s="93" t="s">
        <v>4363</v>
      </c>
      <c r="F1223"/>
      <c r="G1223" s="17" t="s">
        <v>2</v>
      </c>
      <c r="H1223" s="132">
        <v>46086</v>
      </c>
      <c r="I1223" s="127" t="s">
        <v>4364</v>
      </c>
      <c r="J1223"/>
      <c r="K1223"/>
      <c r="L1223"/>
    </row>
    <row r="1224" spans="1:12">
      <c r="A1224" s="96" t="s">
        <v>734</v>
      </c>
      <c r="B1224" t="s">
        <v>4343</v>
      </c>
      <c r="C1224" s="92"/>
      <c r="D1224" s="17" t="s">
        <v>4365</v>
      </c>
      <c r="E1224" s="93" t="s">
        <v>4366</v>
      </c>
      <c r="F1224"/>
      <c r="G1224" s="17" t="s">
        <v>1</v>
      </c>
      <c r="H1224" s="132">
        <v>46086</v>
      </c>
      <c r="I1224" s="127" t="s">
        <v>4367</v>
      </c>
      <c r="J1224"/>
      <c r="K1224"/>
      <c r="L1224"/>
    </row>
    <row r="1225" spans="1:12">
      <c r="A1225" s="96" t="s">
        <v>734</v>
      </c>
      <c r="B1225" t="s">
        <v>4343</v>
      </c>
      <c r="C1225" s="92"/>
      <c r="D1225" s="17" t="s">
        <v>4368</v>
      </c>
      <c r="E1225" s="93" t="s">
        <v>4369</v>
      </c>
      <c r="F1225"/>
      <c r="G1225" s="17" t="s">
        <v>2</v>
      </c>
      <c r="H1225" s="132">
        <v>46086</v>
      </c>
      <c r="I1225" s="127" t="s">
        <v>3288</v>
      </c>
      <c r="J1225"/>
      <c r="K1225"/>
      <c r="L1225"/>
    </row>
    <row r="1226" spans="1:12">
      <c r="A1226" s="96" t="s">
        <v>734</v>
      </c>
      <c r="B1226" t="s">
        <v>4343</v>
      </c>
      <c r="C1226" s="92"/>
      <c r="D1226" s="17" t="s">
        <v>4370</v>
      </c>
      <c r="E1226" s="93" t="s">
        <v>4371</v>
      </c>
      <c r="F1226"/>
      <c r="G1226" s="17" t="s">
        <v>3</v>
      </c>
      <c r="H1226" s="132">
        <v>46086</v>
      </c>
      <c r="I1226" s="127" t="s">
        <v>3285</v>
      </c>
      <c r="J1226"/>
      <c r="K1226"/>
      <c r="L1226" t="s">
        <v>4372</v>
      </c>
    </row>
    <row r="1227" spans="1:12">
      <c r="A1227" s="96" t="s">
        <v>734</v>
      </c>
      <c r="B1227"/>
      <c r="C1227" s="92"/>
      <c r="D1227" s="17" t="s">
        <v>4373</v>
      </c>
      <c r="E1227" s="93" t="s">
        <v>4374</v>
      </c>
      <c r="F1227"/>
      <c r="G1227" s="17" t="s">
        <v>3</v>
      </c>
      <c r="H1227" s="132">
        <v>46086</v>
      </c>
      <c r="I1227" s="127" t="s">
        <v>3284</v>
      </c>
      <c r="J1227"/>
      <c r="K1227"/>
      <c r="L1227"/>
    </row>
    <row r="1228" spans="1:12">
      <c r="A1228" s="96" t="s">
        <v>734</v>
      </c>
      <c r="B1228" t="s">
        <v>4343</v>
      </c>
      <c r="C1228" s="92"/>
      <c r="D1228" s="17" t="s">
        <v>4375</v>
      </c>
      <c r="E1228" s="93" t="s">
        <v>4376</v>
      </c>
      <c r="F1228"/>
      <c r="G1228" s="17" t="s">
        <v>1</v>
      </c>
      <c r="H1228" s="132">
        <v>46085</v>
      </c>
      <c r="I1228" s="127" t="s">
        <v>3422</v>
      </c>
      <c r="J1228"/>
      <c r="K1228"/>
      <c r="L1228"/>
    </row>
    <row r="1229" spans="1:12">
      <c r="A1229" s="96" t="s">
        <v>734</v>
      </c>
      <c r="B1229" t="s">
        <v>4343</v>
      </c>
      <c r="C1229" s="92"/>
      <c r="D1229" s="17" t="s">
        <v>4377</v>
      </c>
      <c r="E1229" s="93" t="s">
        <v>4378</v>
      </c>
      <c r="F1229"/>
      <c r="G1229" s="17" t="s">
        <v>6</v>
      </c>
      <c r="H1229" s="132">
        <v>46085</v>
      </c>
      <c r="I1229" s="127" t="s">
        <v>3267</v>
      </c>
      <c r="J1229"/>
      <c r="K1229"/>
      <c r="L1229"/>
    </row>
    <row r="1230" spans="1:12">
      <c r="A1230" s="96" t="s">
        <v>734</v>
      </c>
      <c r="B1230" t="s">
        <v>4343</v>
      </c>
      <c r="C1230" s="92"/>
      <c r="D1230" s="17" t="s">
        <v>4379</v>
      </c>
      <c r="E1230" s="93" t="s">
        <v>4380</v>
      </c>
      <c r="F1230"/>
      <c r="G1230" s="17" t="s">
        <v>6</v>
      </c>
      <c r="H1230" s="132">
        <v>46085</v>
      </c>
      <c r="I1230" s="127" t="s">
        <v>3594</v>
      </c>
      <c r="J1230"/>
      <c r="K1230"/>
      <c r="L1230"/>
    </row>
    <row r="1231" spans="1:12">
      <c r="A1231" s="96" t="s">
        <v>734</v>
      </c>
      <c r="B1231" t="s">
        <v>4343</v>
      </c>
      <c r="C1231" s="92"/>
      <c r="D1231" s="17" t="s">
        <v>4381</v>
      </c>
      <c r="E1231" s="93" t="s">
        <v>4382</v>
      </c>
      <c r="F1231"/>
      <c r="G1231" s="17" t="s">
        <v>2</v>
      </c>
      <c r="H1231" s="132">
        <v>46085</v>
      </c>
      <c r="I1231" s="127" t="s">
        <v>3264</v>
      </c>
      <c r="J1231"/>
      <c r="K1231"/>
      <c r="L1231"/>
    </row>
    <row r="1232" spans="1:12">
      <c r="A1232" s="96" t="s">
        <v>734</v>
      </c>
      <c r="B1232" t="s">
        <v>4343</v>
      </c>
      <c r="C1232" s="92"/>
      <c r="D1232" s="17" t="s">
        <v>4383</v>
      </c>
      <c r="E1232" s="93" t="s">
        <v>4384</v>
      </c>
      <c r="F1232"/>
      <c r="G1232" s="17" t="s">
        <v>1</v>
      </c>
      <c r="H1232" s="132">
        <v>46085</v>
      </c>
      <c r="I1232" s="127" t="s">
        <v>3421</v>
      </c>
      <c r="J1232"/>
      <c r="K1232"/>
      <c r="L1232"/>
    </row>
    <row r="1233" spans="1:12">
      <c r="A1233" s="96" t="s">
        <v>734</v>
      </c>
      <c r="B1233" t="s">
        <v>4343</v>
      </c>
      <c r="C1233" s="92"/>
      <c r="D1233" s="17" t="s">
        <v>4385</v>
      </c>
      <c r="E1233" s="93" t="s">
        <v>4386</v>
      </c>
      <c r="F1233"/>
      <c r="G1233" s="17" t="s">
        <v>3</v>
      </c>
      <c r="H1233" s="132">
        <v>46085</v>
      </c>
      <c r="I1233" s="127" t="s">
        <v>4387</v>
      </c>
      <c r="J1233"/>
      <c r="K1233"/>
      <c r="L1233"/>
    </row>
    <row r="1234" spans="1:12">
      <c r="A1234" s="96" t="s">
        <v>734</v>
      </c>
      <c r="B1234" t="s">
        <v>4343</v>
      </c>
      <c r="C1234" s="92"/>
      <c r="D1234" s="17" t="s">
        <v>4388</v>
      </c>
      <c r="E1234" s="93" t="s">
        <v>4389</v>
      </c>
      <c r="F1234"/>
      <c r="G1234" s="17" t="s">
        <v>1</v>
      </c>
      <c r="H1234" s="132">
        <v>46085</v>
      </c>
      <c r="I1234" s="127" t="s">
        <v>3261</v>
      </c>
      <c r="J1234"/>
      <c r="K1234"/>
      <c r="L1234"/>
    </row>
    <row r="1235" spans="1:12">
      <c r="A1235" s="96" t="s">
        <v>734</v>
      </c>
      <c r="B1235" t="s">
        <v>4343</v>
      </c>
      <c r="C1235" s="92"/>
      <c r="D1235" s="17" t="s">
        <v>4390</v>
      </c>
      <c r="E1235" s="93" t="s">
        <v>4391</v>
      </c>
      <c r="F1235"/>
      <c r="G1235" s="17" t="s">
        <v>6</v>
      </c>
      <c r="H1235" s="132">
        <v>46085</v>
      </c>
      <c r="I1235" s="127" t="s">
        <v>3260</v>
      </c>
      <c r="J1235"/>
      <c r="K1235"/>
      <c r="L1235"/>
    </row>
    <row r="1236" spans="1:12">
      <c r="A1236" s="96" t="s">
        <v>734</v>
      </c>
      <c r="B1236" t="s">
        <v>4343</v>
      </c>
      <c r="C1236" s="92"/>
      <c r="D1236" s="17" t="s">
        <v>4392</v>
      </c>
      <c r="E1236" s="93" t="s">
        <v>4393</v>
      </c>
      <c r="F1236"/>
      <c r="G1236" s="17" t="s">
        <v>1</v>
      </c>
      <c r="H1236" s="132">
        <v>46085</v>
      </c>
      <c r="I1236" s="127" t="s">
        <v>3257</v>
      </c>
      <c r="J1236"/>
      <c r="K1236"/>
      <c r="L1236"/>
    </row>
    <row r="1237" spans="1:12">
      <c r="A1237" s="96" t="s">
        <v>734</v>
      </c>
      <c r="B1237" t="s">
        <v>4343</v>
      </c>
      <c r="C1237" s="92"/>
      <c r="D1237" s="17" t="s">
        <v>4394</v>
      </c>
      <c r="E1237" s="93" t="s">
        <v>4395</v>
      </c>
      <c r="F1237"/>
      <c r="G1237" s="17" t="s">
        <v>1</v>
      </c>
      <c r="H1237" s="132">
        <v>46085</v>
      </c>
      <c r="I1237" s="127" t="s">
        <v>3582</v>
      </c>
      <c r="J1237"/>
      <c r="K1237"/>
      <c r="L1237"/>
    </row>
    <row r="1238" spans="1:12">
      <c r="A1238" s="96" t="s">
        <v>734</v>
      </c>
      <c r="B1238" t="s">
        <v>4343</v>
      </c>
      <c r="C1238" s="92"/>
      <c r="D1238" s="17" t="s">
        <v>4396</v>
      </c>
      <c r="E1238" s="93" t="s">
        <v>4397</v>
      </c>
      <c r="F1238"/>
      <c r="G1238" s="17" t="s">
        <v>1</v>
      </c>
      <c r="H1238" s="132">
        <v>46085</v>
      </c>
      <c r="I1238" s="127" t="s">
        <v>3255</v>
      </c>
      <c r="J1238"/>
      <c r="K1238"/>
      <c r="L1238"/>
    </row>
    <row r="1239" spans="1:12">
      <c r="A1239" s="96" t="s">
        <v>734</v>
      </c>
      <c r="B1239" t="s">
        <v>4343</v>
      </c>
      <c r="C1239" s="92"/>
      <c r="D1239" s="17" t="s">
        <v>4398</v>
      </c>
      <c r="E1239" s="93" t="s">
        <v>4399</v>
      </c>
      <c r="F1239"/>
      <c r="G1239" s="17" t="s">
        <v>1</v>
      </c>
      <c r="H1239" s="132">
        <v>46085</v>
      </c>
      <c r="I1239" s="127" t="s">
        <v>3248</v>
      </c>
      <c r="J1239"/>
      <c r="K1239"/>
      <c r="L1239"/>
    </row>
    <row r="1240" spans="1:12">
      <c r="A1240" s="96" t="s">
        <v>734</v>
      </c>
      <c r="B1240" t="s">
        <v>4343</v>
      </c>
      <c r="C1240" s="92"/>
      <c r="D1240" s="17" t="s">
        <v>4400</v>
      </c>
      <c r="E1240" s="93" t="s">
        <v>4401</v>
      </c>
      <c r="F1240"/>
      <c r="G1240" s="17" t="s">
        <v>9</v>
      </c>
      <c r="H1240" s="132">
        <v>46085</v>
      </c>
      <c r="I1240" s="127" t="s">
        <v>3407</v>
      </c>
      <c r="J1240"/>
      <c r="K1240"/>
      <c r="L1240"/>
    </row>
    <row r="1241" spans="1:12">
      <c r="A1241" s="96" t="s">
        <v>734</v>
      </c>
      <c r="B1241" t="s">
        <v>4343</v>
      </c>
      <c r="C1241" s="92"/>
      <c r="D1241" s="17" t="s">
        <v>4402</v>
      </c>
      <c r="E1241" s="93" t="s">
        <v>4403</v>
      </c>
      <c r="F1241"/>
      <c r="G1241" s="17" t="s">
        <v>1</v>
      </c>
      <c r="H1241" s="132">
        <v>46085</v>
      </c>
      <c r="I1241" s="127" t="s">
        <v>4404</v>
      </c>
      <c r="J1241"/>
      <c r="K1241"/>
      <c r="L1241"/>
    </row>
    <row r="1242" spans="1:12">
      <c r="A1242" s="96" t="s">
        <v>734</v>
      </c>
      <c r="B1242" t="s">
        <v>4343</v>
      </c>
      <c r="C1242" s="92"/>
      <c r="D1242" s="17" t="s">
        <v>4405</v>
      </c>
      <c r="E1242" s="93" t="s">
        <v>3917</v>
      </c>
      <c r="F1242"/>
      <c r="G1242" s="17" t="s">
        <v>1</v>
      </c>
      <c r="H1242" s="132">
        <v>46085</v>
      </c>
      <c r="I1242" s="127" t="s">
        <v>3401</v>
      </c>
      <c r="J1242"/>
      <c r="K1242"/>
      <c r="L1242"/>
    </row>
    <row r="1243" spans="1:12">
      <c r="A1243" s="96" t="s">
        <v>734</v>
      </c>
      <c r="B1243" t="s">
        <v>4343</v>
      </c>
      <c r="C1243" s="92"/>
      <c r="D1243" s="17" t="s">
        <v>4406</v>
      </c>
      <c r="E1243" s="93" t="s">
        <v>4407</v>
      </c>
      <c r="F1243"/>
      <c r="G1243" s="17" t="s">
        <v>6</v>
      </c>
      <c r="H1243" s="132">
        <v>46085</v>
      </c>
      <c r="I1243" s="127" t="s">
        <v>3398</v>
      </c>
      <c r="J1243"/>
      <c r="K1243"/>
      <c r="L1243"/>
    </row>
    <row r="1244" spans="1:12">
      <c r="A1244" s="96" t="s">
        <v>734</v>
      </c>
      <c r="B1244" t="s">
        <v>4343</v>
      </c>
      <c r="C1244" s="92"/>
      <c r="D1244" s="17" t="s">
        <v>4408</v>
      </c>
      <c r="E1244" s="93" t="s">
        <v>4409</v>
      </c>
      <c r="F1244"/>
      <c r="G1244" s="17" t="s">
        <v>1</v>
      </c>
      <c r="H1244" s="132">
        <v>46085</v>
      </c>
      <c r="I1244" s="127" t="s">
        <v>4410</v>
      </c>
      <c r="J1244"/>
      <c r="K1244"/>
      <c r="L1244"/>
    </row>
    <row r="1245" spans="1:12">
      <c r="A1245" s="96" t="s">
        <v>734</v>
      </c>
      <c r="B1245" t="s">
        <v>4343</v>
      </c>
      <c r="C1245" s="92"/>
      <c r="D1245" s="17" t="s">
        <v>4411</v>
      </c>
      <c r="E1245" s="93" t="s">
        <v>4412</v>
      </c>
      <c r="F1245"/>
      <c r="G1245" s="17" t="s">
        <v>1</v>
      </c>
      <c r="H1245" s="132">
        <v>46085</v>
      </c>
      <c r="I1245" s="127" t="s">
        <v>3527</v>
      </c>
      <c r="J1245"/>
      <c r="K1245"/>
      <c r="L1245"/>
    </row>
    <row r="1246" spans="1:12">
      <c r="A1246" s="96" t="s">
        <v>734</v>
      </c>
      <c r="B1246" t="s">
        <v>4343</v>
      </c>
      <c r="C1246" s="92"/>
      <c r="D1246" s="17" t="s">
        <v>4413</v>
      </c>
      <c r="E1246" s="93" t="s">
        <v>4414</v>
      </c>
      <c r="F1246"/>
      <c r="G1246" s="17" t="s">
        <v>6</v>
      </c>
      <c r="H1246" s="132">
        <v>46085</v>
      </c>
      <c r="I1246" s="127" t="s">
        <v>3524</v>
      </c>
      <c r="J1246"/>
      <c r="K1246"/>
      <c r="L1246"/>
    </row>
    <row r="1247" spans="1:12">
      <c r="A1247" s="96" t="s">
        <v>734</v>
      </c>
      <c r="B1247" t="s">
        <v>4343</v>
      </c>
      <c r="C1247" s="92"/>
      <c r="D1247" s="17" t="s">
        <v>4415</v>
      </c>
      <c r="E1247" s="93" t="s">
        <v>4416</v>
      </c>
      <c r="F1247"/>
      <c r="G1247" s="17" t="s">
        <v>2</v>
      </c>
      <c r="H1247" s="132">
        <v>46085</v>
      </c>
      <c r="I1247" s="127" t="s">
        <v>4417</v>
      </c>
      <c r="J1247"/>
      <c r="K1247"/>
      <c r="L1247"/>
    </row>
    <row r="1248" spans="1:12">
      <c r="A1248" s="96" t="s">
        <v>734</v>
      </c>
      <c r="B1248" t="s">
        <v>4343</v>
      </c>
      <c r="C1248" s="92"/>
      <c r="D1248" s="17" t="s">
        <v>4418</v>
      </c>
      <c r="E1248" s="93" t="s">
        <v>4419</v>
      </c>
      <c r="F1248"/>
      <c r="G1248" s="17" t="s">
        <v>6</v>
      </c>
      <c r="H1248" s="132">
        <v>46085</v>
      </c>
      <c r="I1248" s="127" t="s">
        <v>3512</v>
      </c>
      <c r="J1248"/>
      <c r="K1248"/>
      <c r="L1248"/>
    </row>
    <row r="1249" spans="1:12">
      <c r="A1249" s="96" t="s">
        <v>734</v>
      </c>
      <c r="B1249" t="s">
        <v>4343</v>
      </c>
      <c r="C1249" s="92"/>
      <c r="D1249" s="17" t="s">
        <v>4420</v>
      </c>
      <c r="E1249" s="93" t="s">
        <v>4421</v>
      </c>
      <c r="F1249"/>
      <c r="G1249" s="17" t="s">
        <v>6</v>
      </c>
      <c r="H1249" s="132">
        <v>46085</v>
      </c>
      <c r="I1249" s="127" t="s">
        <v>4422</v>
      </c>
      <c r="J1249"/>
      <c r="K1249"/>
      <c r="L1249"/>
    </row>
    <row r="1250" spans="1:12">
      <c r="A1250" s="96" t="s">
        <v>734</v>
      </c>
      <c r="B1250" t="s">
        <v>4343</v>
      </c>
      <c r="C1250" s="92"/>
      <c r="D1250" s="17" t="s">
        <v>4423</v>
      </c>
      <c r="E1250" s="93" t="s">
        <v>4424</v>
      </c>
      <c r="F1250"/>
      <c r="G1250" s="17" t="s">
        <v>3</v>
      </c>
      <c r="H1250" s="132">
        <v>46085</v>
      </c>
      <c r="I1250" s="127" t="s">
        <v>4425</v>
      </c>
      <c r="J1250"/>
      <c r="K1250"/>
      <c r="L1250"/>
    </row>
    <row r="1251" spans="1:12">
      <c r="A1251" s="96" t="s">
        <v>734</v>
      </c>
      <c r="B1251" t="s">
        <v>4343</v>
      </c>
      <c r="C1251" s="92"/>
      <c r="D1251" s="17" t="s">
        <v>4426</v>
      </c>
      <c r="E1251" s="93" t="s">
        <v>4427</v>
      </c>
      <c r="F1251"/>
      <c r="G1251" s="17" t="s">
        <v>1</v>
      </c>
      <c r="H1251" s="132">
        <v>46085</v>
      </c>
      <c r="I1251" s="127" t="s">
        <v>4428</v>
      </c>
      <c r="J1251"/>
      <c r="K1251"/>
      <c r="L1251"/>
    </row>
    <row r="1252" spans="1:12">
      <c r="A1252" s="96" t="s">
        <v>734</v>
      </c>
      <c r="B1252" t="s">
        <v>4343</v>
      </c>
      <c r="C1252" s="92"/>
      <c r="D1252" s="17" t="s">
        <v>4429</v>
      </c>
      <c r="E1252" s="93" t="s">
        <v>4430</v>
      </c>
      <c r="F1252"/>
      <c r="G1252" s="17" t="s">
        <v>6</v>
      </c>
      <c r="H1252" s="132">
        <v>46085</v>
      </c>
      <c r="I1252" s="127" t="s">
        <v>4431</v>
      </c>
      <c r="J1252"/>
      <c r="K1252"/>
      <c r="L1252"/>
    </row>
    <row r="1253" spans="1:12">
      <c r="A1253" s="96" t="s">
        <v>734</v>
      </c>
      <c r="B1253" t="s">
        <v>4343</v>
      </c>
      <c r="C1253" s="92"/>
      <c r="D1253" s="17" t="s">
        <v>4432</v>
      </c>
      <c r="E1253" s="93" t="s">
        <v>4433</v>
      </c>
      <c r="F1253"/>
      <c r="G1253" s="17" t="s">
        <v>6</v>
      </c>
      <c r="H1253" s="132">
        <v>46085</v>
      </c>
      <c r="I1253" s="127" t="s">
        <v>4434</v>
      </c>
      <c r="J1253"/>
      <c r="K1253"/>
      <c r="L1253"/>
    </row>
    <row r="1254" spans="1:12">
      <c r="A1254" s="96" t="s">
        <v>734</v>
      </c>
      <c r="B1254" t="s">
        <v>4343</v>
      </c>
      <c r="C1254" s="92"/>
      <c r="D1254" s="17" t="s">
        <v>4435</v>
      </c>
      <c r="E1254" s="93" t="s">
        <v>4436</v>
      </c>
      <c r="F1254"/>
      <c r="G1254" s="17" t="s">
        <v>6</v>
      </c>
      <c r="H1254" s="132">
        <v>46085</v>
      </c>
      <c r="I1254" s="127" t="s">
        <v>4437</v>
      </c>
      <c r="J1254"/>
      <c r="K1254"/>
      <c r="L1254"/>
    </row>
    <row r="1255" spans="1:12">
      <c r="A1255" s="96" t="s">
        <v>734</v>
      </c>
      <c r="B1255" t="s">
        <v>4343</v>
      </c>
      <c r="C1255" s="92"/>
      <c r="D1255" s="17" t="s">
        <v>3636</v>
      </c>
      <c r="E1255" s="93" t="s">
        <v>3637</v>
      </c>
      <c r="F1255"/>
      <c r="G1255" s="17" t="s">
        <v>6</v>
      </c>
      <c r="H1255" s="132">
        <v>46085</v>
      </c>
      <c r="I1255" s="127" t="s">
        <v>4438</v>
      </c>
      <c r="J1255"/>
      <c r="K1255"/>
      <c r="L1255"/>
    </row>
    <row r="1256" spans="1:12">
      <c r="A1256" s="96" t="s">
        <v>734</v>
      </c>
      <c r="B1256" t="s">
        <v>4343</v>
      </c>
      <c r="C1256" s="92"/>
      <c r="D1256" s="17" t="s">
        <v>4439</v>
      </c>
      <c r="E1256" s="93" t="s">
        <v>4440</v>
      </c>
      <c r="F1256"/>
      <c r="G1256" s="17" t="s">
        <v>9</v>
      </c>
      <c r="H1256" s="132">
        <v>46085</v>
      </c>
      <c r="I1256" s="127" t="s">
        <v>4441</v>
      </c>
      <c r="J1256"/>
      <c r="K1256"/>
      <c r="L1256"/>
    </row>
    <row r="1257" spans="1:12">
      <c r="A1257" s="96" t="s">
        <v>734</v>
      </c>
      <c r="B1257" t="s">
        <v>4343</v>
      </c>
      <c r="C1257" s="92"/>
      <c r="D1257" s="17" t="s">
        <v>4442</v>
      </c>
      <c r="E1257" s="93" t="s">
        <v>4443</v>
      </c>
      <c r="F1257"/>
      <c r="G1257" s="17" t="s">
        <v>1</v>
      </c>
      <c r="H1257" s="132">
        <v>46085</v>
      </c>
      <c r="I1257" s="127" t="s">
        <v>4444</v>
      </c>
      <c r="J1257"/>
      <c r="K1257"/>
      <c r="L1257"/>
    </row>
    <row r="1258" spans="1:12">
      <c r="A1258" s="96" t="s">
        <v>734</v>
      </c>
      <c r="B1258" t="s">
        <v>4343</v>
      </c>
      <c r="C1258" s="92"/>
      <c r="D1258" s="17" t="s">
        <v>4445</v>
      </c>
      <c r="E1258" s="93" t="s">
        <v>4446</v>
      </c>
      <c r="F1258"/>
      <c r="G1258" s="17" t="s">
        <v>2</v>
      </c>
      <c r="H1258" s="132">
        <v>46085</v>
      </c>
      <c r="I1258" s="127" t="s">
        <v>4447</v>
      </c>
      <c r="J1258"/>
      <c r="K1258"/>
      <c r="L1258"/>
    </row>
    <row r="1259" spans="1:12">
      <c r="A1259" s="96" t="s">
        <v>734</v>
      </c>
      <c r="B1259" t="s">
        <v>4343</v>
      </c>
      <c r="C1259" s="92"/>
      <c r="D1259" s="17" t="s">
        <v>4448</v>
      </c>
      <c r="E1259" s="93" t="s">
        <v>4449</v>
      </c>
      <c r="F1259"/>
      <c r="G1259" s="17" t="s">
        <v>1</v>
      </c>
      <c r="H1259" s="132">
        <v>46085</v>
      </c>
      <c r="I1259" s="127" t="s">
        <v>4450</v>
      </c>
      <c r="J1259"/>
      <c r="K1259"/>
      <c r="L1259"/>
    </row>
    <row r="1260" spans="1:12">
      <c r="A1260" s="96" t="s">
        <v>734</v>
      </c>
      <c r="B1260" t="s">
        <v>4343</v>
      </c>
      <c r="C1260" s="92"/>
      <c r="D1260" s="17" t="s">
        <v>4451</v>
      </c>
      <c r="E1260" s="93" t="s">
        <v>4452</v>
      </c>
      <c r="F1260"/>
      <c r="G1260" s="17" t="s">
        <v>2</v>
      </c>
      <c r="H1260" s="132">
        <v>46085</v>
      </c>
      <c r="I1260" s="127" t="s">
        <v>4453</v>
      </c>
      <c r="J1260"/>
      <c r="K1260"/>
      <c r="L1260"/>
    </row>
    <row r="1261" spans="1:12">
      <c r="A1261" s="96" t="s">
        <v>734</v>
      </c>
      <c r="B1261" t="s">
        <v>4343</v>
      </c>
      <c r="C1261" s="92"/>
      <c r="D1261" s="17" t="s">
        <v>4454</v>
      </c>
      <c r="E1261" s="93" t="s">
        <v>4455</v>
      </c>
      <c r="F1261"/>
      <c r="G1261" s="17" t="s">
        <v>9</v>
      </c>
      <c r="H1261" s="132">
        <v>46085</v>
      </c>
      <c r="I1261" s="127" t="s">
        <v>4456</v>
      </c>
      <c r="J1261"/>
      <c r="K1261"/>
      <c r="L1261"/>
    </row>
    <row r="1262" spans="1:12">
      <c r="A1262" s="96" t="s">
        <v>734</v>
      </c>
      <c r="B1262" t="s">
        <v>4343</v>
      </c>
      <c r="C1262" s="92"/>
      <c r="D1262" s="17" t="s">
        <v>4457</v>
      </c>
      <c r="E1262" s="93" t="s">
        <v>4458</v>
      </c>
      <c r="F1262"/>
      <c r="G1262" s="17" t="s">
        <v>1</v>
      </c>
      <c r="H1262" s="132">
        <v>46085</v>
      </c>
      <c r="I1262" s="127" t="s">
        <v>4459</v>
      </c>
      <c r="J1262"/>
      <c r="K1262"/>
      <c r="L1262"/>
    </row>
    <row r="1263" spans="1:12">
      <c r="A1263" s="96" t="s">
        <v>734</v>
      </c>
      <c r="B1263" t="s">
        <v>4343</v>
      </c>
      <c r="C1263" s="92"/>
      <c r="D1263" s="17" t="s">
        <v>4460</v>
      </c>
      <c r="E1263" s="93" t="s">
        <v>4461</v>
      </c>
      <c r="F1263"/>
      <c r="G1263" s="17" t="s">
        <v>6</v>
      </c>
      <c r="H1263" s="132">
        <v>46085</v>
      </c>
      <c r="I1263" s="127" t="s">
        <v>4462</v>
      </c>
      <c r="J1263"/>
      <c r="K1263"/>
      <c r="L1263"/>
    </row>
    <row r="1264" spans="1:12">
      <c r="A1264" s="96" t="s">
        <v>734</v>
      </c>
      <c r="B1264" t="s">
        <v>4343</v>
      </c>
      <c r="C1264" s="92"/>
      <c r="D1264" s="17" t="s">
        <v>4463</v>
      </c>
      <c r="E1264" s="93" t="s">
        <v>4464</v>
      </c>
      <c r="F1264"/>
      <c r="G1264" s="17" t="s">
        <v>2</v>
      </c>
      <c r="H1264" s="132">
        <v>46085</v>
      </c>
      <c r="I1264" s="127" t="s">
        <v>4465</v>
      </c>
      <c r="J1264"/>
      <c r="K1264"/>
      <c r="L1264"/>
    </row>
    <row r="1265" spans="1:12">
      <c r="A1265" s="96" t="s">
        <v>734</v>
      </c>
      <c r="B1265" t="s">
        <v>4343</v>
      </c>
      <c r="C1265" s="92"/>
      <c r="D1265" s="17" t="s">
        <v>4466</v>
      </c>
      <c r="E1265" s="93" t="s">
        <v>4467</v>
      </c>
      <c r="F1265"/>
      <c r="G1265" s="17" t="s">
        <v>9</v>
      </c>
      <c r="H1265" s="132">
        <v>46085</v>
      </c>
      <c r="I1265" s="127" t="s">
        <v>4468</v>
      </c>
      <c r="J1265"/>
      <c r="K1265"/>
      <c r="L1265"/>
    </row>
    <row r="1266" spans="1:12">
      <c r="A1266" s="96" t="s">
        <v>734</v>
      </c>
      <c r="B1266" t="s">
        <v>4343</v>
      </c>
      <c r="C1266" s="92"/>
      <c r="D1266" s="17" t="s">
        <v>4469</v>
      </c>
      <c r="E1266" s="93" t="s">
        <v>4470</v>
      </c>
      <c r="F1266"/>
      <c r="G1266" s="17" t="s">
        <v>6</v>
      </c>
      <c r="H1266" s="132">
        <v>46085</v>
      </c>
      <c r="I1266" s="127" t="s">
        <v>4471</v>
      </c>
      <c r="J1266"/>
      <c r="K1266"/>
      <c r="L1266"/>
    </row>
    <row r="1267" spans="1:12">
      <c r="A1267" s="96" t="s">
        <v>734</v>
      </c>
      <c r="B1267" t="s">
        <v>4343</v>
      </c>
      <c r="C1267" s="92"/>
      <c r="D1267" s="17" t="s">
        <v>4472</v>
      </c>
      <c r="E1267" s="93" t="s">
        <v>4473</v>
      </c>
      <c r="F1267"/>
      <c r="G1267" s="17" t="s">
        <v>6</v>
      </c>
      <c r="H1267" s="132">
        <v>46085</v>
      </c>
      <c r="I1267" s="127" t="s">
        <v>4474</v>
      </c>
      <c r="J1267"/>
      <c r="K1267"/>
      <c r="L1267"/>
    </row>
    <row r="1268" spans="1:12">
      <c r="A1268" s="96" t="s">
        <v>734</v>
      </c>
      <c r="B1268" t="s">
        <v>4343</v>
      </c>
      <c r="C1268" s="92"/>
      <c r="D1268" s="17" t="s">
        <v>4475</v>
      </c>
      <c r="E1268" s="93" t="s">
        <v>4476</v>
      </c>
      <c r="F1268"/>
      <c r="G1268" s="17" t="s">
        <v>2</v>
      </c>
      <c r="H1268" s="132">
        <v>46085</v>
      </c>
      <c r="I1268" s="127" t="s">
        <v>4477</v>
      </c>
      <c r="J1268"/>
      <c r="K1268"/>
      <c r="L1268"/>
    </row>
    <row r="1269" spans="1:12">
      <c r="A1269" s="96" t="s">
        <v>734</v>
      </c>
      <c r="B1269" t="s">
        <v>4343</v>
      </c>
      <c r="C1269" s="92"/>
      <c r="D1269" s="17" t="s">
        <v>4478</v>
      </c>
      <c r="E1269" s="93" t="s">
        <v>4479</v>
      </c>
      <c r="F1269"/>
      <c r="G1269" s="17" t="s">
        <v>6</v>
      </c>
      <c r="H1269" s="132">
        <v>46085</v>
      </c>
      <c r="I1269" s="127" t="s">
        <v>4480</v>
      </c>
      <c r="J1269"/>
      <c r="K1269"/>
      <c r="L1269"/>
    </row>
    <row r="1270" spans="1:12">
      <c r="A1270" s="96" t="s">
        <v>734</v>
      </c>
      <c r="B1270" t="s">
        <v>4343</v>
      </c>
      <c r="C1270" s="92"/>
      <c r="D1270" s="17" t="s">
        <v>4481</v>
      </c>
      <c r="E1270" s="93" t="s">
        <v>4482</v>
      </c>
      <c r="F1270"/>
      <c r="G1270" s="17" t="s">
        <v>6</v>
      </c>
      <c r="H1270" s="132">
        <v>46085</v>
      </c>
      <c r="I1270" s="127" t="s">
        <v>4483</v>
      </c>
      <c r="J1270"/>
      <c r="K1270"/>
      <c r="L1270"/>
    </row>
    <row r="1271" spans="1:12">
      <c r="A1271" s="96" t="s">
        <v>734</v>
      </c>
      <c r="B1271" t="s">
        <v>4343</v>
      </c>
      <c r="C1271" s="92"/>
      <c r="D1271" s="17" t="s">
        <v>4484</v>
      </c>
      <c r="E1271" s="93" t="s">
        <v>4485</v>
      </c>
      <c r="F1271"/>
      <c r="G1271" s="17" t="s">
        <v>1</v>
      </c>
      <c r="H1271" s="132">
        <v>46085</v>
      </c>
      <c r="I1271" s="127" t="s">
        <v>4486</v>
      </c>
      <c r="J1271"/>
      <c r="K1271"/>
      <c r="L1271"/>
    </row>
    <row r="1272" spans="1:12">
      <c r="A1272" s="96" t="s">
        <v>734</v>
      </c>
      <c r="B1272" t="s">
        <v>4343</v>
      </c>
      <c r="C1272" s="92"/>
      <c r="D1272" s="17" t="s">
        <v>4487</v>
      </c>
      <c r="E1272" s="93" t="s">
        <v>4488</v>
      </c>
      <c r="F1272"/>
      <c r="G1272" s="17" t="s">
        <v>2</v>
      </c>
      <c r="H1272" s="132">
        <v>46085</v>
      </c>
      <c r="I1272" s="127" t="s">
        <v>4489</v>
      </c>
      <c r="J1272"/>
      <c r="K1272"/>
      <c r="L1272"/>
    </row>
    <row r="1273" spans="1:12">
      <c r="A1273" s="96" t="s">
        <v>734</v>
      </c>
      <c r="B1273" t="s">
        <v>4343</v>
      </c>
      <c r="C1273" s="92"/>
      <c r="D1273" s="17" t="s">
        <v>4490</v>
      </c>
      <c r="E1273" s="93" t="s">
        <v>4491</v>
      </c>
      <c r="F1273"/>
      <c r="G1273" s="17" t="s">
        <v>6</v>
      </c>
      <c r="H1273" s="132">
        <v>46085</v>
      </c>
      <c r="I1273" s="127" t="s">
        <v>4492</v>
      </c>
      <c r="J1273"/>
      <c r="K1273"/>
      <c r="L1273"/>
    </row>
    <row r="1274" spans="1:12">
      <c r="A1274" s="96" t="s">
        <v>734</v>
      </c>
      <c r="B1274" t="s">
        <v>4343</v>
      </c>
      <c r="C1274" s="92"/>
      <c r="D1274" s="17" t="s">
        <v>4493</v>
      </c>
      <c r="E1274" s="93" t="s">
        <v>4494</v>
      </c>
      <c r="F1274"/>
      <c r="G1274" s="17" t="s">
        <v>6</v>
      </c>
      <c r="H1274" s="132">
        <v>46085</v>
      </c>
      <c r="I1274" s="127" t="s">
        <v>4495</v>
      </c>
      <c r="J1274"/>
      <c r="K1274"/>
      <c r="L1274"/>
    </row>
    <row r="1275" spans="1:12">
      <c r="A1275" s="96" t="s">
        <v>734</v>
      </c>
      <c r="B1275" t="s">
        <v>4343</v>
      </c>
      <c r="C1275" s="92"/>
      <c r="D1275" s="17" t="s">
        <v>4496</v>
      </c>
      <c r="E1275" s="93" t="s">
        <v>4497</v>
      </c>
      <c r="F1275"/>
      <c r="G1275" s="17" t="s">
        <v>6</v>
      </c>
      <c r="H1275" s="132">
        <v>46085</v>
      </c>
      <c r="I1275" s="127" t="s">
        <v>4498</v>
      </c>
      <c r="J1275"/>
      <c r="K1275"/>
      <c r="L1275"/>
    </row>
    <row r="1276" spans="1:12">
      <c r="A1276" s="96" t="s">
        <v>734</v>
      </c>
      <c r="B1276" t="s">
        <v>4343</v>
      </c>
      <c r="C1276" s="92"/>
      <c r="D1276" s="17" t="s">
        <v>4499</v>
      </c>
      <c r="E1276" s="93" t="s">
        <v>4500</v>
      </c>
      <c r="F1276"/>
      <c r="G1276" s="17" t="s">
        <v>9</v>
      </c>
      <c r="H1276" s="132">
        <v>46085</v>
      </c>
      <c r="I1276" s="127" t="s">
        <v>4501</v>
      </c>
      <c r="J1276"/>
      <c r="K1276"/>
      <c r="L1276"/>
    </row>
    <row r="1277" spans="1:12">
      <c r="A1277" s="96" t="s">
        <v>734</v>
      </c>
      <c r="B1277" t="s">
        <v>4343</v>
      </c>
      <c r="C1277" s="92"/>
      <c r="D1277" s="17" t="s">
        <v>4502</v>
      </c>
      <c r="E1277" s="93" t="s">
        <v>4503</v>
      </c>
      <c r="F1277"/>
      <c r="G1277" s="17" t="s">
        <v>1</v>
      </c>
      <c r="H1277" s="132">
        <v>46085</v>
      </c>
      <c r="I1277" s="127" t="s">
        <v>4504</v>
      </c>
      <c r="J1277"/>
      <c r="K1277"/>
      <c r="L1277"/>
    </row>
    <row r="1278" spans="1:12">
      <c r="A1278" s="96" t="s">
        <v>734</v>
      </c>
      <c r="B1278" t="s">
        <v>4343</v>
      </c>
      <c r="C1278" s="92"/>
      <c r="D1278" s="17" t="s">
        <v>4505</v>
      </c>
      <c r="E1278" s="93" t="s">
        <v>4506</v>
      </c>
      <c r="F1278"/>
      <c r="G1278" s="17" t="s">
        <v>1</v>
      </c>
      <c r="H1278" s="132">
        <v>46085</v>
      </c>
      <c r="I1278" s="127" t="s">
        <v>4507</v>
      </c>
      <c r="J1278"/>
      <c r="K1278"/>
      <c r="L1278"/>
    </row>
    <row r="1279" spans="1:12">
      <c r="A1279" s="96" t="s">
        <v>734</v>
      </c>
      <c r="B1279" t="s">
        <v>4343</v>
      </c>
      <c r="C1279" s="92"/>
      <c r="D1279" s="17" t="s">
        <v>4508</v>
      </c>
      <c r="E1279" s="93" t="s">
        <v>4509</v>
      </c>
      <c r="F1279"/>
      <c r="G1279" s="17" t="s">
        <v>6</v>
      </c>
      <c r="H1279" s="132">
        <v>46085</v>
      </c>
      <c r="I1279" s="127" t="s">
        <v>3372</v>
      </c>
      <c r="J1279"/>
      <c r="K1279"/>
      <c r="L1279"/>
    </row>
    <row r="1280" spans="1:12">
      <c r="A1280" s="96" t="s">
        <v>734</v>
      </c>
      <c r="B1280" t="s">
        <v>4343</v>
      </c>
      <c r="C1280" s="92"/>
      <c r="D1280" s="17" t="s">
        <v>4510</v>
      </c>
      <c r="E1280" s="93" t="s">
        <v>4511</v>
      </c>
      <c r="F1280"/>
      <c r="G1280" s="17" t="s">
        <v>6</v>
      </c>
      <c r="H1280" s="132">
        <v>46085</v>
      </c>
      <c r="I1280" s="127" t="s">
        <v>3371</v>
      </c>
      <c r="J1280"/>
      <c r="K1280"/>
      <c r="L1280"/>
    </row>
    <row r="1281" spans="1:12">
      <c r="A1281" s="96" t="s">
        <v>734</v>
      </c>
      <c r="B1281" t="s">
        <v>4343</v>
      </c>
      <c r="C1281" s="92"/>
      <c r="D1281" s="17" t="s">
        <v>4512</v>
      </c>
      <c r="E1281" s="93">
        <v>67792490</v>
      </c>
      <c r="F1281"/>
      <c r="G1281" s="17" t="s">
        <v>1</v>
      </c>
      <c r="H1281" s="132">
        <v>46085</v>
      </c>
      <c r="I1281" s="127" t="s">
        <v>4513</v>
      </c>
      <c r="J1281"/>
      <c r="K1281"/>
      <c r="L1281"/>
    </row>
    <row r="1282" spans="1:12">
      <c r="A1282" s="96" t="s">
        <v>734</v>
      </c>
      <c r="B1282" t="s">
        <v>4343</v>
      </c>
      <c r="C1282" s="92"/>
      <c r="D1282" s="17" t="s">
        <v>4514</v>
      </c>
      <c r="E1282" s="93">
        <v>68102424</v>
      </c>
      <c r="F1282"/>
      <c r="G1282" s="17" t="s">
        <v>6</v>
      </c>
      <c r="H1282" s="132">
        <v>46085</v>
      </c>
      <c r="I1282" s="127" t="s">
        <v>3491</v>
      </c>
      <c r="J1282"/>
      <c r="K1282"/>
      <c r="L1282"/>
    </row>
    <row r="1283" spans="1:12">
      <c r="A1283" s="96" t="s">
        <v>734</v>
      </c>
      <c r="B1283" t="s">
        <v>4343</v>
      </c>
      <c r="C1283" s="92"/>
      <c r="D1283" s="17" t="s">
        <v>4515</v>
      </c>
      <c r="E1283" s="93">
        <v>68774758</v>
      </c>
      <c r="F1283"/>
      <c r="G1283" s="17" t="s">
        <v>6</v>
      </c>
      <c r="H1283" s="132">
        <v>46085</v>
      </c>
      <c r="I1283" s="127" t="s">
        <v>3369</v>
      </c>
      <c r="J1283"/>
      <c r="K1283"/>
      <c r="L1283"/>
    </row>
    <row r="1284" spans="1:12">
      <c r="A1284" s="96" t="s">
        <v>734</v>
      </c>
      <c r="B1284" t="s">
        <v>4343</v>
      </c>
      <c r="C1284" s="92"/>
      <c r="D1284" s="17" t="s">
        <v>4516</v>
      </c>
      <c r="E1284" s="93" t="s">
        <v>4517</v>
      </c>
      <c r="F1284"/>
      <c r="G1284" s="17" t="s">
        <v>3</v>
      </c>
      <c r="H1284" s="132">
        <v>46085</v>
      </c>
      <c r="I1284" s="127" t="s">
        <v>4518</v>
      </c>
      <c r="J1284"/>
      <c r="K1284"/>
      <c r="L1284"/>
    </row>
    <row r="1285" spans="1:12">
      <c r="A1285" s="96" t="s">
        <v>734</v>
      </c>
      <c r="B1285" t="s">
        <v>4343</v>
      </c>
      <c r="C1285" s="92"/>
      <c r="D1285" s="17" t="s">
        <v>4519</v>
      </c>
      <c r="E1285" s="93" t="s">
        <v>4520</v>
      </c>
      <c r="F1285"/>
      <c r="G1285" s="17" t="s">
        <v>3</v>
      </c>
      <c r="H1285" s="132">
        <v>46085</v>
      </c>
      <c r="I1285" s="127" t="s">
        <v>4521</v>
      </c>
      <c r="J1285"/>
      <c r="K1285"/>
      <c r="L1285" t="s">
        <v>4522</v>
      </c>
    </row>
    <row r="1286" spans="1:12">
      <c r="A1286" s="96" t="s">
        <v>734</v>
      </c>
      <c r="B1286" t="s">
        <v>4343</v>
      </c>
      <c r="C1286" s="92"/>
      <c r="D1286" s="17" t="s">
        <v>4523</v>
      </c>
      <c r="E1286" s="93" t="s">
        <v>4524</v>
      </c>
      <c r="F1286"/>
      <c r="G1286" s="17" t="s">
        <v>2</v>
      </c>
      <c r="H1286" s="132">
        <v>46085</v>
      </c>
      <c r="I1286" s="127" t="s">
        <v>4525</v>
      </c>
      <c r="J1286"/>
      <c r="K1286"/>
      <c r="L1286"/>
    </row>
    <row r="1287" spans="1:12">
      <c r="A1287" s="96" t="s">
        <v>734</v>
      </c>
      <c r="B1287" t="s">
        <v>4343</v>
      </c>
      <c r="C1287" s="92"/>
      <c r="D1287" s="17" t="s">
        <v>4526</v>
      </c>
      <c r="E1287" s="93" t="s">
        <v>4527</v>
      </c>
      <c r="F1287"/>
      <c r="G1287" s="17" t="s">
        <v>3</v>
      </c>
      <c r="H1287" s="132">
        <v>46085</v>
      </c>
      <c r="I1287" s="127" t="s">
        <v>4528</v>
      </c>
      <c r="J1287"/>
      <c r="K1287"/>
      <c r="L1287" t="s">
        <v>4529</v>
      </c>
    </row>
    <row r="1288" spans="1:12">
      <c r="A1288" s="96" t="s">
        <v>734</v>
      </c>
      <c r="B1288" t="s">
        <v>4343</v>
      </c>
      <c r="C1288" s="92"/>
      <c r="D1288" s="17" t="s">
        <v>4530</v>
      </c>
      <c r="E1288" s="93" t="s">
        <v>4531</v>
      </c>
      <c r="F1288"/>
      <c r="G1288" s="17" t="s">
        <v>1</v>
      </c>
      <c r="H1288" s="132">
        <v>46085</v>
      </c>
      <c r="I1288" s="127" t="s">
        <v>3355</v>
      </c>
      <c r="J1288"/>
      <c r="K1288"/>
      <c r="L1288"/>
    </row>
    <row r="1289" spans="1:12">
      <c r="A1289" s="96" t="s">
        <v>734</v>
      </c>
      <c r="B1289" t="s">
        <v>4343</v>
      </c>
      <c r="C1289" s="92"/>
      <c r="D1289" s="17" t="s">
        <v>4532</v>
      </c>
      <c r="E1289" s="93" t="s">
        <v>4533</v>
      </c>
      <c r="F1289"/>
      <c r="G1289" s="17" t="s">
        <v>2</v>
      </c>
      <c r="H1289" s="132">
        <v>46085</v>
      </c>
      <c r="I1289" s="127" t="s">
        <v>4534</v>
      </c>
      <c r="J1289"/>
      <c r="K1289"/>
      <c r="L1289"/>
    </row>
    <row r="1290" spans="1:12">
      <c r="A1290" s="96" t="s">
        <v>734</v>
      </c>
      <c r="B1290" t="s">
        <v>4343</v>
      </c>
      <c r="C1290" s="92"/>
      <c r="D1290" s="17" t="s">
        <v>4535</v>
      </c>
      <c r="E1290" s="93" t="s">
        <v>4536</v>
      </c>
      <c r="F1290"/>
      <c r="G1290" s="17" t="s">
        <v>1</v>
      </c>
      <c r="H1290" s="132">
        <v>46085</v>
      </c>
      <c r="I1290" s="127" t="s">
        <v>4537</v>
      </c>
      <c r="J1290"/>
      <c r="K1290"/>
      <c r="L1290"/>
    </row>
    <row r="1291" spans="1:12">
      <c r="A1291" s="96" t="s">
        <v>734</v>
      </c>
      <c r="B1291" t="s">
        <v>4343</v>
      </c>
      <c r="C1291" s="92"/>
      <c r="D1291" s="17" t="s">
        <v>4538</v>
      </c>
      <c r="E1291" s="93" t="s">
        <v>4539</v>
      </c>
      <c r="F1291"/>
      <c r="G1291" s="17" t="s">
        <v>1</v>
      </c>
      <c r="H1291" s="132">
        <v>46085</v>
      </c>
      <c r="I1291" s="127" t="s">
        <v>4537</v>
      </c>
      <c r="J1291"/>
      <c r="K1291"/>
      <c r="L1291"/>
    </row>
    <row r="1292" spans="1:12">
      <c r="A1292" s="96" t="s">
        <v>734</v>
      </c>
      <c r="B1292" t="s">
        <v>4343</v>
      </c>
      <c r="C1292" s="92"/>
      <c r="D1292" s="17" t="s">
        <v>4540</v>
      </c>
      <c r="E1292" s="93" t="s">
        <v>4541</v>
      </c>
      <c r="F1292"/>
      <c r="G1292" s="17" t="s">
        <v>6</v>
      </c>
      <c r="H1292" s="132">
        <v>46085</v>
      </c>
      <c r="I1292" s="127" t="s">
        <v>4542</v>
      </c>
      <c r="J1292"/>
      <c r="K1292"/>
      <c r="L1292"/>
    </row>
    <row r="1293" spans="1:12">
      <c r="A1293" s="96" t="s">
        <v>734</v>
      </c>
      <c r="B1293" t="s">
        <v>4343</v>
      </c>
      <c r="C1293" s="92"/>
      <c r="D1293" s="17" t="s">
        <v>4543</v>
      </c>
      <c r="E1293" s="93" t="s">
        <v>4544</v>
      </c>
      <c r="F1293"/>
      <c r="G1293" s="17" t="s">
        <v>6</v>
      </c>
      <c r="H1293" s="132">
        <v>46085</v>
      </c>
      <c r="I1293" s="127" t="s">
        <v>4545</v>
      </c>
      <c r="J1293"/>
      <c r="K1293"/>
      <c r="L1293"/>
    </row>
    <row r="1294" spans="1:12">
      <c r="A1294" s="96" t="s">
        <v>734</v>
      </c>
      <c r="B1294" t="s">
        <v>4343</v>
      </c>
      <c r="C1294" s="92"/>
      <c r="D1294" s="17" t="s">
        <v>4546</v>
      </c>
      <c r="E1294" s="93" t="s">
        <v>4547</v>
      </c>
      <c r="F1294"/>
      <c r="G1294" s="17" t="s">
        <v>1</v>
      </c>
      <c r="H1294" s="132">
        <v>46085</v>
      </c>
      <c r="I1294" s="127" t="s">
        <v>4548</v>
      </c>
      <c r="J1294"/>
      <c r="K1294"/>
      <c r="L1294"/>
    </row>
    <row r="1295" spans="1:12">
      <c r="A1295" s="96" t="s">
        <v>734</v>
      </c>
      <c r="B1295" t="s">
        <v>4343</v>
      </c>
      <c r="C1295" s="92"/>
      <c r="D1295" s="17" t="s">
        <v>4549</v>
      </c>
      <c r="E1295" s="93" t="s">
        <v>4550</v>
      </c>
      <c r="F1295"/>
      <c r="G1295" s="17" t="s">
        <v>2</v>
      </c>
      <c r="H1295" s="132">
        <v>46085</v>
      </c>
      <c r="I1295" s="127" t="s">
        <v>4551</v>
      </c>
      <c r="J1295"/>
      <c r="K1295"/>
      <c r="L1295"/>
    </row>
    <row r="1296" spans="1:12">
      <c r="A1296" s="96" t="s">
        <v>734</v>
      </c>
      <c r="B1296" t="s">
        <v>4343</v>
      </c>
      <c r="C1296" s="92"/>
      <c r="D1296" s="17" t="s">
        <v>4552</v>
      </c>
      <c r="E1296" s="93" t="s">
        <v>4553</v>
      </c>
      <c r="F1296"/>
      <c r="G1296" s="17" t="s">
        <v>3</v>
      </c>
      <c r="H1296" s="132">
        <v>46085</v>
      </c>
      <c r="I1296" s="127" t="s">
        <v>4554</v>
      </c>
      <c r="J1296"/>
      <c r="K1296"/>
      <c r="L1296"/>
    </row>
    <row r="1297" spans="1:12">
      <c r="A1297" s="96" t="s">
        <v>734</v>
      </c>
      <c r="B1297" t="s">
        <v>4343</v>
      </c>
      <c r="C1297" s="92"/>
      <c r="D1297" s="17" t="s">
        <v>4555</v>
      </c>
      <c r="E1297" s="93" t="s">
        <v>4556</v>
      </c>
      <c r="F1297"/>
      <c r="G1297" s="17" t="s">
        <v>9</v>
      </c>
      <c r="H1297" s="132">
        <v>46085</v>
      </c>
      <c r="I1297" s="127" t="s">
        <v>4557</v>
      </c>
      <c r="J1297"/>
      <c r="K1297"/>
      <c r="L1297"/>
    </row>
    <row r="1298" spans="1:12">
      <c r="A1298" s="96" t="s">
        <v>734</v>
      </c>
      <c r="B1298" t="s">
        <v>4343</v>
      </c>
      <c r="C1298" s="92"/>
      <c r="D1298" s="17" t="s">
        <v>4558</v>
      </c>
      <c r="E1298" s="93" t="s">
        <v>4559</v>
      </c>
      <c r="F1298"/>
      <c r="G1298" s="17" t="s">
        <v>1</v>
      </c>
      <c r="H1298" s="132">
        <v>46085</v>
      </c>
      <c r="I1298" s="127" t="s">
        <v>3348</v>
      </c>
      <c r="J1298"/>
      <c r="K1298"/>
      <c r="L1298"/>
    </row>
    <row r="1299" spans="1:12">
      <c r="A1299" s="96" t="s">
        <v>734</v>
      </c>
      <c r="B1299" t="s">
        <v>4343</v>
      </c>
      <c r="C1299" s="92"/>
      <c r="D1299" s="17" t="s">
        <v>4560</v>
      </c>
      <c r="E1299" s="93" t="s">
        <v>4561</v>
      </c>
      <c r="F1299"/>
      <c r="G1299" s="17" t="s">
        <v>1</v>
      </c>
      <c r="H1299" s="132">
        <v>46085</v>
      </c>
      <c r="I1299" s="127" t="s">
        <v>3346</v>
      </c>
      <c r="J1299"/>
      <c r="K1299"/>
      <c r="L1299"/>
    </row>
    <row r="1300" spans="1:12">
      <c r="A1300" s="96" t="s">
        <v>734</v>
      </c>
      <c r="B1300" t="s">
        <v>4343</v>
      </c>
      <c r="C1300" s="92"/>
      <c r="D1300" s="17" t="s">
        <v>4562</v>
      </c>
      <c r="E1300" s="93" t="s">
        <v>4563</v>
      </c>
      <c r="F1300"/>
      <c r="G1300" s="17" t="s">
        <v>3</v>
      </c>
      <c r="H1300" s="132">
        <v>46085</v>
      </c>
      <c r="I1300" s="127" t="s">
        <v>4564</v>
      </c>
      <c r="J1300"/>
      <c r="K1300"/>
      <c r="L1300" t="s">
        <v>4522</v>
      </c>
    </row>
    <row r="1301" spans="1:12">
      <c r="A1301" s="96" t="s">
        <v>734</v>
      </c>
      <c r="B1301" t="s">
        <v>4343</v>
      </c>
      <c r="C1301" s="92"/>
      <c r="D1301" s="17" t="s">
        <v>4565</v>
      </c>
      <c r="E1301" s="93" t="s">
        <v>4566</v>
      </c>
      <c r="F1301"/>
      <c r="G1301" s="17" t="s">
        <v>2</v>
      </c>
      <c r="H1301" s="132">
        <v>46085</v>
      </c>
      <c r="I1301" s="127" t="s">
        <v>3345</v>
      </c>
      <c r="J1301"/>
      <c r="K1301"/>
      <c r="L1301"/>
    </row>
    <row r="1302" spans="1:12">
      <c r="A1302" s="96" t="s">
        <v>734</v>
      </c>
      <c r="B1302" t="s">
        <v>4343</v>
      </c>
      <c r="C1302" s="92"/>
      <c r="D1302" s="17" t="s">
        <v>4567</v>
      </c>
      <c r="E1302" s="93" t="s">
        <v>4568</v>
      </c>
      <c r="F1302"/>
      <c r="G1302" s="17" t="s">
        <v>1</v>
      </c>
      <c r="H1302" s="132">
        <v>46085</v>
      </c>
      <c r="I1302" s="127" t="s">
        <v>4569</v>
      </c>
      <c r="J1302"/>
      <c r="K1302"/>
      <c r="L1302"/>
    </row>
    <row r="1303" spans="1:12">
      <c r="A1303" s="96" t="s">
        <v>734</v>
      </c>
      <c r="B1303" t="s">
        <v>4343</v>
      </c>
      <c r="C1303" s="92"/>
      <c r="D1303" s="17" t="s">
        <v>4570</v>
      </c>
      <c r="E1303" s="93" t="s">
        <v>4571</v>
      </c>
      <c r="F1303"/>
      <c r="G1303" s="17" t="s">
        <v>2</v>
      </c>
      <c r="H1303" s="132">
        <v>46085</v>
      </c>
      <c r="I1303" s="127" t="s">
        <v>4572</v>
      </c>
      <c r="J1303"/>
      <c r="K1303"/>
      <c r="L1303"/>
    </row>
    <row r="1304" spans="1:12">
      <c r="A1304" s="96" t="s">
        <v>734</v>
      </c>
      <c r="B1304" t="s">
        <v>4343</v>
      </c>
      <c r="C1304" s="92"/>
      <c r="D1304" s="17" t="s">
        <v>4573</v>
      </c>
      <c r="E1304" s="93" t="s">
        <v>4574</v>
      </c>
      <c r="F1304"/>
      <c r="G1304" s="17" t="s">
        <v>1</v>
      </c>
      <c r="H1304" s="132">
        <v>46085</v>
      </c>
      <c r="I1304" s="127" t="s">
        <v>3340</v>
      </c>
      <c r="J1304"/>
      <c r="K1304"/>
      <c r="L1304"/>
    </row>
    <row r="1305" spans="1:12">
      <c r="A1305" s="96" t="s">
        <v>734</v>
      </c>
      <c r="B1305" t="s">
        <v>4343</v>
      </c>
      <c r="C1305" s="92"/>
      <c r="D1305" s="17" t="s">
        <v>4575</v>
      </c>
      <c r="E1305" s="93" t="s">
        <v>4576</v>
      </c>
      <c r="F1305"/>
      <c r="G1305" s="17" t="s">
        <v>6</v>
      </c>
      <c r="H1305" s="132">
        <v>46085</v>
      </c>
      <c r="I1305" s="127" t="s">
        <v>4577</v>
      </c>
      <c r="J1305"/>
      <c r="K1305"/>
      <c r="L1305"/>
    </row>
    <row r="1306" spans="1:12">
      <c r="A1306" s="96" t="s">
        <v>734</v>
      </c>
      <c r="B1306" t="s">
        <v>4343</v>
      </c>
      <c r="C1306" s="92"/>
      <c r="D1306" s="17" t="s">
        <v>4578</v>
      </c>
      <c r="E1306" s="93" t="s">
        <v>4579</v>
      </c>
      <c r="F1306"/>
      <c r="G1306" s="17" t="s">
        <v>1</v>
      </c>
      <c r="H1306" s="132">
        <v>46085</v>
      </c>
      <c r="I1306" s="127" t="s">
        <v>3319</v>
      </c>
      <c r="J1306"/>
      <c r="K1306"/>
      <c r="L1306"/>
    </row>
    <row r="1307" spans="1:12">
      <c r="A1307" s="96" t="s">
        <v>734</v>
      </c>
      <c r="B1307" t="s">
        <v>4343</v>
      </c>
      <c r="C1307" s="92"/>
      <c r="D1307" s="17" t="s">
        <v>4580</v>
      </c>
      <c r="E1307" s="93" t="s">
        <v>4581</v>
      </c>
      <c r="F1307"/>
      <c r="G1307" s="17" t="s">
        <v>1</v>
      </c>
      <c r="H1307" s="132">
        <v>46085</v>
      </c>
      <c r="I1307" s="127" t="s">
        <v>4582</v>
      </c>
      <c r="J1307"/>
      <c r="K1307"/>
      <c r="L1307"/>
    </row>
    <row r="1308" spans="1:12">
      <c r="A1308" s="96" t="s">
        <v>734</v>
      </c>
      <c r="B1308" t="s">
        <v>4343</v>
      </c>
      <c r="C1308" s="92"/>
      <c r="D1308" s="17" t="s">
        <v>4583</v>
      </c>
      <c r="E1308" s="93" t="s">
        <v>4584</v>
      </c>
      <c r="F1308"/>
      <c r="G1308" s="17" t="s">
        <v>1</v>
      </c>
      <c r="H1308" s="132">
        <v>46085</v>
      </c>
      <c r="I1308" s="127" t="s">
        <v>3315</v>
      </c>
      <c r="J1308"/>
      <c r="K1308"/>
      <c r="L1308"/>
    </row>
    <row r="1309" spans="1:12">
      <c r="A1309" s="95" t="s">
        <v>1005</v>
      </c>
      <c r="B1309" t="s">
        <v>4585</v>
      </c>
      <c r="C1309" s="87" t="s">
        <v>1006</v>
      </c>
      <c r="D1309" s="88"/>
      <c r="E1309" s="89">
        <v>65876485</v>
      </c>
      <c r="F1309"/>
      <c r="G1309" s="17" t="s">
        <v>6</v>
      </c>
      <c r="H1309" s="132">
        <v>46085</v>
      </c>
      <c r="I1309" s="127" t="s">
        <v>4586</v>
      </c>
      <c r="J1309"/>
      <c r="K1309"/>
      <c r="L1309"/>
    </row>
    <row r="1310" spans="1:12">
      <c r="A1310" s="95" t="s">
        <v>1005</v>
      </c>
      <c r="B1310" t="s">
        <v>4585</v>
      </c>
      <c r="C1310" s="87" t="s">
        <v>1007</v>
      </c>
      <c r="D1310" s="88"/>
      <c r="E1310" s="89">
        <v>7309439</v>
      </c>
      <c r="F1310"/>
      <c r="G1310" s="17" t="s">
        <v>1</v>
      </c>
      <c r="H1310" s="132">
        <v>46085</v>
      </c>
      <c r="I1310" s="127" t="s">
        <v>4587</v>
      </c>
      <c r="J1310"/>
      <c r="K1310"/>
      <c r="L1310"/>
    </row>
    <row r="1311" spans="1:12">
      <c r="A1311" s="95" t="s">
        <v>1005</v>
      </c>
      <c r="B1311" t="s">
        <v>4585</v>
      </c>
      <c r="C1311" s="87" t="s">
        <v>1008</v>
      </c>
      <c r="D1311" s="88"/>
      <c r="E1311" s="89">
        <v>7304720</v>
      </c>
      <c r="F1311"/>
      <c r="G1311" s="17" t="s">
        <v>9</v>
      </c>
      <c r="H1311" s="132">
        <v>46085</v>
      </c>
      <c r="I1311" s="127" t="s">
        <v>4588</v>
      </c>
      <c r="J1311"/>
      <c r="K1311"/>
      <c r="L1311"/>
    </row>
    <row r="1312" spans="1:12">
      <c r="A1312" s="95" t="s">
        <v>1005</v>
      </c>
      <c r="B1312" t="s">
        <v>4585</v>
      </c>
      <c r="C1312" s="87" t="s">
        <v>1009</v>
      </c>
      <c r="D1312" s="88"/>
      <c r="E1312" s="89">
        <v>60819515</v>
      </c>
      <c r="F1312"/>
      <c r="G1312" s="17" t="s">
        <v>6</v>
      </c>
      <c r="H1312" s="132">
        <v>46085</v>
      </c>
      <c r="I1312" s="127" t="s">
        <v>4589</v>
      </c>
      <c r="J1312"/>
      <c r="K1312"/>
      <c r="L1312"/>
    </row>
    <row r="1313" spans="1:12">
      <c r="A1313" s="95" t="s">
        <v>1005</v>
      </c>
      <c r="B1313" t="s">
        <v>4585</v>
      </c>
      <c r="C1313" s="87" t="s">
        <v>1010</v>
      </c>
      <c r="D1313" s="88"/>
      <c r="E1313" s="89">
        <v>62151865</v>
      </c>
      <c r="F1313"/>
      <c r="G1313" s="17" t="s">
        <v>6</v>
      </c>
      <c r="H1313" s="132">
        <v>46085</v>
      </c>
      <c r="I1313" s="127" t="s">
        <v>3810</v>
      </c>
      <c r="J1313"/>
      <c r="K1313"/>
      <c r="L1313"/>
    </row>
    <row r="1314" spans="1:12">
      <c r="A1314" s="95" t="s">
        <v>1005</v>
      </c>
      <c r="B1314" t="s">
        <v>4585</v>
      </c>
      <c r="C1314" s="87" t="s">
        <v>1011</v>
      </c>
      <c r="D1314" s="88"/>
      <c r="E1314" s="89">
        <v>64692710</v>
      </c>
      <c r="F1314"/>
      <c r="G1314" s="17" t="s">
        <v>3</v>
      </c>
      <c r="H1314" s="132">
        <v>46085</v>
      </c>
      <c r="I1314" s="127" t="s">
        <v>3936</v>
      </c>
      <c r="J1314"/>
      <c r="K1314"/>
      <c r="L1314"/>
    </row>
    <row r="1315" spans="1:12">
      <c r="A1315" s="95" t="s">
        <v>1005</v>
      </c>
      <c r="B1315" t="s">
        <v>4585</v>
      </c>
      <c r="C1315" s="87" t="s">
        <v>1012</v>
      </c>
      <c r="D1315" s="88"/>
      <c r="E1315" s="89">
        <v>62362379</v>
      </c>
      <c r="F1315"/>
      <c r="G1315" s="17" t="s">
        <v>9</v>
      </c>
      <c r="H1315" s="132">
        <v>46085</v>
      </c>
      <c r="I1315" s="127" t="s">
        <v>3939</v>
      </c>
      <c r="J1315"/>
      <c r="K1315"/>
      <c r="L1315"/>
    </row>
    <row r="1316" spans="1:12">
      <c r="A1316" s="95" t="s">
        <v>1005</v>
      </c>
      <c r="B1316" t="s">
        <v>4585</v>
      </c>
      <c r="C1316" s="87" t="s">
        <v>1013</v>
      </c>
      <c r="D1316" s="88"/>
      <c r="E1316" s="89">
        <v>65163218</v>
      </c>
      <c r="F1316"/>
      <c r="G1316" s="17" t="s">
        <v>6</v>
      </c>
      <c r="H1316" s="132">
        <v>46085</v>
      </c>
      <c r="I1316" s="127" t="s">
        <v>4590</v>
      </c>
      <c r="J1316"/>
      <c r="K1316"/>
      <c r="L1316"/>
    </row>
    <row r="1317" spans="1:12">
      <c r="A1317" s="95" t="s">
        <v>1005</v>
      </c>
      <c r="B1317" t="s">
        <v>4585</v>
      </c>
      <c r="C1317" s="87" t="s">
        <v>1014</v>
      </c>
      <c r="D1317" s="88"/>
      <c r="E1317" s="89">
        <v>64489692</v>
      </c>
      <c r="F1317"/>
      <c r="G1317" s="17" t="s">
        <v>1</v>
      </c>
      <c r="H1317" s="132">
        <v>46085</v>
      </c>
      <c r="I1317" s="127" t="s">
        <v>3811</v>
      </c>
      <c r="J1317"/>
      <c r="K1317"/>
      <c r="L1317"/>
    </row>
    <row r="1318" spans="1:12">
      <c r="A1318" s="95" t="s">
        <v>1005</v>
      </c>
      <c r="B1318" t="s">
        <v>4585</v>
      </c>
      <c r="C1318" s="87" t="s">
        <v>1015</v>
      </c>
      <c r="D1318" s="88"/>
      <c r="E1318" s="89">
        <v>64756809</v>
      </c>
      <c r="F1318"/>
      <c r="G1318" s="17" t="s">
        <v>3</v>
      </c>
      <c r="H1318" s="132">
        <v>46085</v>
      </c>
      <c r="I1318" s="127" t="s">
        <v>3813</v>
      </c>
      <c r="J1318"/>
      <c r="K1318"/>
      <c r="L1318"/>
    </row>
    <row r="1319" spans="1:12">
      <c r="A1319" s="95" t="s">
        <v>1005</v>
      </c>
      <c r="B1319" t="s">
        <v>4585</v>
      </c>
      <c r="C1319" s="87" t="s">
        <v>1016</v>
      </c>
      <c r="D1319" s="88"/>
      <c r="E1319" s="89">
        <v>67178261</v>
      </c>
      <c r="F1319"/>
      <c r="G1319" s="17" t="s">
        <v>8</v>
      </c>
      <c r="H1319" s="132">
        <v>46085</v>
      </c>
      <c r="I1319" s="127" t="s">
        <v>4591</v>
      </c>
      <c r="J1319"/>
      <c r="K1319"/>
      <c r="L1319"/>
    </row>
    <row r="1320" spans="1:12">
      <c r="A1320" s="95" t="s">
        <v>1005</v>
      </c>
      <c r="B1320" t="s">
        <v>4585</v>
      </c>
      <c r="C1320" s="87" t="s">
        <v>1017</v>
      </c>
      <c r="D1320" s="88"/>
      <c r="E1320" s="89">
        <v>62195095</v>
      </c>
      <c r="F1320"/>
      <c r="G1320" s="17" t="s">
        <v>9</v>
      </c>
      <c r="H1320" s="132">
        <v>46085</v>
      </c>
      <c r="I1320" s="127" t="s">
        <v>4101</v>
      </c>
      <c r="J1320"/>
      <c r="K1320"/>
      <c r="L1320"/>
    </row>
    <row r="1321" spans="1:12">
      <c r="A1321" s="95" t="s">
        <v>1005</v>
      </c>
      <c r="B1321" t="s">
        <v>4585</v>
      </c>
      <c r="C1321" s="87" t="s">
        <v>1018</v>
      </c>
      <c r="D1321" s="88"/>
      <c r="E1321" s="89">
        <v>64779333</v>
      </c>
      <c r="F1321"/>
      <c r="G1321" s="17" t="s">
        <v>3</v>
      </c>
      <c r="H1321" s="132">
        <v>46085</v>
      </c>
      <c r="I1321" s="127" t="s">
        <v>4098</v>
      </c>
      <c r="J1321"/>
      <c r="K1321"/>
      <c r="L1321"/>
    </row>
    <row r="1322" spans="1:12">
      <c r="A1322" s="95" t="s">
        <v>1005</v>
      </c>
      <c r="B1322" t="s">
        <v>4585</v>
      </c>
      <c r="C1322" s="87" t="s">
        <v>1019</v>
      </c>
      <c r="D1322" s="88"/>
      <c r="E1322" s="89">
        <v>65597101</v>
      </c>
      <c r="F1322"/>
      <c r="G1322" s="17" t="s">
        <v>6</v>
      </c>
      <c r="H1322" s="132">
        <v>46085</v>
      </c>
      <c r="I1322" s="127" t="s">
        <v>3816</v>
      </c>
      <c r="J1322"/>
      <c r="K1322"/>
      <c r="L1322"/>
    </row>
    <row r="1323" spans="1:12">
      <c r="A1323" s="95" t="s">
        <v>1005</v>
      </c>
      <c r="B1323" t="s">
        <v>4585</v>
      </c>
      <c r="C1323" s="87" t="s">
        <v>1020</v>
      </c>
      <c r="D1323" s="88"/>
      <c r="E1323" s="89">
        <v>7201543</v>
      </c>
      <c r="F1323"/>
      <c r="G1323" s="17" t="s">
        <v>9</v>
      </c>
      <c r="H1323" s="132">
        <v>46085</v>
      </c>
      <c r="I1323" s="127" t="s">
        <v>4592</v>
      </c>
      <c r="J1323"/>
      <c r="K1323"/>
      <c r="L1323"/>
    </row>
    <row r="1324" spans="1:12">
      <c r="A1324" s="95" t="s">
        <v>1005</v>
      </c>
      <c r="B1324" t="s">
        <v>4585</v>
      </c>
      <c r="C1324" s="87" t="s">
        <v>1021</v>
      </c>
      <c r="D1324" s="88"/>
      <c r="E1324" s="89">
        <v>68971695</v>
      </c>
      <c r="F1324"/>
      <c r="G1324" s="17" t="s">
        <v>6</v>
      </c>
      <c r="H1324" s="132">
        <v>46085</v>
      </c>
      <c r="I1324" s="127" t="s">
        <v>4593</v>
      </c>
      <c r="J1324"/>
      <c r="K1324"/>
      <c r="L1324"/>
    </row>
    <row r="1325" spans="1:12">
      <c r="A1325" s="95" t="s">
        <v>1005</v>
      </c>
      <c r="B1325" t="s">
        <v>4585</v>
      </c>
      <c r="C1325" s="87" t="s">
        <v>1022</v>
      </c>
      <c r="D1325" s="88"/>
      <c r="E1325" s="89">
        <v>69072821</v>
      </c>
      <c r="F1325"/>
      <c r="G1325" s="17" t="s">
        <v>6</v>
      </c>
      <c r="H1325" s="132">
        <v>46085</v>
      </c>
      <c r="I1325" s="127" t="s">
        <v>4594</v>
      </c>
      <c r="J1325"/>
      <c r="K1325"/>
      <c r="L1325"/>
    </row>
    <row r="1326" spans="1:12">
      <c r="A1326" s="95" t="s">
        <v>1005</v>
      </c>
      <c r="B1326" t="s">
        <v>4585</v>
      </c>
      <c r="C1326" s="87" t="s">
        <v>1023</v>
      </c>
      <c r="D1326" s="88"/>
      <c r="E1326" s="89">
        <v>65745859</v>
      </c>
      <c r="F1326"/>
      <c r="G1326" s="17" t="s">
        <v>9</v>
      </c>
      <c r="H1326" s="132">
        <v>46085</v>
      </c>
      <c r="I1326" s="127" t="s">
        <v>4595</v>
      </c>
      <c r="J1326"/>
      <c r="K1326"/>
      <c r="L1326"/>
    </row>
    <row r="1327" spans="1:12">
      <c r="A1327" s="95" t="s">
        <v>1005</v>
      </c>
      <c r="B1327" t="s">
        <v>4585</v>
      </c>
      <c r="C1327" s="87" t="s">
        <v>1024</v>
      </c>
      <c r="D1327" s="88"/>
      <c r="E1327" s="89">
        <v>66552947</v>
      </c>
      <c r="F1327"/>
      <c r="G1327" s="17" t="s">
        <v>1</v>
      </c>
      <c r="H1327" s="132">
        <v>46085</v>
      </c>
      <c r="I1327" s="127" t="s">
        <v>3818</v>
      </c>
      <c r="J1327"/>
      <c r="K1327"/>
      <c r="L1327"/>
    </row>
    <row r="1328" spans="1:12">
      <c r="A1328" s="95" t="s">
        <v>1005</v>
      </c>
      <c r="B1328" t="s">
        <v>4585</v>
      </c>
      <c r="C1328" s="87" t="s">
        <v>1025</v>
      </c>
      <c r="D1328" s="88"/>
      <c r="E1328" s="89">
        <v>68134263</v>
      </c>
      <c r="F1328"/>
      <c r="G1328" s="17" t="s">
        <v>6</v>
      </c>
      <c r="H1328" s="132">
        <v>46085</v>
      </c>
      <c r="I1328" s="127" t="s">
        <v>4596</v>
      </c>
      <c r="J1328"/>
      <c r="K1328"/>
      <c r="L1328"/>
    </row>
    <row r="1329" spans="1:12">
      <c r="A1329" s="95" t="s">
        <v>1005</v>
      </c>
      <c r="B1329" t="s">
        <v>4585</v>
      </c>
      <c r="C1329" s="87" t="s">
        <v>1026</v>
      </c>
      <c r="D1329" s="88"/>
      <c r="E1329" s="89">
        <v>63261398</v>
      </c>
      <c r="F1329"/>
      <c r="G1329" s="17" t="s">
        <v>9</v>
      </c>
      <c r="H1329" s="132">
        <v>46085</v>
      </c>
      <c r="I1329" s="127" t="s">
        <v>4597</v>
      </c>
      <c r="J1329"/>
      <c r="K1329"/>
      <c r="L1329"/>
    </row>
    <row r="1330" spans="1:12">
      <c r="A1330" s="95" t="s">
        <v>1005</v>
      </c>
      <c r="B1330" t="s">
        <v>4585</v>
      </c>
      <c r="C1330" s="87" t="s">
        <v>1027</v>
      </c>
      <c r="D1330" s="88"/>
      <c r="E1330" s="89">
        <v>61549772</v>
      </c>
      <c r="F1330"/>
      <c r="G1330" s="17" t="s">
        <v>6</v>
      </c>
      <c r="H1330" s="132">
        <v>46085</v>
      </c>
      <c r="I1330" s="127" t="s">
        <v>3825</v>
      </c>
      <c r="J1330"/>
      <c r="K1330"/>
      <c r="L1330"/>
    </row>
    <row r="1331" spans="1:12">
      <c r="A1331" s="95" t="s">
        <v>1005</v>
      </c>
      <c r="B1331" t="s">
        <v>4585</v>
      </c>
      <c r="C1331" s="87" t="s">
        <v>1028</v>
      </c>
      <c r="D1331" s="88"/>
      <c r="E1331" s="89">
        <v>65875062</v>
      </c>
      <c r="F1331"/>
      <c r="G1331" s="17" t="s">
        <v>1</v>
      </c>
      <c r="H1331" s="132">
        <v>46085</v>
      </c>
      <c r="I1331" s="127" t="s">
        <v>3855</v>
      </c>
      <c r="J1331"/>
      <c r="K1331"/>
      <c r="L1331"/>
    </row>
    <row r="1332" spans="1:12">
      <c r="A1332" s="95" t="s">
        <v>1005</v>
      </c>
      <c r="B1332" t="s">
        <v>4585</v>
      </c>
      <c r="C1332" s="87" t="s">
        <v>1029</v>
      </c>
      <c r="D1332" s="88"/>
      <c r="E1332" s="89">
        <v>64983655</v>
      </c>
      <c r="F1332"/>
      <c r="G1332" s="17" t="s">
        <v>6</v>
      </c>
      <c r="H1332" s="132">
        <v>46085</v>
      </c>
      <c r="I1332" s="127" t="s">
        <v>4598</v>
      </c>
      <c r="J1332"/>
      <c r="K1332"/>
      <c r="L1332"/>
    </row>
    <row r="1333" spans="1:12">
      <c r="A1333" s="95" t="s">
        <v>1005</v>
      </c>
      <c r="B1333" t="s">
        <v>4585</v>
      </c>
      <c r="C1333" s="87" t="s">
        <v>1030</v>
      </c>
      <c r="D1333" s="88"/>
      <c r="E1333" s="89">
        <v>66316483</v>
      </c>
      <c r="F1333"/>
      <c r="G1333" s="17" t="s">
        <v>1</v>
      </c>
      <c r="H1333" s="132">
        <v>46085</v>
      </c>
      <c r="I1333" s="127" t="s">
        <v>4599</v>
      </c>
      <c r="J1333"/>
      <c r="K1333"/>
      <c r="L1333"/>
    </row>
    <row r="1334" spans="1:12">
      <c r="A1334" s="95" t="s">
        <v>1005</v>
      </c>
      <c r="B1334" t="s">
        <v>4585</v>
      </c>
      <c r="C1334" s="87" t="s">
        <v>1031</v>
      </c>
      <c r="D1334" s="88"/>
      <c r="E1334" s="89">
        <v>65833303</v>
      </c>
      <c r="F1334"/>
      <c r="G1334" s="17" t="s">
        <v>9</v>
      </c>
      <c r="H1334" s="132">
        <v>46085</v>
      </c>
      <c r="I1334" s="127" t="s">
        <v>4600</v>
      </c>
      <c r="J1334"/>
      <c r="K1334"/>
      <c r="L1334"/>
    </row>
    <row r="1335" spans="1:12">
      <c r="A1335" s="95" t="s">
        <v>1005</v>
      </c>
      <c r="B1335" t="s">
        <v>4585</v>
      </c>
      <c r="C1335" s="87" t="s">
        <v>1032</v>
      </c>
      <c r="D1335" s="88"/>
      <c r="E1335" s="89">
        <v>68721217</v>
      </c>
      <c r="F1335"/>
      <c r="G1335" s="17" t="s">
        <v>6</v>
      </c>
      <c r="H1335" s="132">
        <v>46085</v>
      </c>
      <c r="I1335" s="127" t="s">
        <v>4601</v>
      </c>
      <c r="J1335"/>
      <c r="K1335"/>
      <c r="L1335"/>
    </row>
    <row r="1336" spans="1:12">
      <c r="A1336" s="95" t="s">
        <v>1005</v>
      </c>
      <c r="B1336" t="s">
        <v>4585</v>
      </c>
      <c r="C1336" s="87" t="s">
        <v>1033</v>
      </c>
      <c r="D1336" s="88"/>
      <c r="E1336" s="89">
        <v>67146001</v>
      </c>
      <c r="F1336"/>
      <c r="G1336" s="17" t="s">
        <v>9</v>
      </c>
      <c r="H1336" s="132">
        <v>46085</v>
      </c>
      <c r="I1336" s="127" t="s">
        <v>4602</v>
      </c>
      <c r="J1336"/>
      <c r="K1336"/>
      <c r="L1336"/>
    </row>
    <row r="1337" spans="1:12">
      <c r="A1337" s="95" t="s">
        <v>1005</v>
      </c>
      <c r="B1337" t="s">
        <v>4585</v>
      </c>
      <c r="C1337" s="87" t="s">
        <v>1034</v>
      </c>
      <c r="D1337" s="88"/>
      <c r="E1337" s="89">
        <v>60250157</v>
      </c>
      <c r="F1337"/>
      <c r="G1337" s="17" t="s">
        <v>1</v>
      </c>
      <c r="H1337" s="132">
        <v>46085</v>
      </c>
      <c r="I1337" s="127" t="s">
        <v>4603</v>
      </c>
      <c r="J1337"/>
      <c r="K1337"/>
      <c r="L1337"/>
    </row>
    <row r="1338" spans="1:12">
      <c r="A1338" s="95" t="s">
        <v>1005</v>
      </c>
      <c r="B1338" t="s">
        <v>4585</v>
      </c>
      <c r="C1338" s="87" t="s">
        <v>1035</v>
      </c>
      <c r="D1338" s="88"/>
      <c r="E1338" s="89">
        <v>66887940</v>
      </c>
      <c r="F1338"/>
      <c r="G1338" s="17" t="s">
        <v>9</v>
      </c>
      <c r="H1338" s="132">
        <v>46085</v>
      </c>
      <c r="J1338"/>
      <c r="K1338"/>
      <c r="L1338"/>
    </row>
    <row r="1339" spans="1:12">
      <c r="A1339" s="95" t="s">
        <v>1005</v>
      </c>
      <c r="B1339" t="s">
        <v>4585</v>
      </c>
      <c r="C1339" s="87" t="s">
        <v>1036</v>
      </c>
      <c r="D1339" s="88"/>
      <c r="E1339" s="89">
        <v>68679867</v>
      </c>
      <c r="F1339"/>
      <c r="G1339" s="17" t="s">
        <v>3</v>
      </c>
      <c r="H1339" s="132">
        <v>46085</v>
      </c>
      <c r="I1339" s="127" t="s">
        <v>4604</v>
      </c>
      <c r="J1339"/>
      <c r="K1339"/>
      <c r="L1339"/>
    </row>
    <row r="1340" spans="1:12">
      <c r="A1340" s="95" t="s">
        <v>1005</v>
      </c>
      <c r="B1340" t="s">
        <v>4585</v>
      </c>
      <c r="C1340" s="87" t="s">
        <v>1037</v>
      </c>
      <c r="D1340" s="88"/>
      <c r="E1340" s="89">
        <v>61133642</v>
      </c>
      <c r="F1340"/>
      <c r="G1340" s="17" t="s">
        <v>3</v>
      </c>
      <c r="H1340" s="132">
        <v>46085</v>
      </c>
      <c r="I1340" s="127" t="s">
        <v>4605</v>
      </c>
      <c r="J1340"/>
      <c r="K1340"/>
      <c r="L1340"/>
    </row>
    <row r="1341" spans="1:12">
      <c r="A1341" s="95" t="s">
        <v>1005</v>
      </c>
      <c r="B1341" t="s">
        <v>4585</v>
      </c>
      <c r="C1341" s="87" t="s">
        <v>1038</v>
      </c>
      <c r="D1341" s="88"/>
      <c r="E1341" s="89">
        <v>68833772</v>
      </c>
      <c r="F1341"/>
      <c r="G1341" s="17" t="s">
        <v>3</v>
      </c>
      <c r="H1341" s="132">
        <v>46085</v>
      </c>
      <c r="I1341" s="127" t="s">
        <v>4606</v>
      </c>
      <c r="J1341"/>
      <c r="K1341"/>
      <c r="L1341"/>
    </row>
    <row r="1342" spans="1:12">
      <c r="A1342" s="95" t="s">
        <v>1005</v>
      </c>
      <c r="B1342" t="s">
        <v>4585</v>
      </c>
      <c r="C1342" s="87" t="s">
        <v>1039</v>
      </c>
      <c r="D1342" s="88"/>
      <c r="E1342" s="89">
        <v>67918111</v>
      </c>
      <c r="F1342"/>
      <c r="G1342" s="17" t="s">
        <v>6</v>
      </c>
      <c r="H1342" s="132">
        <v>46085</v>
      </c>
      <c r="I1342" s="127" t="s">
        <v>4607</v>
      </c>
      <c r="J1342"/>
      <c r="K1342"/>
      <c r="L1342"/>
    </row>
    <row r="1343" spans="1:12">
      <c r="A1343" s="95" t="s">
        <v>1005</v>
      </c>
      <c r="B1343" t="s">
        <v>4585</v>
      </c>
      <c r="C1343" s="87" t="s">
        <v>1040</v>
      </c>
      <c r="D1343" s="88"/>
      <c r="E1343" s="89">
        <v>64054648</v>
      </c>
      <c r="F1343"/>
      <c r="G1343" s="17" t="s">
        <v>3</v>
      </c>
      <c r="H1343" s="132">
        <v>46085</v>
      </c>
      <c r="I1343" s="127" t="s">
        <v>4608</v>
      </c>
      <c r="J1343"/>
      <c r="K1343"/>
      <c r="L1343"/>
    </row>
    <row r="1344" spans="1:12">
      <c r="A1344" s="95" t="s">
        <v>1005</v>
      </c>
      <c r="B1344" t="s">
        <v>4585</v>
      </c>
      <c r="C1344" s="87" t="s">
        <v>1041</v>
      </c>
      <c r="D1344" s="88"/>
      <c r="E1344" s="89">
        <v>67000905</v>
      </c>
      <c r="F1344"/>
      <c r="G1344" s="17" t="s">
        <v>6</v>
      </c>
      <c r="H1344" s="132">
        <v>46085</v>
      </c>
      <c r="I1344" s="127" t="s">
        <v>4609</v>
      </c>
      <c r="J1344"/>
      <c r="K1344"/>
      <c r="L1344"/>
    </row>
    <row r="1345" spans="1:12">
      <c r="A1345" s="95" t="s">
        <v>1005</v>
      </c>
      <c r="B1345" t="s">
        <v>4585</v>
      </c>
      <c r="C1345" s="87" t="s">
        <v>1042</v>
      </c>
      <c r="D1345" s="88"/>
      <c r="E1345" s="89">
        <v>69704907</v>
      </c>
      <c r="F1345"/>
      <c r="G1345" s="17" t="s">
        <v>6</v>
      </c>
      <c r="H1345" s="132">
        <v>46085</v>
      </c>
      <c r="I1345" s="127" t="s">
        <v>4610</v>
      </c>
      <c r="J1345"/>
      <c r="K1345"/>
      <c r="L1345"/>
    </row>
    <row r="1346" spans="1:12">
      <c r="A1346" s="95" t="s">
        <v>1005</v>
      </c>
      <c r="B1346" t="s">
        <v>4585</v>
      </c>
      <c r="C1346" s="87" t="s">
        <v>1043</v>
      </c>
      <c r="D1346" s="88"/>
      <c r="E1346" s="89">
        <v>69083126</v>
      </c>
      <c r="F1346"/>
      <c r="G1346" s="17" t="s">
        <v>6</v>
      </c>
      <c r="H1346" s="132">
        <v>46085</v>
      </c>
      <c r="I1346" s="127" t="s">
        <v>3807</v>
      </c>
      <c r="J1346"/>
      <c r="K1346"/>
      <c r="L1346"/>
    </row>
    <row r="1347" spans="1:12">
      <c r="A1347" s="95" t="s">
        <v>1005</v>
      </c>
      <c r="B1347" t="s">
        <v>4585</v>
      </c>
      <c r="C1347" s="87" t="s">
        <v>1044</v>
      </c>
      <c r="D1347" s="88"/>
      <c r="E1347" s="89">
        <v>64892483</v>
      </c>
      <c r="F1347"/>
      <c r="G1347" s="17" t="s">
        <v>1</v>
      </c>
      <c r="H1347" s="132">
        <v>46085</v>
      </c>
      <c r="I1347" s="127" t="s">
        <v>3814</v>
      </c>
      <c r="J1347"/>
      <c r="K1347"/>
      <c r="L1347"/>
    </row>
    <row r="1348" spans="1:12">
      <c r="A1348" s="95" t="s">
        <v>1005</v>
      </c>
      <c r="B1348" t="s">
        <v>4585</v>
      </c>
      <c r="C1348" s="87" t="s">
        <v>1045</v>
      </c>
      <c r="D1348" s="88"/>
      <c r="E1348" s="89">
        <v>65558718</v>
      </c>
      <c r="F1348"/>
      <c r="G1348" s="17" t="s">
        <v>6</v>
      </c>
      <c r="H1348" s="132">
        <v>46085</v>
      </c>
      <c r="I1348" s="127" t="s">
        <v>4611</v>
      </c>
      <c r="J1348"/>
      <c r="K1348"/>
      <c r="L1348"/>
    </row>
    <row r="1349" spans="1:12">
      <c r="A1349" s="95" t="s">
        <v>1005</v>
      </c>
      <c r="B1349" t="s">
        <v>4585</v>
      </c>
      <c r="C1349" s="87" t="s">
        <v>1046</v>
      </c>
      <c r="D1349" s="88"/>
      <c r="E1349" s="89">
        <v>66300129</v>
      </c>
      <c r="F1349"/>
      <c r="G1349" s="17" t="s">
        <v>3</v>
      </c>
      <c r="H1349" s="132">
        <v>46085</v>
      </c>
      <c r="J1349"/>
      <c r="K1349"/>
      <c r="L1349"/>
    </row>
    <row r="1350" spans="1:12">
      <c r="A1350" s="95" t="s">
        <v>1005</v>
      </c>
      <c r="B1350" t="s">
        <v>4585</v>
      </c>
      <c r="C1350" s="87" t="s">
        <v>1047</v>
      </c>
      <c r="D1350" s="88"/>
      <c r="E1350" s="89">
        <v>67543112</v>
      </c>
      <c r="F1350"/>
      <c r="G1350" s="17" t="s">
        <v>1</v>
      </c>
      <c r="H1350" s="132">
        <v>46086</v>
      </c>
      <c r="I1350" s="127" t="s">
        <v>4612</v>
      </c>
      <c r="J1350"/>
      <c r="K1350"/>
      <c r="L1350"/>
    </row>
    <row r="1351" spans="1:12">
      <c r="A1351" s="95" t="s">
        <v>1005</v>
      </c>
      <c r="B1351" t="s">
        <v>4585</v>
      </c>
      <c r="C1351" s="87" t="s">
        <v>1048</v>
      </c>
      <c r="D1351" s="88"/>
      <c r="E1351" s="89">
        <v>64379258</v>
      </c>
      <c r="F1351"/>
      <c r="G1351" s="17" t="s">
        <v>3</v>
      </c>
      <c r="H1351" s="132">
        <v>46086</v>
      </c>
      <c r="I1351" s="127" t="s">
        <v>4613</v>
      </c>
      <c r="J1351"/>
      <c r="K1351"/>
      <c r="L1351"/>
    </row>
    <row r="1352" spans="1:12">
      <c r="A1352" s="95" t="s">
        <v>1005</v>
      </c>
      <c r="B1352" t="s">
        <v>4585</v>
      </c>
      <c r="C1352" s="87" t="s">
        <v>1049</v>
      </c>
      <c r="D1352" s="88"/>
      <c r="E1352" s="89">
        <v>67688894</v>
      </c>
      <c r="F1352"/>
      <c r="G1352" s="17" t="s">
        <v>1</v>
      </c>
      <c r="H1352" s="132">
        <v>46086</v>
      </c>
      <c r="I1352" s="127" t="s">
        <v>3754</v>
      </c>
      <c r="J1352"/>
      <c r="K1352"/>
      <c r="L1352"/>
    </row>
    <row r="1353" spans="1:12">
      <c r="A1353" s="95" t="s">
        <v>1005</v>
      </c>
      <c r="B1353" t="s">
        <v>4585</v>
      </c>
      <c r="C1353" s="87" t="s">
        <v>1050</v>
      </c>
      <c r="D1353" s="88"/>
      <c r="E1353" s="89">
        <v>7871170</v>
      </c>
      <c r="F1353"/>
      <c r="G1353" s="17" t="s">
        <v>9</v>
      </c>
      <c r="H1353" s="132">
        <v>46086</v>
      </c>
      <c r="I1353" s="127" t="s">
        <v>3756</v>
      </c>
      <c r="J1353"/>
      <c r="K1353"/>
      <c r="L1353"/>
    </row>
    <row r="1354" spans="1:12">
      <c r="A1354" s="95" t="s">
        <v>1005</v>
      </c>
      <c r="B1354" t="s">
        <v>4585</v>
      </c>
      <c r="C1354" s="87" t="s">
        <v>1051</v>
      </c>
      <c r="D1354" s="88"/>
      <c r="E1354" s="89">
        <v>65605313</v>
      </c>
      <c r="F1354"/>
      <c r="G1354" s="17" t="s">
        <v>6</v>
      </c>
      <c r="H1354" s="132">
        <v>46086</v>
      </c>
      <c r="I1354" s="127" t="s">
        <v>4614</v>
      </c>
      <c r="J1354"/>
      <c r="K1354"/>
      <c r="L1354"/>
    </row>
    <row r="1355" spans="1:12">
      <c r="A1355" s="95" t="s">
        <v>1005</v>
      </c>
      <c r="B1355" t="s">
        <v>4585</v>
      </c>
      <c r="C1355" s="87" t="s">
        <v>1052</v>
      </c>
      <c r="D1355" s="88"/>
      <c r="E1355" s="89">
        <v>68169242</v>
      </c>
      <c r="F1355"/>
      <c r="G1355" s="17" t="s">
        <v>1</v>
      </c>
      <c r="H1355" s="132">
        <v>46086</v>
      </c>
      <c r="I1355" s="127" t="s">
        <v>3764</v>
      </c>
      <c r="J1355"/>
      <c r="K1355"/>
      <c r="L1355"/>
    </row>
    <row r="1356" spans="1:12">
      <c r="A1356" s="95" t="s">
        <v>1005</v>
      </c>
      <c r="B1356" t="s">
        <v>4585</v>
      </c>
      <c r="C1356" s="87" t="s">
        <v>1053</v>
      </c>
      <c r="D1356" s="88"/>
      <c r="E1356" s="89">
        <v>62212065</v>
      </c>
      <c r="F1356"/>
      <c r="G1356" s="17" t="s">
        <v>1</v>
      </c>
      <c r="H1356" s="132">
        <v>46086</v>
      </c>
      <c r="I1356" s="127" t="s">
        <v>4615</v>
      </c>
      <c r="J1356"/>
      <c r="K1356"/>
      <c r="L1356"/>
    </row>
    <row r="1357" spans="1:12">
      <c r="A1357" s="95" t="s">
        <v>1005</v>
      </c>
      <c r="B1357" t="s">
        <v>4585</v>
      </c>
      <c r="C1357" s="87" t="s">
        <v>1054</v>
      </c>
      <c r="D1357" s="88"/>
      <c r="E1357" s="89">
        <v>66014462</v>
      </c>
      <c r="F1357"/>
      <c r="G1357" s="17" t="s">
        <v>6</v>
      </c>
      <c r="H1357" s="132">
        <v>46086</v>
      </c>
      <c r="I1357" s="127" t="s">
        <v>3772</v>
      </c>
      <c r="J1357"/>
      <c r="K1357"/>
      <c r="L1357"/>
    </row>
    <row r="1358" spans="1:12">
      <c r="A1358" s="95" t="s">
        <v>1005</v>
      </c>
      <c r="B1358" t="s">
        <v>4585</v>
      </c>
      <c r="C1358" s="87" t="s">
        <v>1055</v>
      </c>
      <c r="D1358" s="88"/>
      <c r="E1358" s="89">
        <v>67964232</v>
      </c>
      <c r="F1358"/>
      <c r="G1358" s="17" t="s">
        <v>1</v>
      </c>
      <c r="H1358" s="132">
        <v>46086</v>
      </c>
      <c r="I1358" s="127" t="s">
        <v>4616</v>
      </c>
      <c r="J1358"/>
      <c r="K1358"/>
      <c r="L1358"/>
    </row>
    <row r="1359" spans="1:12">
      <c r="A1359" s="95" t="s">
        <v>1005</v>
      </c>
      <c r="B1359" t="s">
        <v>4585</v>
      </c>
      <c r="C1359" s="87" t="s">
        <v>1056</v>
      </c>
      <c r="D1359" s="88"/>
      <c r="E1359" s="89">
        <v>65685511</v>
      </c>
      <c r="F1359"/>
      <c r="G1359" s="17" t="s">
        <v>6</v>
      </c>
      <c r="H1359" s="132">
        <v>46086</v>
      </c>
      <c r="I1359" s="127" t="s">
        <v>4617</v>
      </c>
      <c r="J1359"/>
      <c r="K1359"/>
      <c r="L1359"/>
    </row>
    <row r="1360" spans="1:12">
      <c r="A1360" s="95" t="s">
        <v>1005</v>
      </c>
      <c r="B1360" t="s">
        <v>4585</v>
      </c>
      <c r="C1360" s="87" t="s">
        <v>1057</v>
      </c>
      <c r="D1360" s="88"/>
      <c r="E1360" s="89">
        <v>61658805</v>
      </c>
      <c r="F1360"/>
      <c r="G1360" s="17" t="s">
        <v>1</v>
      </c>
      <c r="H1360" s="132">
        <v>46086</v>
      </c>
      <c r="I1360" s="127" t="s">
        <v>4618</v>
      </c>
      <c r="J1360"/>
      <c r="K1360"/>
      <c r="L1360"/>
    </row>
    <row r="1361" spans="1:12">
      <c r="A1361" s="95" t="s">
        <v>1005</v>
      </c>
      <c r="B1361" t="s">
        <v>4585</v>
      </c>
      <c r="C1361" s="87" t="s">
        <v>1058</v>
      </c>
      <c r="D1361" s="88"/>
      <c r="E1361" s="89">
        <v>62240573</v>
      </c>
      <c r="F1361"/>
      <c r="G1361" s="17" t="s">
        <v>1</v>
      </c>
      <c r="H1361" s="132">
        <v>46085</v>
      </c>
      <c r="I1361" s="127" t="s">
        <v>4619</v>
      </c>
      <c r="J1361"/>
      <c r="K1361"/>
      <c r="L1361"/>
    </row>
    <row r="1362" spans="1:12">
      <c r="A1362" s="95" t="s">
        <v>1005</v>
      </c>
      <c r="B1362" t="s">
        <v>4585</v>
      </c>
      <c r="C1362" s="87" t="s">
        <v>1059</v>
      </c>
      <c r="D1362" s="88"/>
      <c r="E1362" s="89">
        <v>66973256</v>
      </c>
      <c r="F1362"/>
      <c r="G1362" s="17" t="s">
        <v>1</v>
      </c>
      <c r="H1362" s="132">
        <v>46086</v>
      </c>
      <c r="I1362" s="127" t="s">
        <v>3778</v>
      </c>
      <c r="J1362"/>
      <c r="K1362"/>
      <c r="L1362"/>
    </row>
    <row r="1363" spans="1:12">
      <c r="A1363" s="95" t="s">
        <v>1005</v>
      </c>
      <c r="B1363" t="s">
        <v>4585</v>
      </c>
      <c r="C1363" s="87" t="s">
        <v>1060</v>
      </c>
      <c r="D1363" s="88"/>
      <c r="E1363" s="89">
        <v>62063931</v>
      </c>
      <c r="F1363"/>
      <c r="G1363" s="17" t="s">
        <v>9</v>
      </c>
      <c r="H1363" s="132">
        <v>46086</v>
      </c>
      <c r="I1363" s="127" t="s">
        <v>4620</v>
      </c>
      <c r="J1363"/>
      <c r="K1363"/>
      <c r="L1363"/>
    </row>
    <row r="1364" spans="1:12">
      <c r="A1364" s="95" t="s">
        <v>1005</v>
      </c>
      <c r="B1364" t="s">
        <v>4585</v>
      </c>
      <c r="C1364" s="87" t="s">
        <v>1061</v>
      </c>
      <c r="D1364" s="88"/>
      <c r="E1364" s="89">
        <v>63275849</v>
      </c>
      <c r="F1364"/>
      <c r="G1364" s="17" t="s">
        <v>1</v>
      </c>
      <c r="H1364" s="132">
        <v>46086</v>
      </c>
      <c r="I1364" s="127" t="s">
        <v>4604</v>
      </c>
      <c r="J1364"/>
      <c r="K1364"/>
      <c r="L1364"/>
    </row>
    <row r="1365" spans="1:12">
      <c r="A1365" s="95" t="s">
        <v>1005</v>
      </c>
      <c r="B1365" t="s">
        <v>4585</v>
      </c>
      <c r="C1365" s="87" t="s">
        <v>1062</v>
      </c>
      <c r="D1365" s="88"/>
      <c r="E1365" s="89">
        <v>64295865</v>
      </c>
      <c r="F1365"/>
      <c r="G1365" s="17" t="s">
        <v>1</v>
      </c>
      <c r="H1365" s="132">
        <v>46086</v>
      </c>
      <c r="I1365" s="127" t="s">
        <v>4605</v>
      </c>
      <c r="J1365"/>
      <c r="K1365"/>
      <c r="L1365"/>
    </row>
    <row r="1366" spans="1:12">
      <c r="A1366" s="95" t="s">
        <v>1005</v>
      </c>
      <c r="B1366" t="s">
        <v>4585</v>
      </c>
      <c r="C1366" s="87" t="s">
        <v>1063</v>
      </c>
      <c r="D1366" s="88"/>
      <c r="E1366" s="89">
        <v>63867045</v>
      </c>
      <c r="F1366"/>
      <c r="G1366" s="17" t="s">
        <v>3</v>
      </c>
      <c r="H1366" s="132"/>
      <c r="I1366" s="127" t="s">
        <v>3797</v>
      </c>
      <c r="J1366"/>
      <c r="K1366"/>
      <c r="L1366"/>
    </row>
    <row r="1367" spans="1:12">
      <c r="A1367" s="95" t="s">
        <v>1005</v>
      </c>
      <c r="B1367" t="s">
        <v>4585</v>
      </c>
      <c r="C1367" s="87" t="s">
        <v>1064</v>
      </c>
      <c r="D1367" s="88"/>
      <c r="E1367" s="89">
        <v>64260329</v>
      </c>
      <c r="F1367"/>
      <c r="G1367" s="17" t="s">
        <v>2</v>
      </c>
      <c r="H1367" s="132">
        <v>46086</v>
      </c>
      <c r="I1367" s="127" t="s">
        <v>3801</v>
      </c>
      <c r="J1367"/>
      <c r="K1367"/>
      <c r="L1367"/>
    </row>
    <row r="1368" spans="1:12">
      <c r="A1368" s="95" t="s">
        <v>1005</v>
      </c>
      <c r="B1368" t="s">
        <v>4585</v>
      </c>
      <c r="C1368" s="87" t="s">
        <v>1065</v>
      </c>
      <c r="D1368" s="88"/>
      <c r="E1368" s="89">
        <v>67523084</v>
      </c>
      <c r="F1368"/>
      <c r="G1368" s="17" t="s">
        <v>2</v>
      </c>
      <c r="H1368" s="132">
        <v>46086</v>
      </c>
      <c r="I1368" s="127" t="s">
        <v>4621</v>
      </c>
      <c r="J1368"/>
      <c r="K1368"/>
      <c r="L1368"/>
    </row>
    <row r="1369" spans="1:12">
      <c r="A1369" s="95" t="s">
        <v>1005</v>
      </c>
      <c r="B1369" t="s">
        <v>4585</v>
      </c>
      <c r="C1369" s="87" t="s">
        <v>1066</v>
      </c>
      <c r="D1369" s="88"/>
      <c r="E1369" s="89">
        <v>69368725</v>
      </c>
      <c r="F1369"/>
      <c r="G1369" s="17" t="s">
        <v>1</v>
      </c>
      <c r="H1369" s="132">
        <v>46086</v>
      </c>
      <c r="I1369" s="127" t="s">
        <v>3805</v>
      </c>
      <c r="J1369"/>
      <c r="K1369"/>
      <c r="L1369"/>
    </row>
    <row r="1370" spans="1:12">
      <c r="A1370" s="95" t="s">
        <v>1005</v>
      </c>
      <c r="B1370" t="s">
        <v>4585</v>
      </c>
      <c r="C1370" s="87" t="s">
        <v>1067</v>
      </c>
      <c r="D1370" s="88"/>
      <c r="E1370" s="89">
        <v>68156413</v>
      </c>
      <c r="F1370"/>
      <c r="G1370" s="17" t="s">
        <v>2</v>
      </c>
      <c r="H1370" s="132">
        <v>46086</v>
      </c>
      <c r="I1370" s="127" t="s">
        <v>3807</v>
      </c>
      <c r="J1370"/>
      <c r="K1370"/>
      <c r="L1370"/>
    </row>
    <row r="1371" spans="1:12">
      <c r="A1371" s="95" t="s">
        <v>1005</v>
      </c>
      <c r="B1371" t="s">
        <v>4585</v>
      </c>
      <c r="C1371" s="87" t="s">
        <v>1068</v>
      </c>
      <c r="D1371" s="88"/>
      <c r="E1371" s="89">
        <v>65569830</v>
      </c>
      <c r="F1371"/>
      <c r="G1371" s="17" t="s">
        <v>1</v>
      </c>
      <c r="H1371" s="132">
        <v>46086</v>
      </c>
      <c r="I1371" s="127" t="s">
        <v>4622</v>
      </c>
      <c r="J1371"/>
      <c r="K1371"/>
      <c r="L1371"/>
    </row>
    <row r="1372" spans="1:12">
      <c r="A1372" s="95" t="s">
        <v>1005</v>
      </c>
      <c r="B1372" t="s">
        <v>4585</v>
      </c>
      <c r="C1372" s="87" t="s">
        <v>1069</v>
      </c>
      <c r="D1372" s="88"/>
      <c r="E1372" s="89">
        <v>62396610</v>
      </c>
      <c r="F1372"/>
      <c r="G1372" s="17" t="s">
        <v>1</v>
      </c>
      <c r="H1372" s="132">
        <v>46086</v>
      </c>
      <c r="I1372" s="127" t="s">
        <v>4623</v>
      </c>
      <c r="J1372"/>
      <c r="K1372"/>
      <c r="L1372"/>
    </row>
    <row r="1373" spans="1:12">
      <c r="A1373" s="95" t="s">
        <v>1005</v>
      </c>
      <c r="B1373" t="s">
        <v>4585</v>
      </c>
      <c r="C1373" s="87" t="s">
        <v>1070</v>
      </c>
      <c r="D1373" s="88"/>
      <c r="E1373" s="89">
        <v>67349418</v>
      </c>
      <c r="F1373"/>
      <c r="G1373" s="17" t="s">
        <v>1</v>
      </c>
      <c r="H1373" s="132">
        <v>46086</v>
      </c>
      <c r="I1373" s="127" t="s">
        <v>3824</v>
      </c>
      <c r="J1373"/>
      <c r="K1373"/>
      <c r="L1373"/>
    </row>
    <row r="1374" spans="1:12">
      <c r="A1374" s="95" t="s">
        <v>1005</v>
      </c>
      <c r="B1374" t="s">
        <v>4585</v>
      </c>
      <c r="C1374" s="87" t="s">
        <v>1071</v>
      </c>
      <c r="D1374" s="88"/>
      <c r="E1374" s="89">
        <v>7210372</v>
      </c>
      <c r="F1374"/>
      <c r="G1374" s="17" t="s">
        <v>2</v>
      </c>
      <c r="H1374" s="132">
        <v>46086</v>
      </c>
      <c r="I1374" s="127" t="s">
        <v>3854</v>
      </c>
      <c r="J1374"/>
      <c r="K1374"/>
      <c r="L1374"/>
    </row>
    <row r="1375" spans="1:12">
      <c r="A1375" s="95" t="s">
        <v>1005</v>
      </c>
      <c r="B1375" t="s">
        <v>4585</v>
      </c>
      <c r="C1375" s="87" t="s">
        <v>1072</v>
      </c>
      <c r="D1375" s="88"/>
      <c r="E1375" s="89">
        <v>65919261</v>
      </c>
      <c r="F1375"/>
      <c r="G1375" s="17" t="s">
        <v>3</v>
      </c>
      <c r="H1375" s="132">
        <v>46086</v>
      </c>
      <c r="I1375" s="127" t="s">
        <v>3859</v>
      </c>
      <c r="J1375"/>
      <c r="K1375"/>
      <c r="L1375"/>
    </row>
    <row r="1376" spans="1:12">
      <c r="A1376" s="95" t="s">
        <v>1005</v>
      </c>
      <c r="B1376" t="s">
        <v>4585</v>
      </c>
      <c r="C1376" s="87" t="s">
        <v>1073</v>
      </c>
      <c r="D1376" s="88"/>
      <c r="E1376" s="89">
        <v>67672389</v>
      </c>
      <c r="F1376"/>
      <c r="G1376" s="17" t="s">
        <v>9</v>
      </c>
      <c r="H1376" s="132">
        <v>46086</v>
      </c>
      <c r="I1376" s="127" t="s">
        <v>4624</v>
      </c>
      <c r="J1376"/>
      <c r="K1376"/>
      <c r="L1376"/>
    </row>
    <row r="1377" spans="1:12">
      <c r="A1377" s="95" t="s">
        <v>1005</v>
      </c>
      <c r="B1377" t="s">
        <v>4585</v>
      </c>
      <c r="C1377" s="87" t="s">
        <v>1074</v>
      </c>
      <c r="D1377" s="88"/>
      <c r="E1377" s="89">
        <v>64371216</v>
      </c>
      <c r="F1377"/>
      <c r="G1377" s="17" t="s">
        <v>2</v>
      </c>
      <c r="H1377" s="132">
        <v>46086</v>
      </c>
      <c r="I1377" s="127" t="s">
        <v>4625</v>
      </c>
      <c r="J1377"/>
      <c r="K1377"/>
      <c r="L1377"/>
    </row>
    <row r="1378" spans="1:12">
      <c r="A1378" s="95" t="s">
        <v>1005</v>
      </c>
      <c r="B1378" t="s">
        <v>4585</v>
      </c>
      <c r="C1378" s="87" t="s">
        <v>1075</v>
      </c>
      <c r="D1378" s="88"/>
      <c r="E1378" s="89">
        <v>65196520</v>
      </c>
      <c r="F1378"/>
      <c r="G1378" s="17" t="s">
        <v>3</v>
      </c>
      <c r="H1378" s="132">
        <v>46086</v>
      </c>
      <c r="I1378" s="127" t="s">
        <v>4626</v>
      </c>
      <c r="J1378"/>
      <c r="K1378"/>
      <c r="L1378"/>
    </row>
    <row r="1379" spans="1:12">
      <c r="A1379" s="95" t="s">
        <v>1005</v>
      </c>
      <c r="B1379" t="s">
        <v>4585</v>
      </c>
      <c r="C1379" s="87" t="s">
        <v>1076</v>
      </c>
      <c r="D1379" s="88"/>
      <c r="E1379" s="89">
        <v>64639972</v>
      </c>
      <c r="F1379"/>
      <c r="G1379" s="17" t="s">
        <v>2</v>
      </c>
      <c r="H1379" s="132">
        <v>46086</v>
      </c>
      <c r="I1379" s="127" t="s">
        <v>4627</v>
      </c>
      <c r="J1379"/>
      <c r="K1379"/>
      <c r="L1379"/>
    </row>
    <row r="1380" spans="1:12">
      <c r="A1380" s="95" t="s">
        <v>1005</v>
      </c>
      <c r="B1380" t="s">
        <v>4585</v>
      </c>
      <c r="C1380" s="87" t="s">
        <v>1077</v>
      </c>
      <c r="D1380" s="88"/>
      <c r="E1380" s="89">
        <v>66272560</v>
      </c>
      <c r="F1380"/>
      <c r="G1380" s="17" t="s">
        <v>6</v>
      </c>
      <c r="H1380" s="132">
        <v>46086</v>
      </c>
      <c r="I1380" s="127" t="s">
        <v>4628</v>
      </c>
      <c r="J1380"/>
      <c r="K1380"/>
      <c r="L1380"/>
    </row>
    <row r="1381" spans="1:12">
      <c r="A1381" s="95" t="s">
        <v>1005</v>
      </c>
      <c r="B1381" t="s">
        <v>4585</v>
      </c>
      <c r="C1381" s="87" t="s">
        <v>1078</v>
      </c>
      <c r="D1381" s="88"/>
      <c r="E1381" s="89">
        <v>66728114</v>
      </c>
      <c r="F1381"/>
      <c r="G1381" s="17" t="s">
        <v>3</v>
      </c>
      <c r="H1381" s="132">
        <v>46086</v>
      </c>
      <c r="I1381" s="127" t="s">
        <v>4629</v>
      </c>
      <c r="J1381"/>
      <c r="K1381"/>
      <c r="L1381"/>
    </row>
    <row r="1382" spans="1:12">
      <c r="A1382" s="95" t="s">
        <v>1005</v>
      </c>
      <c r="B1382" t="s">
        <v>4585</v>
      </c>
      <c r="C1382" s="87" t="s">
        <v>1079</v>
      </c>
      <c r="D1382" s="88"/>
      <c r="E1382" s="89">
        <v>65682924</v>
      </c>
      <c r="F1382"/>
      <c r="G1382" s="17" t="s">
        <v>2</v>
      </c>
      <c r="H1382" s="132">
        <v>46086</v>
      </c>
      <c r="I1382" s="127" t="s">
        <v>4630</v>
      </c>
      <c r="J1382"/>
      <c r="K1382"/>
      <c r="L1382"/>
    </row>
    <row r="1383" spans="1:12">
      <c r="A1383" s="95" t="s">
        <v>1005</v>
      </c>
      <c r="B1383" t="s">
        <v>4585</v>
      </c>
      <c r="C1383" s="87" t="s">
        <v>1080</v>
      </c>
      <c r="D1383" s="88"/>
      <c r="E1383" s="89">
        <v>68239276</v>
      </c>
      <c r="F1383"/>
      <c r="G1383" s="17" t="s">
        <v>1</v>
      </c>
      <c r="H1383" s="132">
        <v>46086</v>
      </c>
      <c r="I1383" s="127" t="s">
        <v>4631</v>
      </c>
      <c r="J1383"/>
      <c r="K1383"/>
      <c r="L1383"/>
    </row>
    <row r="1384" spans="1:12">
      <c r="A1384" s="95" t="s">
        <v>1005</v>
      </c>
      <c r="B1384" t="s">
        <v>4585</v>
      </c>
      <c r="C1384" s="87" t="s">
        <v>1081</v>
      </c>
      <c r="D1384" s="88"/>
      <c r="E1384" s="89">
        <v>63625634</v>
      </c>
      <c r="F1384"/>
      <c r="G1384" s="17" t="s">
        <v>2</v>
      </c>
      <c r="H1384" s="132">
        <v>46086</v>
      </c>
      <c r="I1384" s="127" t="s">
        <v>4632</v>
      </c>
      <c r="J1384"/>
      <c r="K1384"/>
      <c r="L1384"/>
    </row>
    <row r="1385" spans="1:12">
      <c r="A1385" s="95" t="s">
        <v>1005</v>
      </c>
      <c r="B1385" t="s">
        <v>4585</v>
      </c>
      <c r="C1385" s="87" t="s">
        <v>1082</v>
      </c>
      <c r="D1385" s="88"/>
      <c r="E1385" s="89">
        <v>64615868</v>
      </c>
      <c r="F1385"/>
      <c r="G1385" s="17" t="s">
        <v>2</v>
      </c>
      <c r="H1385" s="132">
        <v>46086</v>
      </c>
      <c r="I1385" s="127" t="s">
        <v>4633</v>
      </c>
      <c r="J1385"/>
      <c r="K1385"/>
      <c r="L1385"/>
    </row>
    <row r="1386" spans="1:12">
      <c r="A1386" s="95" t="s">
        <v>1005</v>
      </c>
      <c r="B1386" t="s">
        <v>4585</v>
      </c>
      <c r="C1386" s="87" t="s">
        <v>1083</v>
      </c>
      <c r="D1386" s="88"/>
      <c r="E1386" s="89">
        <v>67631945</v>
      </c>
      <c r="F1386"/>
      <c r="G1386" s="17" t="s">
        <v>1</v>
      </c>
      <c r="H1386" s="132">
        <v>46086</v>
      </c>
      <c r="I1386" s="127" t="s">
        <v>4634</v>
      </c>
      <c r="J1386"/>
      <c r="K1386"/>
      <c r="L1386"/>
    </row>
    <row r="1387" spans="1:12">
      <c r="A1387" s="95" t="s">
        <v>1005</v>
      </c>
      <c r="B1387" t="s">
        <v>4585</v>
      </c>
      <c r="C1387" s="87" t="s">
        <v>1084</v>
      </c>
      <c r="D1387" s="88"/>
      <c r="E1387" s="89">
        <v>66551822</v>
      </c>
      <c r="F1387"/>
      <c r="G1387" s="17" t="s">
        <v>2</v>
      </c>
      <c r="H1387" s="132">
        <v>46086</v>
      </c>
      <c r="I1387" s="127" t="s">
        <v>4635</v>
      </c>
      <c r="J1387"/>
      <c r="K1387"/>
      <c r="L1387"/>
    </row>
    <row r="1388" spans="1:12">
      <c r="A1388" s="95" t="s">
        <v>1005</v>
      </c>
      <c r="B1388" t="s">
        <v>4585</v>
      </c>
      <c r="C1388" s="87" t="s">
        <v>1085</v>
      </c>
      <c r="D1388" s="88"/>
      <c r="E1388" s="89">
        <v>65077189</v>
      </c>
      <c r="F1388"/>
      <c r="G1388" s="17" t="s">
        <v>2</v>
      </c>
      <c r="H1388" s="132">
        <v>46086</v>
      </c>
      <c r="I1388" s="127" t="s">
        <v>4636</v>
      </c>
      <c r="J1388"/>
      <c r="K1388"/>
      <c r="L1388"/>
    </row>
    <row r="1389" spans="1:12">
      <c r="A1389" s="95" t="s">
        <v>1005</v>
      </c>
      <c r="B1389" t="s">
        <v>4585</v>
      </c>
      <c r="C1389" s="87" t="s">
        <v>1086</v>
      </c>
      <c r="D1389" s="88"/>
      <c r="E1389" s="89">
        <v>66294182</v>
      </c>
      <c r="F1389"/>
      <c r="G1389" s="17" t="s">
        <v>2</v>
      </c>
      <c r="H1389" s="132">
        <v>46086</v>
      </c>
      <c r="I1389" s="127" t="s">
        <v>4637</v>
      </c>
      <c r="J1389"/>
      <c r="K1389"/>
      <c r="L1389"/>
    </row>
    <row r="1390" spans="1:12">
      <c r="A1390" s="95" t="s">
        <v>1005</v>
      </c>
      <c r="B1390" t="s">
        <v>4585</v>
      </c>
      <c r="C1390" s="87" t="s">
        <v>1087</v>
      </c>
      <c r="D1390" s="88"/>
      <c r="E1390" s="89">
        <v>66226124</v>
      </c>
      <c r="F1390"/>
      <c r="G1390" s="17" t="s">
        <v>2</v>
      </c>
      <c r="H1390" s="132">
        <v>46086</v>
      </c>
      <c r="I1390" s="127" t="s">
        <v>4638</v>
      </c>
      <c r="J1390"/>
      <c r="K1390"/>
      <c r="L1390"/>
    </row>
    <row r="1391" spans="1:12">
      <c r="A1391" s="95" t="s">
        <v>1005</v>
      </c>
      <c r="B1391" t="s">
        <v>4585</v>
      </c>
      <c r="C1391" s="87" t="s">
        <v>1088</v>
      </c>
      <c r="D1391" s="88"/>
      <c r="E1391" s="89">
        <v>69653458</v>
      </c>
      <c r="F1391"/>
      <c r="G1391" s="17" t="s">
        <v>1</v>
      </c>
      <c r="H1391" s="132">
        <v>46086</v>
      </c>
      <c r="I1391" s="127" t="s">
        <v>4639</v>
      </c>
      <c r="J1391"/>
      <c r="K1391"/>
      <c r="L1391"/>
    </row>
    <row r="1392" spans="1:12">
      <c r="A1392" s="95" t="s">
        <v>1005</v>
      </c>
      <c r="B1392" t="s">
        <v>4585</v>
      </c>
      <c r="C1392" s="87" t="s">
        <v>1089</v>
      </c>
      <c r="D1392" s="88"/>
      <c r="E1392" s="89">
        <v>69181716</v>
      </c>
      <c r="F1392"/>
      <c r="G1392" s="17" t="s">
        <v>1</v>
      </c>
      <c r="H1392" s="132">
        <v>46086</v>
      </c>
      <c r="I1392" s="127" t="s">
        <v>4640</v>
      </c>
      <c r="J1392"/>
      <c r="K1392"/>
      <c r="L1392"/>
    </row>
    <row r="1393" spans="1:12">
      <c r="A1393" s="95" t="s">
        <v>1005</v>
      </c>
      <c r="B1393" t="s">
        <v>4585</v>
      </c>
      <c r="C1393" s="87" t="s">
        <v>1090</v>
      </c>
      <c r="D1393" s="88"/>
      <c r="E1393" s="89">
        <v>7871503</v>
      </c>
      <c r="F1393"/>
      <c r="G1393" s="17" t="s">
        <v>9</v>
      </c>
      <c r="H1393" s="132">
        <v>46086</v>
      </c>
      <c r="I1393" s="127" t="s">
        <v>4641</v>
      </c>
      <c r="J1393"/>
      <c r="K1393"/>
      <c r="L1393"/>
    </row>
    <row r="1394" spans="1:12">
      <c r="A1394" s="95" t="s">
        <v>1005</v>
      </c>
      <c r="B1394" t="s">
        <v>4585</v>
      </c>
      <c r="C1394" s="87" t="s">
        <v>1091</v>
      </c>
      <c r="D1394" s="88"/>
      <c r="E1394" s="89">
        <v>67343991</v>
      </c>
      <c r="F1394"/>
      <c r="G1394" s="17" t="s">
        <v>1</v>
      </c>
      <c r="H1394" s="132">
        <v>46086</v>
      </c>
      <c r="I1394" s="127" t="s">
        <v>4642</v>
      </c>
      <c r="J1394"/>
      <c r="K1394"/>
      <c r="L1394"/>
    </row>
    <row r="1395" spans="1:12">
      <c r="A1395" s="95" t="s">
        <v>1005</v>
      </c>
      <c r="B1395" t="s">
        <v>4585</v>
      </c>
      <c r="C1395" s="87" t="s">
        <v>1092</v>
      </c>
      <c r="D1395" s="88"/>
      <c r="E1395" s="89">
        <v>68470645</v>
      </c>
      <c r="F1395"/>
      <c r="G1395" s="17" t="s">
        <v>3</v>
      </c>
      <c r="H1395" s="132">
        <v>46086</v>
      </c>
      <c r="I1395" s="127" t="s">
        <v>4643</v>
      </c>
      <c r="J1395"/>
      <c r="K1395"/>
      <c r="L1395"/>
    </row>
    <row r="1396" spans="1:12">
      <c r="A1396" s="95" t="s">
        <v>1005</v>
      </c>
      <c r="B1396" t="s">
        <v>4585</v>
      </c>
      <c r="C1396" s="87" t="s">
        <v>1093</v>
      </c>
      <c r="D1396" s="88"/>
      <c r="E1396" s="89">
        <v>69727942</v>
      </c>
      <c r="F1396"/>
      <c r="G1396" s="17" t="s">
        <v>3</v>
      </c>
      <c r="H1396" s="132">
        <v>46086</v>
      </c>
      <c r="I1396" s="127" t="s">
        <v>4644</v>
      </c>
      <c r="J1396"/>
      <c r="K1396"/>
      <c r="L1396"/>
    </row>
    <row r="1397" spans="1:12">
      <c r="A1397" s="95" t="s">
        <v>1005</v>
      </c>
      <c r="B1397" t="s">
        <v>4585</v>
      </c>
      <c r="C1397" s="87" t="s">
        <v>1094</v>
      </c>
      <c r="D1397" s="88"/>
      <c r="E1397" s="89">
        <v>66187994</v>
      </c>
      <c r="F1397"/>
      <c r="G1397" s="17" t="s">
        <v>6</v>
      </c>
      <c r="H1397" s="132">
        <v>46086</v>
      </c>
      <c r="I1397" s="127" t="s">
        <v>4644</v>
      </c>
      <c r="J1397"/>
      <c r="K1397"/>
      <c r="L1397"/>
    </row>
    <row r="1398" spans="1:12">
      <c r="A1398" s="95" t="s">
        <v>1005</v>
      </c>
      <c r="B1398" t="s">
        <v>4585</v>
      </c>
      <c r="C1398" s="87" t="s">
        <v>1095</v>
      </c>
      <c r="D1398" s="88"/>
      <c r="E1398" s="89">
        <v>65112571</v>
      </c>
      <c r="F1398"/>
      <c r="G1398" s="17" t="s">
        <v>2</v>
      </c>
      <c r="H1398" s="132">
        <v>46086</v>
      </c>
      <c r="I1398" s="127" t="s">
        <v>4645</v>
      </c>
      <c r="J1398"/>
      <c r="K1398"/>
      <c r="L1398"/>
    </row>
    <row r="1399" spans="1:12">
      <c r="A1399" s="95" t="s">
        <v>1005</v>
      </c>
      <c r="B1399" t="s">
        <v>4585</v>
      </c>
      <c r="C1399" s="87" t="s">
        <v>1096</v>
      </c>
      <c r="D1399" s="88"/>
      <c r="E1399" s="89">
        <v>64202030</v>
      </c>
      <c r="F1399"/>
      <c r="G1399" s="17" t="s">
        <v>9</v>
      </c>
      <c r="H1399" s="132">
        <v>46087</v>
      </c>
      <c r="I1399" s="127" t="s">
        <v>4646</v>
      </c>
      <c r="J1399"/>
      <c r="K1399"/>
      <c r="L1399"/>
    </row>
    <row r="1400" spans="1:12">
      <c r="A1400" s="95" t="s">
        <v>1005</v>
      </c>
      <c r="B1400" t="s">
        <v>4585</v>
      </c>
      <c r="C1400" s="87" t="s">
        <v>1097</v>
      </c>
      <c r="D1400" s="88"/>
      <c r="E1400" s="89">
        <v>65994792</v>
      </c>
      <c r="F1400"/>
      <c r="G1400" s="17" t="s">
        <v>6</v>
      </c>
      <c r="H1400" s="132">
        <v>46087</v>
      </c>
      <c r="I1400" s="127" t="s">
        <v>4647</v>
      </c>
      <c r="J1400"/>
      <c r="K1400"/>
      <c r="L1400"/>
    </row>
    <row r="1401" spans="1:12">
      <c r="A1401" s="95" t="s">
        <v>1005</v>
      </c>
      <c r="B1401" t="s">
        <v>4585</v>
      </c>
      <c r="C1401" s="87" t="s">
        <v>1098</v>
      </c>
      <c r="D1401" s="88"/>
      <c r="E1401" s="89">
        <v>67130928</v>
      </c>
      <c r="F1401"/>
      <c r="G1401" s="17" t="s">
        <v>6</v>
      </c>
      <c r="H1401" s="132">
        <v>46087</v>
      </c>
      <c r="I1401" s="127" t="s">
        <v>3767</v>
      </c>
      <c r="J1401"/>
      <c r="K1401"/>
      <c r="L1401"/>
    </row>
    <row r="1402" spans="1:12">
      <c r="A1402" s="95" t="s">
        <v>1005</v>
      </c>
      <c r="B1402" t="s">
        <v>4585</v>
      </c>
      <c r="C1402" s="87" t="s">
        <v>1099</v>
      </c>
      <c r="D1402" s="88"/>
      <c r="E1402" s="89">
        <v>66079016</v>
      </c>
      <c r="F1402"/>
      <c r="G1402" s="17" t="s">
        <v>1</v>
      </c>
      <c r="H1402" s="132">
        <v>46087</v>
      </c>
      <c r="I1402" s="127" t="s">
        <v>4615</v>
      </c>
      <c r="J1402"/>
      <c r="K1402"/>
      <c r="L1402"/>
    </row>
    <row r="1403" spans="1:12">
      <c r="A1403" s="95" t="s">
        <v>1005</v>
      </c>
      <c r="B1403" t="s">
        <v>4585</v>
      </c>
      <c r="C1403" s="87" t="s">
        <v>1100</v>
      </c>
      <c r="D1403" s="88"/>
      <c r="E1403" s="89">
        <v>62077001</v>
      </c>
      <c r="F1403"/>
      <c r="G1403" s="17" t="s">
        <v>6</v>
      </c>
      <c r="H1403" s="132">
        <v>46087</v>
      </c>
      <c r="I1403" s="127" t="s">
        <v>4615</v>
      </c>
      <c r="J1403"/>
      <c r="K1403"/>
      <c r="L1403"/>
    </row>
    <row r="1404" spans="1:12">
      <c r="A1404" s="95" t="s">
        <v>1005</v>
      </c>
      <c r="B1404" t="s">
        <v>4585</v>
      </c>
      <c r="C1404" s="87" t="s">
        <v>1101</v>
      </c>
      <c r="D1404" s="88"/>
      <c r="E1404" s="89">
        <v>65714228</v>
      </c>
      <c r="F1404"/>
      <c r="G1404" s="17" t="s">
        <v>6</v>
      </c>
      <c r="H1404" s="132">
        <v>46087</v>
      </c>
      <c r="I1404" s="127" t="s">
        <v>4616</v>
      </c>
      <c r="J1404"/>
      <c r="K1404"/>
      <c r="L1404"/>
    </row>
    <row r="1405" spans="1:12">
      <c r="A1405" s="95" t="s">
        <v>1005</v>
      </c>
      <c r="B1405" t="s">
        <v>4585</v>
      </c>
      <c r="C1405" s="87" t="s">
        <v>1102</v>
      </c>
      <c r="D1405" s="88"/>
      <c r="E1405" s="89">
        <v>65678648</v>
      </c>
      <c r="F1405"/>
      <c r="G1405" s="17" t="s">
        <v>1</v>
      </c>
      <c r="H1405" s="132">
        <v>46087</v>
      </c>
      <c r="I1405" s="127" t="s">
        <v>4605</v>
      </c>
      <c r="J1405"/>
      <c r="K1405"/>
      <c r="L1405"/>
    </row>
    <row r="1406" spans="1:12">
      <c r="A1406" s="95" t="s">
        <v>1005</v>
      </c>
      <c r="B1406" t="s">
        <v>4585</v>
      </c>
      <c r="C1406" s="87" t="s">
        <v>1103</v>
      </c>
      <c r="D1406" s="88"/>
      <c r="E1406" s="89">
        <v>7202080</v>
      </c>
      <c r="F1406"/>
      <c r="G1406" s="17" t="s">
        <v>8</v>
      </c>
      <c r="H1406" s="132">
        <v>46087</v>
      </c>
      <c r="I1406" s="127" t="s">
        <v>3814</v>
      </c>
      <c r="J1406"/>
      <c r="K1406"/>
      <c r="L1406"/>
    </row>
    <row r="1407" spans="1:12">
      <c r="A1407" s="95" t="s">
        <v>1005</v>
      </c>
      <c r="B1407" t="s">
        <v>4585</v>
      </c>
      <c r="C1407" s="87" t="s">
        <v>1104</v>
      </c>
      <c r="D1407" s="88"/>
      <c r="E1407" s="89">
        <v>7703070</v>
      </c>
      <c r="F1407"/>
      <c r="G1407" s="17" t="s">
        <v>9</v>
      </c>
      <c r="H1407" s="132">
        <v>46087</v>
      </c>
      <c r="J1407"/>
      <c r="K1407"/>
      <c r="L1407"/>
    </row>
    <row r="1408" spans="1:12">
      <c r="A1408" s="95" t="s">
        <v>1005</v>
      </c>
      <c r="B1408" t="s">
        <v>4585</v>
      </c>
      <c r="C1408" s="87" t="s">
        <v>1105</v>
      </c>
      <c r="D1408" s="88"/>
      <c r="E1408" s="89"/>
      <c r="F1408"/>
      <c r="G1408" s="17" t="s">
        <v>3</v>
      </c>
      <c r="H1408" s="132">
        <v>46087</v>
      </c>
      <c r="J1408"/>
      <c r="K1408"/>
      <c r="L1408"/>
    </row>
    <row r="1409" spans="1:12">
      <c r="A1409" s="95" t="s">
        <v>1005</v>
      </c>
      <c r="B1409" t="s">
        <v>4585</v>
      </c>
      <c r="C1409" s="87" t="s">
        <v>1106</v>
      </c>
      <c r="D1409" s="88"/>
      <c r="E1409" s="89">
        <v>61612100</v>
      </c>
      <c r="F1409"/>
      <c r="G1409" s="17" t="s">
        <v>8</v>
      </c>
      <c r="H1409" s="132">
        <v>46087</v>
      </c>
      <c r="J1409"/>
      <c r="K1409"/>
      <c r="L1409"/>
    </row>
    <row r="1410" spans="1:12">
      <c r="A1410" s="95" t="s">
        <v>1005</v>
      </c>
      <c r="B1410" t="s">
        <v>4585</v>
      </c>
      <c r="C1410" s="87" t="s">
        <v>1107</v>
      </c>
      <c r="D1410" s="88"/>
      <c r="E1410" s="89">
        <v>7756634</v>
      </c>
      <c r="F1410"/>
      <c r="G1410" s="17" t="s">
        <v>3</v>
      </c>
      <c r="H1410" s="132">
        <v>46087</v>
      </c>
      <c r="J1410"/>
      <c r="K1410"/>
      <c r="L1410"/>
    </row>
    <row r="1411" spans="1:12">
      <c r="A1411" s="95" t="s">
        <v>1005</v>
      </c>
      <c r="B1411" t="s">
        <v>4585</v>
      </c>
      <c r="C1411" s="87" t="s">
        <v>1108</v>
      </c>
      <c r="D1411" s="88"/>
      <c r="E1411" s="89">
        <v>7756570</v>
      </c>
      <c r="F1411"/>
      <c r="G1411" s="17" t="s">
        <v>1</v>
      </c>
      <c r="H1411" s="132">
        <v>46087</v>
      </c>
      <c r="J1411"/>
      <c r="K1411"/>
      <c r="L1411"/>
    </row>
    <row r="1412" spans="1:12">
      <c r="A1412" s="95" t="s">
        <v>1005</v>
      </c>
      <c r="B1412" t="s">
        <v>4585</v>
      </c>
      <c r="C1412" s="87" t="s">
        <v>1109</v>
      </c>
      <c r="D1412" s="88"/>
      <c r="E1412" s="89">
        <v>7778037</v>
      </c>
      <c r="F1412"/>
      <c r="G1412" s="17" t="s">
        <v>3</v>
      </c>
      <c r="H1412" s="132">
        <v>46087</v>
      </c>
      <c r="J1412"/>
      <c r="K1412"/>
      <c r="L1412"/>
    </row>
    <row r="1413" spans="1:12">
      <c r="A1413" s="95" t="s">
        <v>1005</v>
      </c>
      <c r="B1413" t="s">
        <v>4585</v>
      </c>
      <c r="C1413" s="87" t="s">
        <v>1110</v>
      </c>
      <c r="D1413" s="88"/>
      <c r="E1413" s="89">
        <v>66753943</v>
      </c>
      <c r="F1413"/>
      <c r="G1413" s="17" t="s">
        <v>8</v>
      </c>
      <c r="H1413" s="132">
        <v>46087</v>
      </c>
      <c r="I1413" s="127" t="s">
        <v>4648</v>
      </c>
      <c r="J1413"/>
      <c r="K1413"/>
      <c r="L1413"/>
    </row>
    <row r="1414" spans="1:12">
      <c r="A1414" s="95" t="s">
        <v>1005</v>
      </c>
      <c r="B1414" t="s">
        <v>4649</v>
      </c>
      <c r="C1414" s="87" t="s">
        <v>1141</v>
      </c>
      <c r="D1414" s="88"/>
      <c r="E1414" s="89">
        <v>68504239</v>
      </c>
      <c r="F1414"/>
      <c r="G1414" s="17" t="s">
        <v>1</v>
      </c>
      <c r="H1414" s="132"/>
      <c r="J1414"/>
      <c r="K1414"/>
      <c r="L1414"/>
    </row>
    <row r="1415" spans="1:12">
      <c r="A1415" s="95" t="s">
        <v>1005</v>
      </c>
      <c r="B1415" t="s">
        <v>4649</v>
      </c>
      <c r="C1415" s="87" t="s">
        <v>1142</v>
      </c>
      <c r="D1415" s="88"/>
      <c r="E1415" s="89">
        <v>69734085</v>
      </c>
      <c r="F1415"/>
      <c r="G1415" s="17" t="s">
        <v>1</v>
      </c>
      <c r="H1415" s="132"/>
      <c r="J1415"/>
      <c r="K1415"/>
      <c r="L1415"/>
    </row>
    <row r="1416" spans="1:12">
      <c r="A1416" s="95" t="s">
        <v>1005</v>
      </c>
      <c r="B1416" t="s">
        <v>4649</v>
      </c>
      <c r="C1416" s="87" t="s">
        <v>1143</v>
      </c>
      <c r="D1416" s="88"/>
      <c r="E1416" s="89">
        <v>66369868</v>
      </c>
      <c r="F1416"/>
      <c r="G1416" s="17" t="s">
        <v>1</v>
      </c>
      <c r="H1416" s="132"/>
      <c r="J1416"/>
      <c r="K1416"/>
      <c r="L1416"/>
    </row>
    <row r="1417" spans="1:12">
      <c r="A1417" s="95" t="s">
        <v>1005</v>
      </c>
      <c r="B1417" t="s">
        <v>4649</v>
      </c>
      <c r="C1417" s="87" t="s">
        <v>1144</v>
      </c>
      <c r="D1417" s="88"/>
      <c r="E1417" s="89">
        <v>68531968</v>
      </c>
      <c r="F1417"/>
      <c r="G1417" s="17" t="s">
        <v>1</v>
      </c>
      <c r="H1417" s="132"/>
      <c r="J1417"/>
      <c r="K1417"/>
      <c r="L1417"/>
    </row>
    <row r="1418" spans="1:12">
      <c r="A1418" s="95" t="s">
        <v>1005</v>
      </c>
      <c r="B1418" t="s">
        <v>4649</v>
      </c>
      <c r="C1418" s="87" t="s">
        <v>1145</v>
      </c>
      <c r="D1418" s="88"/>
      <c r="E1418" s="89">
        <v>64079147</v>
      </c>
      <c r="F1418"/>
      <c r="G1418" s="17" t="s">
        <v>1</v>
      </c>
      <c r="H1418" s="132"/>
      <c r="J1418"/>
      <c r="K1418"/>
      <c r="L1418"/>
    </row>
    <row r="1419" spans="1:12">
      <c r="A1419" s="95" t="s">
        <v>1005</v>
      </c>
      <c r="B1419" t="s">
        <v>4649</v>
      </c>
      <c r="C1419" s="87" t="s">
        <v>1146</v>
      </c>
      <c r="D1419" s="88"/>
      <c r="E1419" s="89">
        <v>64671223</v>
      </c>
      <c r="F1419"/>
      <c r="G1419" s="17" t="s">
        <v>9</v>
      </c>
      <c r="H1419" s="132"/>
      <c r="J1419"/>
      <c r="K1419"/>
      <c r="L1419"/>
    </row>
    <row r="1420" spans="1:12">
      <c r="A1420" s="95" t="s">
        <v>1005</v>
      </c>
      <c r="B1420" t="s">
        <v>4649</v>
      </c>
      <c r="C1420" s="87" t="s">
        <v>1147</v>
      </c>
      <c r="D1420" s="88"/>
      <c r="E1420" s="89">
        <v>66775423</v>
      </c>
      <c r="F1420"/>
      <c r="G1420" s="17" t="s">
        <v>1</v>
      </c>
      <c r="H1420" s="132"/>
      <c r="J1420"/>
      <c r="K1420"/>
      <c r="L1420"/>
    </row>
    <row r="1421" spans="1:12">
      <c r="A1421" s="95" t="s">
        <v>1005</v>
      </c>
      <c r="B1421" t="s">
        <v>4649</v>
      </c>
      <c r="C1421" s="87" t="s">
        <v>1148</v>
      </c>
      <c r="D1421" s="88"/>
      <c r="E1421" s="89">
        <v>60871930</v>
      </c>
      <c r="F1421"/>
      <c r="G1421" s="17" t="s">
        <v>8</v>
      </c>
      <c r="H1421" s="132"/>
      <c r="J1421"/>
      <c r="K1421"/>
      <c r="L1421"/>
    </row>
    <row r="1422" spans="1:12">
      <c r="A1422" s="95" t="s">
        <v>1005</v>
      </c>
      <c r="B1422" t="s">
        <v>4649</v>
      </c>
      <c r="C1422" s="87" t="s">
        <v>1149</v>
      </c>
      <c r="D1422" s="88"/>
      <c r="E1422" s="89">
        <v>7751646</v>
      </c>
      <c r="F1422"/>
      <c r="G1422" s="17" t="s">
        <v>6</v>
      </c>
      <c r="H1422" s="132"/>
      <c r="J1422"/>
      <c r="K1422"/>
      <c r="L1422"/>
    </row>
    <row r="1423" spans="1:12">
      <c r="A1423" s="95" t="s">
        <v>1005</v>
      </c>
      <c r="B1423" t="s">
        <v>4649</v>
      </c>
      <c r="C1423" s="87" t="s">
        <v>1150</v>
      </c>
      <c r="D1423" s="88"/>
      <c r="E1423" s="89">
        <v>60428135</v>
      </c>
      <c r="F1423"/>
      <c r="G1423" s="17" t="s">
        <v>2</v>
      </c>
      <c r="H1423" s="132"/>
      <c r="J1423"/>
      <c r="K1423"/>
      <c r="L1423"/>
    </row>
    <row r="1424" spans="1:12">
      <c r="A1424" s="116" t="s">
        <v>1005</v>
      </c>
      <c r="B1424" s="117" t="s">
        <v>4649</v>
      </c>
      <c r="C1424" s="118" t="s">
        <v>1151</v>
      </c>
      <c r="D1424" s="119"/>
      <c r="E1424" s="120">
        <v>65743058</v>
      </c>
      <c r="F1424" s="117"/>
      <c r="G1424" s="107" t="s">
        <v>2</v>
      </c>
      <c r="H1424" s="133"/>
      <c r="I1424" s="128"/>
      <c r="J1424" s="117"/>
      <c r="K1424" s="117"/>
      <c r="L1424"/>
    </row>
    <row r="1425" spans="1:12">
      <c r="A1425" s="116" t="s">
        <v>1005</v>
      </c>
      <c r="B1425" s="117" t="s">
        <v>4649</v>
      </c>
      <c r="C1425" s="118" t="s">
        <v>1152</v>
      </c>
      <c r="D1425" s="119"/>
      <c r="E1425" s="120">
        <v>69439294</v>
      </c>
      <c r="F1425" s="117"/>
      <c r="G1425" s="107" t="s">
        <v>3</v>
      </c>
      <c r="H1425" s="133"/>
      <c r="I1425" s="128"/>
      <c r="J1425" s="117"/>
      <c r="K1425" s="117"/>
      <c r="L1425"/>
    </row>
    <row r="1426" spans="1:12">
      <c r="A1426" s="116" t="s">
        <v>1005</v>
      </c>
      <c r="B1426" s="117" t="s">
        <v>4649</v>
      </c>
      <c r="C1426" s="118" t="s">
        <v>1153</v>
      </c>
      <c r="D1426" s="119"/>
      <c r="E1426" s="120">
        <v>66853718</v>
      </c>
      <c r="F1426" s="117"/>
      <c r="G1426" s="107" t="s">
        <v>3</v>
      </c>
      <c r="H1426" s="133"/>
      <c r="I1426" s="128"/>
      <c r="J1426" s="117"/>
      <c r="K1426" s="117"/>
      <c r="L1426"/>
    </row>
    <row r="1427" spans="1:12">
      <c r="A1427" s="116" t="s">
        <v>1005</v>
      </c>
      <c r="B1427" s="117" t="s">
        <v>4649</v>
      </c>
      <c r="C1427" s="118" t="s">
        <v>1154</v>
      </c>
      <c r="D1427" s="119"/>
      <c r="E1427" s="120">
        <v>64458685</v>
      </c>
      <c r="F1427" s="117"/>
      <c r="G1427" s="107" t="s">
        <v>2</v>
      </c>
      <c r="H1427" s="133"/>
      <c r="I1427" s="128"/>
      <c r="J1427" s="117"/>
      <c r="K1427" s="117"/>
      <c r="L1427"/>
    </row>
    <row r="1428" spans="1:12">
      <c r="A1428" s="116" t="s">
        <v>1005</v>
      </c>
      <c r="B1428" s="117" t="s">
        <v>4649</v>
      </c>
      <c r="C1428" s="118" t="s">
        <v>1155</v>
      </c>
      <c r="D1428" s="119"/>
      <c r="E1428" s="120">
        <v>68107229</v>
      </c>
      <c r="F1428" s="117"/>
      <c r="G1428" s="107" t="s">
        <v>6</v>
      </c>
      <c r="H1428" s="133"/>
      <c r="I1428" s="128"/>
      <c r="J1428" s="117"/>
      <c r="K1428" s="117"/>
      <c r="L1428"/>
    </row>
    <row r="1429" spans="1:12">
      <c r="A1429" s="116" t="s">
        <v>1005</v>
      </c>
      <c r="B1429" s="117" t="s">
        <v>4649</v>
      </c>
      <c r="C1429" s="118" t="s">
        <v>1156</v>
      </c>
      <c r="D1429" s="119"/>
      <c r="E1429" s="120">
        <v>7743730</v>
      </c>
      <c r="F1429" s="117"/>
      <c r="G1429" s="107" t="s">
        <v>2</v>
      </c>
      <c r="H1429" s="133"/>
      <c r="I1429" s="128"/>
      <c r="J1429" s="117"/>
      <c r="K1429" s="117"/>
      <c r="L1429"/>
    </row>
    <row r="1430" spans="1:12">
      <c r="A1430" s="116" t="s">
        <v>1005</v>
      </c>
      <c r="B1430" s="117" t="s">
        <v>4649</v>
      </c>
      <c r="C1430" s="118" t="s">
        <v>1157</v>
      </c>
      <c r="D1430" s="119"/>
      <c r="E1430" s="120">
        <v>64522592</v>
      </c>
      <c r="F1430" s="117"/>
      <c r="G1430" s="107" t="s">
        <v>1</v>
      </c>
      <c r="H1430" s="133"/>
      <c r="I1430" s="128"/>
      <c r="J1430" s="117"/>
      <c r="K1430" s="117"/>
      <c r="L1430"/>
    </row>
    <row r="1431" spans="1:12">
      <c r="A1431" s="116" t="s">
        <v>1005</v>
      </c>
      <c r="B1431" s="117" t="s">
        <v>4649</v>
      </c>
      <c r="C1431" s="118" t="s">
        <v>1158</v>
      </c>
      <c r="D1431" s="119"/>
      <c r="E1431" s="120">
        <v>7767450</v>
      </c>
      <c r="F1431" s="117"/>
      <c r="G1431" s="107" t="s">
        <v>2</v>
      </c>
      <c r="H1431" s="133"/>
      <c r="I1431" s="128"/>
      <c r="J1431" s="117"/>
      <c r="K1431" s="117"/>
      <c r="L1431"/>
    </row>
    <row r="1432" spans="1:12">
      <c r="A1432" s="116" t="s">
        <v>1005</v>
      </c>
      <c r="B1432" s="117" t="s">
        <v>4649</v>
      </c>
      <c r="C1432" s="118" t="s">
        <v>1160</v>
      </c>
      <c r="D1432" s="119"/>
      <c r="E1432" s="120">
        <v>61842378</v>
      </c>
      <c r="F1432" s="117"/>
      <c r="G1432" s="107" t="s">
        <v>6</v>
      </c>
      <c r="H1432" s="133"/>
      <c r="I1432" s="128"/>
      <c r="J1432" s="117"/>
      <c r="K1432" s="117"/>
      <c r="L1432"/>
    </row>
    <row r="1433" spans="1:12">
      <c r="A1433" s="116" t="s">
        <v>1005</v>
      </c>
      <c r="B1433" s="117" t="s">
        <v>4649</v>
      </c>
      <c r="C1433" s="118" t="s">
        <v>1162</v>
      </c>
      <c r="D1433" s="119"/>
      <c r="E1433" s="120">
        <v>65031849</v>
      </c>
      <c r="F1433" s="117"/>
      <c r="G1433" s="107" t="s">
        <v>1</v>
      </c>
      <c r="H1433" s="133"/>
      <c r="I1433" s="128"/>
      <c r="J1433" s="117"/>
      <c r="K1433" s="117"/>
      <c r="L1433"/>
    </row>
    <row r="1434" spans="1:12">
      <c r="A1434" s="116" t="s">
        <v>1005</v>
      </c>
      <c r="B1434" s="117" t="s">
        <v>4649</v>
      </c>
      <c r="C1434" s="118" t="s">
        <v>1163</v>
      </c>
      <c r="D1434" s="119"/>
      <c r="E1434" s="120">
        <v>64227635</v>
      </c>
      <c r="F1434" s="117"/>
      <c r="G1434" s="107" t="s">
        <v>9</v>
      </c>
      <c r="H1434" s="133"/>
      <c r="I1434" s="128"/>
      <c r="J1434" s="117"/>
      <c r="K1434" s="117"/>
      <c r="L1434"/>
    </row>
    <row r="1435" spans="1:12">
      <c r="A1435" s="116" t="s">
        <v>1005</v>
      </c>
      <c r="B1435" s="117" t="s">
        <v>4649</v>
      </c>
      <c r="C1435" s="118" t="s">
        <v>1164</v>
      </c>
      <c r="D1435" s="119"/>
      <c r="E1435" s="120">
        <v>62031382</v>
      </c>
      <c r="F1435" s="117"/>
      <c r="G1435" s="107" t="s">
        <v>9</v>
      </c>
      <c r="H1435" s="133"/>
      <c r="I1435" s="128"/>
      <c r="J1435" s="117"/>
      <c r="K1435" s="117"/>
      <c r="L1435"/>
    </row>
    <row r="1436" spans="1:12">
      <c r="A1436" s="116" t="s">
        <v>1005</v>
      </c>
      <c r="B1436" s="117" t="s">
        <v>4649</v>
      </c>
      <c r="C1436" s="118" t="s">
        <v>1165</v>
      </c>
      <c r="D1436" s="119"/>
      <c r="E1436" s="120">
        <v>7270324</v>
      </c>
      <c r="F1436" s="117"/>
      <c r="G1436" s="107" t="s">
        <v>9</v>
      </c>
      <c r="H1436" s="133"/>
      <c r="I1436" s="128"/>
      <c r="J1436" s="117"/>
      <c r="K1436" s="117"/>
      <c r="L1436"/>
    </row>
    <row r="1437" spans="1:12">
      <c r="A1437" s="116" t="s">
        <v>1005</v>
      </c>
      <c r="B1437" s="117" t="s">
        <v>4649</v>
      </c>
      <c r="C1437" s="118" t="s">
        <v>4650</v>
      </c>
      <c r="D1437" s="119"/>
      <c r="E1437" s="120">
        <v>66242201</v>
      </c>
      <c r="F1437" s="117"/>
      <c r="G1437" s="107" t="s">
        <v>1</v>
      </c>
      <c r="H1437" s="133"/>
      <c r="I1437" s="128"/>
      <c r="J1437" s="117"/>
      <c r="K1437" s="117"/>
      <c r="L1437"/>
    </row>
    <row r="1438" spans="1:12">
      <c r="A1438" s="116" t="s">
        <v>1005</v>
      </c>
      <c r="B1438" s="117" t="s">
        <v>4649</v>
      </c>
      <c r="C1438" s="118" t="s">
        <v>1167</v>
      </c>
      <c r="D1438" s="119"/>
      <c r="E1438" s="120">
        <v>64155521</v>
      </c>
      <c r="F1438" s="117"/>
      <c r="G1438" s="107" t="s">
        <v>6</v>
      </c>
      <c r="H1438" s="133"/>
      <c r="I1438" s="128"/>
      <c r="J1438" s="117"/>
      <c r="K1438" s="117"/>
      <c r="L1438"/>
    </row>
    <row r="1439" spans="1:12">
      <c r="A1439" s="116" t="s">
        <v>1005</v>
      </c>
      <c r="B1439" s="117" t="s">
        <v>4649</v>
      </c>
      <c r="C1439" s="118" t="s">
        <v>1168</v>
      </c>
      <c r="D1439" s="119"/>
      <c r="E1439" s="120">
        <v>64647095</v>
      </c>
      <c r="F1439" s="117"/>
      <c r="G1439" s="107" t="s">
        <v>3</v>
      </c>
      <c r="H1439" s="133"/>
      <c r="I1439" s="128"/>
      <c r="J1439" s="117"/>
      <c r="K1439" s="117"/>
      <c r="L1439"/>
    </row>
    <row r="1440" spans="1:12">
      <c r="A1440" s="116" t="s">
        <v>1005</v>
      </c>
      <c r="B1440" s="117" t="s">
        <v>4649</v>
      </c>
      <c r="C1440" s="118" t="s">
        <v>1169</v>
      </c>
      <c r="D1440" s="119"/>
      <c r="E1440" s="120">
        <v>63770073</v>
      </c>
      <c r="F1440" s="117"/>
      <c r="G1440" s="107" t="s">
        <v>6</v>
      </c>
      <c r="H1440" s="133"/>
      <c r="I1440" s="128"/>
      <c r="J1440" s="117"/>
      <c r="K1440" s="117"/>
      <c r="L1440"/>
    </row>
    <row r="1441" spans="1:12">
      <c r="A1441" s="116" t="s">
        <v>1005</v>
      </c>
      <c r="B1441" s="117" t="s">
        <v>4649</v>
      </c>
      <c r="C1441" s="118" t="s">
        <v>1170</v>
      </c>
      <c r="D1441" s="119"/>
      <c r="E1441" s="120">
        <v>65926475</v>
      </c>
      <c r="F1441" s="117"/>
      <c r="G1441" s="107" t="s">
        <v>3</v>
      </c>
      <c r="H1441" s="133"/>
      <c r="I1441" s="128"/>
      <c r="J1441" s="117"/>
      <c r="K1441" s="117"/>
      <c r="L1441"/>
    </row>
    <row r="1442" spans="1:12">
      <c r="A1442" s="116" t="s">
        <v>1005</v>
      </c>
      <c r="B1442" s="117" t="s">
        <v>4649</v>
      </c>
      <c r="C1442" s="118" t="s">
        <v>1171</v>
      </c>
      <c r="D1442" s="119"/>
      <c r="E1442" s="120">
        <v>7773186</v>
      </c>
      <c r="F1442" s="117"/>
      <c r="G1442" s="107" t="s">
        <v>6</v>
      </c>
      <c r="H1442" s="133"/>
      <c r="I1442" s="128"/>
      <c r="J1442" s="117"/>
      <c r="K1442" s="117"/>
      <c r="L1442"/>
    </row>
    <row r="1443" spans="1:12">
      <c r="A1443" s="116" t="s">
        <v>1005</v>
      </c>
      <c r="B1443" s="117" t="s">
        <v>4649</v>
      </c>
      <c r="C1443" s="118" t="s">
        <v>1172</v>
      </c>
      <c r="D1443" s="119"/>
      <c r="E1443" s="120">
        <v>68209092</v>
      </c>
      <c r="F1443" s="117"/>
      <c r="G1443" s="107" t="s">
        <v>9</v>
      </c>
      <c r="H1443" s="133"/>
      <c r="I1443" s="128"/>
      <c r="J1443" s="117"/>
      <c r="K1443" s="117"/>
      <c r="L1443"/>
    </row>
    <row r="1444" spans="1:12">
      <c r="A1444" s="116" t="s">
        <v>1005</v>
      </c>
      <c r="B1444" s="117" t="s">
        <v>4649</v>
      </c>
      <c r="C1444" s="118" t="s">
        <v>1173</v>
      </c>
      <c r="D1444" s="119"/>
      <c r="E1444" s="120">
        <v>62129230</v>
      </c>
      <c r="F1444" s="117"/>
      <c r="G1444" s="107" t="s">
        <v>6</v>
      </c>
      <c r="H1444" s="133"/>
      <c r="I1444" s="128"/>
      <c r="J1444" s="117"/>
      <c r="K1444" s="117"/>
      <c r="L1444"/>
    </row>
    <row r="1445" spans="1:12">
      <c r="A1445" s="116" t="s">
        <v>1005</v>
      </c>
      <c r="B1445" s="117" t="s">
        <v>4649</v>
      </c>
      <c r="C1445" s="118" t="s">
        <v>1174</v>
      </c>
      <c r="D1445" s="119"/>
      <c r="E1445" s="120">
        <v>7745521</v>
      </c>
      <c r="F1445" s="117"/>
      <c r="G1445" s="107" t="s">
        <v>9</v>
      </c>
      <c r="H1445" s="133"/>
      <c r="I1445" s="128"/>
      <c r="J1445" s="117"/>
      <c r="K1445" s="117"/>
      <c r="L1445"/>
    </row>
    <row r="1446" spans="1:12">
      <c r="A1446" s="116" t="s">
        <v>1005</v>
      </c>
      <c r="B1446" s="117" t="s">
        <v>4649</v>
      </c>
      <c r="C1446" s="118" t="s">
        <v>1175</v>
      </c>
      <c r="D1446" s="119"/>
      <c r="E1446" s="120">
        <v>7222078</v>
      </c>
      <c r="F1446" s="117"/>
      <c r="G1446" s="107" t="s">
        <v>9</v>
      </c>
      <c r="H1446" s="133"/>
      <c r="I1446" s="128"/>
      <c r="J1446" s="117"/>
      <c r="K1446" s="117"/>
      <c r="L1446"/>
    </row>
    <row r="1447" spans="1:12">
      <c r="A1447" s="116" t="s">
        <v>1005</v>
      </c>
      <c r="B1447" s="117" t="s">
        <v>4649</v>
      </c>
      <c r="C1447" s="118" t="s">
        <v>1176</v>
      </c>
      <c r="D1447" s="119"/>
      <c r="E1447" s="120">
        <v>65403804</v>
      </c>
      <c r="F1447" s="117"/>
      <c r="G1447" s="107" t="s">
        <v>6</v>
      </c>
      <c r="H1447" s="133"/>
      <c r="I1447" s="128"/>
      <c r="J1447" s="117"/>
      <c r="K1447" s="117"/>
      <c r="L1447"/>
    </row>
    <row r="1448" spans="1:12">
      <c r="A1448" s="116" t="s">
        <v>1005</v>
      </c>
      <c r="B1448" s="117" t="s">
        <v>4649</v>
      </c>
      <c r="C1448" s="118" t="s">
        <v>1177</v>
      </c>
      <c r="D1448" s="119"/>
      <c r="E1448" s="120">
        <v>7758960</v>
      </c>
      <c r="F1448" s="117"/>
      <c r="G1448" s="107" t="s">
        <v>6</v>
      </c>
      <c r="H1448" s="133"/>
      <c r="I1448" s="128"/>
      <c r="J1448" s="117"/>
      <c r="K1448" s="117"/>
      <c r="L1448"/>
    </row>
    <row r="1449" spans="1:12">
      <c r="A1449" s="116" t="s">
        <v>1005</v>
      </c>
      <c r="B1449" s="117" t="s">
        <v>4649</v>
      </c>
      <c r="C1449" s="118" t="s">
        <v>1178</v>
      </c>
      <c r="D1449" s="119"/>
      <c r="E1449" s="120">
        <v>66445541</v>
      </c>
      <c r="F1449" s="117"/>
      <c r="G1449" s="107" t="s">
        <v>9</v>
      </c>
      <c r="H1449" s="133"/>
      <c r="I1449" s="128"/>
      <c r="J1449" s="117"/>
      <c r="K1449" s="117"/>
      <c r="L1449"/>
    </row>
    <row r="1450" spans="1:12">
      <c r="A1450" s="116" t="s">
        <v>1005</v>
      </c>
      <c r="B1450" s="117" t="s">
        <v>4649</v>
      </c>
      <c r="C1450" s="118" t="s">
        <v>1179</v>
      </c>
      <c r="D1450" s="119"/>
      <c r="E1450" s="120">
        <v>66994835</v>
      </c>
      <c r="F1450" s="117"/>
      <c r="G1450" s="107" t="s">
        <v>9</v>
      </c>
      <c r="H1450" s="133"/>
      <c r="I1450" s="128"/>
      <c r="J1450" s="117"/>
      <c r="K1450" s="117"/>
      <c r="L1450"/>
    </row>
    <row r="1451" spans="1:12">
      <c r="A1451" s="116" t="s">
        <v>1005</v>
      </c>
      <c r="B1451" s="117" t="s">
        <v>4649</v>
      </c>
      <c r="C1451" s="118" t="s">
        <v>1180</v>
      </c>
      <c r="D1451" s="119"/>
      <c r="E1451" s="120">
        <v>7307455</v>
      </c>
      <c r="F1451" s="117"/>
      <c r="G1451" s="107" t="s">
        <v>9</v>
      </c>
      <c r="H1451" s="133"/>
      <c r="I1451" s="128"/>
      <c r="J1451" s="117"/>
      <c r="K1451" s="117"/>
      <c r="L1451"/>
    </row>
    <row r="1452" spans="1:12">
      <c r="A1452" s="116" t="s">
        <v>1005</v>
      </c>
      <c r="B1452" s="117" t="s">
        <v>4649</v>
      </c>
      <c r="C1452" s="118" t="s">
        <v>1181</v>
      </c>
      <c r="D1452" s="119"/>
      <c r="E1452" s="120">
        <v>68112973</v>
      </c>
      <c r="F1452" s="117"/>
      <c r="G1452" s="107" t="s">
        <v>6</v>
      </c>
      <c r="H1452" s="133"/>
      <c r="I1452" s="128"/>
      <c r="J1452" s="117"/>
      <c r="K1452" s="117"/>
      <c r="L1452"/>
    </row>
    <row r="1453" spans="1:12">
      <c r="A1453" s="116" t="s">
        <v>1005</v>
      </c>
      <c r="B1453" s="117" t="s">
        <v>4649</v>
      </c>
      <c r="C1453" s="118" t="s">
        <v>1182</v>
      </c>
      <c r="D1453" s="119"/>
      <c r="E1453" s="120">
        <v>62208728</v>
      </c>
      <c r="F1453" s="117"/>
      <c r="G1453" s="107" t="s">
        <v>9</v>
      </c>
      <c r="H1453" s="133"/>
      <c r="I1453" s="128"/>
      <c r="J1453" s="117"/>
      <c r="K1453" s="117"/>
      <c r="L1453"/>
    </row>
    <row r="1454" spans="1:12">
      <c r="A1454" s="116" t="s">
        <v>1005</v>
      </c>
      <c r="B1454" s="117" t="s">
        <v>4649</v>
      </c>
      <c r="C1454" s="118" t="s">
        <v>1183</v>
      </c>
      <c r="D1454" s="119"/>
      <c r="E1454" s="120">
        <v>68049602</v>
      </c>
      <c r="F1454" s="117"/>
      <c r="G1454" s="107" t="s">
        <v>1</v>
      </c>
      <c r="H1454" s="133"/>
      <c r="I1454" s="128"/>
      <c r="J1454" s="117"/>
      <c r="K1454" s="117"/>
      <c r="L1454"/>
    </row>
    <row r="1455" spans="1:12">
      <c r="A1455" s="116" t="s">
        <v>1005</v>
      </c>
      <c r="B1455" s="117" t="s">
        <v>4649</v>
      </c>
      <c r="C1455" s="118" t="s">
        <v>1184</v>
      </c>
      <c r="D1455" s="119"/>
      <c r="E1455" s="120">
        <v>65970220</v>
      </c>
      <c r="F1455" s="117"/>
      <c r="G1455" s="107" t="s">
        <v>1</v>
      </c>
      <c r="H1455" s="133"/>
      <c r="I1455" s="128"/>
      <c r="J1455" s="117"/>
      <c r="K1455" s="117"/>
      <c r="L1455"/>
    </row>
    <row r="1456" spans="1:12">
      <c r="A1456" s="116" t="s">
        <v>1005</v>
      </c>
      <c r="B1456" s="117" t="s">
        <v>4649</v>
      </c>
      <c r="C1456" s="118" t="s">
        <v>1185</v>
      </c>
      <c r="D1456" s="119"/>
      <c r="E1456" s="120">
        <v>68053609</v>
      </c>
      <c r="F1456" s="117"/>
      <c r="G1456" s="107" t="s">
        <v>6</v>
      </c>
      <c r="H1456" s="133"/>
      <c r="I1456" s="128"/>
      <c r="J1456" s="117"/>
      <c r="K1456" s="117"/>
      <c r="L1456"/>
    </row>
    <row r="1457" spans="1:12">
      <c r="A1457" s="121" t="s">
        <v>1005</v>
      </c>
      <c r="B1457" s="117" t="s">
        <v>4649</v>
      </c>
      <c r="C1457" s="122"/>
      <c r="D1457" s="107" t="s">
        <v>4651</v>
      </c>
      <c r="E1457" s="123" t="s">
        <v>4652</v>
      </c>
      <c r="F1457" s="117"/>
      <c r="G1457" s="107" t="s">
        <v>9</v>
      </c>
      <c r="H1457" s="133"/>
      <c r="I1457" s="128"/>
      <c r="J1457" s="117"/>
      <c r="K1457" s="117"/>
      <c r="L1457"/>
    </row>
    <row r="1458" spans="1:12">
      <c r="A1458" s="121" t="s">
        <v>1005</v>
      </c>
      <c r="B1458" s="117" t="s">
        <v>4649</v>
      </c>
      <c r="C1458" s="122"/>
      <c r="D1458" s="107" t="s">
        <v>4653</v>
      </c>
      <c r="E1458" s="123" t="s">
        <v>4654</v>
      </c>
      <c r="F1458" s="117"/>
      <c r="G1458" s="107" t="s">
        <v>9</v>
      </c>
      <c r="H1458" s="133"/>
      <c r="I1458" s="128"/>
      <c r="J1458" s="117"/>
      <c r="K1458" s="117"/>
      <c r="L1458"/>
    </row>
    <row r="1459" spans="1:12">
      <c r="A1459" s="121" t="s">
        <v>1005</v>
      </c>
      <c r="B1459" s="117" t="s">
        <v>4649</v>
      </c>
      <c r="C1459" s="122"/>
      <c r="D1459" s="107" t="s">
        <v>4655</v>
      </c>
      <c r="E1459" s="123" t="s">
        <v>4656</v>
      </c>
      <c r="F1459" s="117"/>
      <c r="G1459" s="107" t="s">
        <v>9</v>
      </c>
      <c r="H1459" s="133"/>
      <c r="I1459" s="128"/>
      <c r="J1459" s="117"/>
      <c r="K1459" s="117"/>
      <c r="L1459"/>
    </row>
    <row r="1460" spans="1:12">
      <c r="A1460" s="121" t="s">
        <v>1005</v>
      </c>
      <c r="B1460" s="117" t="s">
        <v>4649</v>
      </c>
      <c r="C1460" s="122"/>
      <c r="D1460" s="107" t="s">
        <v>4657</v>
      </c>
      <c r="E1460" s="123" t="s">
        <v>4658</v>
      </c>
      <c r="F1460" s="117"/>
      <c r="G1460" s="107" t="s">
        <v>1</v>
      </c>
      <c r="H1460" s="133"/>
      <c r="I1460" s="128"/>
      <c r="J1460" s="117"/>
      <c r="K1460" s="117"/>
      <c r="L1460"/>
    </row>
    <row r="1461" spans="1:12">
      <c r="A1461" s="121" t="s">
        <v>1005</v>
      </c>
      <c r="B1461" s="117" t="s">
        <v>4649</v>
      </c>
      <c r="C1461" s="122"/>
      <c r="D1461" s="107" t="s">
        <v>4659</v>
      </c>
      <c r="E1461" s="123" t="s">
        <v>4660</v>
      </c>
      <c r="F1461" s="117"/>
      <c r="G1461" s="107" t="s">
        <v>3</v>
      </c>
      <c r="H1461" s="133"/>
      <c r="I1461" s="128"/>
      <c r="J1461" s="117"/>
      <c r="K1461" s="117"/>
      <c r="L1461"/>
    </row>
    <row r="1462" spans="1:12">
      <c r="A1462" s="121" t="s">
        <v>1005</v>
      </c>
      <c r="B1462" s="117" t="s">
        <v>4649</v>
      </c>
      <c r="C1462" s="122"/>
      <c r="D1462" s="107" t="s">
        <v>4661</v>
      </c>
      <c r="E1462" s="123" t="s">
        <v>4662</v>
      </c>
      <c r="F1462" s="117"/>
      <c r="G1462" s="107" t="s">
        <v>6</v>
      </c>
      <c r="H1462" s="133"/>
      <c r="I1462" s="128"/>
      <c r="J1462" s="117"/>
      <c r="K1462" s="117"/>
      <c r="L1462"/>
    </row>
    <row r="1463" spans="1:12">
      <c r="A1463" s="121" t="s">
        <v>1005</v>
      </c>
      <c r="B1463" s="117" t="s">
        <v>4649</v>
      </c>
      <c r="C1463" s="122"/>
      <c r="D1463" s="107" t="s">
        <v>4663</v>
      </c>
      <c r="E1463" s="123" t="s">
        <v>4664</v>
      </c>
      <c r="F1463" s="117"/>
      <c r="G1463" s="107" t="s">
        <v>6</v>
      </c>
      <c r="H1463" s="133"/>
      <c r="I1463" s="128"/>
      <c r="J1463" s="117"/>
      <c r="K1463" s="117"/>
      <c r="L1463"/>
    </row>
    <row r="1464" spans="1:12">
      <c r="A1464" s="121" t="s">
        <v>1005</v>
      </c>
      <c r="B1464" s="117" t="s">
        <v>4649</v>
      </c>
      <c r="C1464" s="122"/>
      <c r="D1464" s="107" t="s">
        <v>4665</v>
      </c>
      <c r="E1464" s="123" t="s">
        <v>4666</v>
      </c>
      <c r="F1464" s="117"/>
      <c r="G1464" s="107" t="s">
        <v>9</v>
      </c>
      <c r="H1464" s="133"/>
      <c r="I1464" s="128"/>
      <c r="J1464" s="117"/>
      <c r="K1464" s="117"/>
      <c r="L1464"/>
    </row>
    <row r="1465" spans="1:12">
      <c r="A1465" s="121" t="s">
        <v>1005</v>
      </c>
      <c r="B1465" s="117" t="s">
        <v>4649</v>
      </c>
      <c r="C1465" s="122"/>
      <c r="D1465" s="107" t="s">
        <v>4667</v>
      </c>
      <c r="E1465" s="123" t="s">
        <v>4668</v>
      </c>
      <c r="F1465" s="117"/>
      <c r="G1465" s="107" t="s">
        <v>6</v>
      </c>
      <c r="H1465" s="133"/>
      <c r="I1465" s="128"/>
      <c r="J1465" s="117"/>
      <c r="K1465" s="117"/>
      <c r="L1465"/>
    </row>
    <row r="1466" spans="1:12">
      <c r="A1466" s="121" t="s">
        <v>1005</v>
      </c>
      <c r="B1466" s="117" t="s">
        <v>4649</v>
      </c>
      <c r="C1466" s="122"/>
      <c r="D1466" s="107" t="s">
        <v>4669</v>
      </c>
      <c r="E1466" s="123" t="s">
        <v>4670</v>
      </c>
      <c r="F1466" s="117"/>
      <c r="G1466" s="107" t="s">
        <v>6</v>
      </c>
      <c r="H1466" s="133"/>
      <c r="I1466" s="128"/>
      <c r="J1466" s="117"/>
      <c r="K1466" s="117"/>
      <c r="L1466"/>
    </row>
    <row r="1467" spans="1:12">
      <c r="A1467" s="121" t="s">
        <v>1005</v>
      </c>
      <c r="B1467" s="117" t="s">
        <v>4649</v>
      </c>
      <c r="C1467" s="122"/>
      <c r="D1467" s="107" t="s">
        <v>4671</v>
      </c>
      <c r="E1467" s="123" t="s">
        <v>4672</v>
      </c>
      <c r="F1467" s="117"/>
      <c r="G1467" s="107" t="s">
        <v>3</v>
      </c>
      <c r="H1467" s="133"/>
      <c r="I1467" s="128"/>
      <c r="J1467" s="117"/>
      <c r="K1467" s="117"/>
      <c r="L1467"/>
    </row>
    <row r="1468" spans="1:12">
      <c r="A1468" s="121" t="s">
        <v>1005</v>
      </c>
      <c r="B1468" s="117" t="s">
        <v>4649</v>
      </c>
      <c r="C1468" s="122"/>
      <c r="D1468" s="107" t="s">
        <v>4673</v>
      </c>
      <c r="E1468" s="123" t="s">
        <v>4674</v>
      </c>
      <c r="F1468" s="117"/>
      <c r="G1468" s="107" t="s">
        <v>1</v>
      </c>
      <c r="H1468" s="133"/>
      <c r="I1468" s="128"/>
      <c r="J1468" s="117"/>
      <c r="K1468" s="117"/>
      <c r="L1468"/>
    </row>
    <row r="1469" spans="1:12">
      <c r="A1469" s="121" t="s">
        <v>1005</v>
      </c>
      <c r="B1469" s="117" t="s">
        <v>4649</v>
      </c>
      <c r="C1469" s="122"/>
      <c r="D1469" s="107" t="s">
        <v>4675</v>
      </c>
      <c r="E1469" s="123" t="s">
        <v>4676</v>
      </c>
      <c r="F1469" s="117"/>
      <c r="G1469" s="107" t="s">
        <v>6</v>
      </c>
      <c r="H1469" s="133"/>
      <c r="I1469" s="128"/>
      <c r="J1469" s="117"/>
      <c r="K1469" s="117"/>
      <c r="L1469"/>
    </row>
    <row r="1470" spans="1:12">
      <c r="A1470" s="121" t="s">
        <v>1005</v>
      </c>
      <c r="B1470" s="117" t="s">
        <v>4649</v>
      </c>
      <c r="C1470" s="122"/>
      <c r="D1470" s="107" t="s">
        <v>4677</v>
      </c>
      <c r="E1470" s="123" t="s">
        <v>4678</v>
      </c>
      <c r="F1470" s="117"/>
      <c r="G1470" s="107" t="s">
        <v>2</v>
      </c>
      <c r="H1470" s="133"/>
      <c r="I1470" s="128"/>
      <c r="J1470" s="117"/>
      <c r="K1470" s="117"/>
      <c r="L1470"/>
    </row>
    <row r="1471" spans="1:12">
      <c r="A1471" s="121" t="s">
        <v>1005</v>
      </c>
      <c r="B1471" s="117" t="s">
        <v>4649</v>
      </c>
      <c r="C1471" s="122"/>
      <c r="D1471" s="107" t="s">
        <v>4679</v>
      </c>
      <c r="E1471" s="123" t="s">
        <v>4680</v>
      </c>
      <c r="F1471" s="117"/>
      <c r="G1471" s="107" t="s">
        <v>1</v>
      </c>
      <c r="H1471" s="133"/>
      <c r="I1471" s="128"/>
      <c r="J1471" s="117"/>
      <c r="K1471" s="117"/>
      <c r="L1471"/>
    </row>
    <row r="1472" spans="1:12">
      <c r="A1472" s="121" t="s">
        <v>1005</v>
      </c>
      <c r="B1472" s="117" t="s">
        <v>4649</v>
      </c>
      <c r="C1472" s="122"/>
      <c r="D1472" s="107" t="s">
        <v>4681</v>
      </c>
      <c r="E1472" s="123" t="s">
        <v>4682</v>
      </c>
      <c r="F1472" s="117"/>
      <c r="G1472" s="107" t="s">
        <v>6</v>
      </c>
      <c r="H1472" s="133"/>
      <c r="I1472" s="128"/>
      <c r="J1472" s="117"/>
      <c r="K1472" s="117"/>
      <c r="L1472"/>
    </row>
    <row r="1473" spans="1:12">
      <c r="A1473" s="121" t="s">
        <v>1005</v>
      </c>
      <c r="B1473" s="117" t="s">
        <v>4649</v>
      </c>
      <c r="C1473" s="122"/>
      <c r="D1473" s="107" t="s">
        <v>4683</v>
      </c>
      <c r="E1473" s="123" t="s">
        <v>4684</v>
      </c>
      <c r="F1473" s="117"/>
      <c r="G1473" s="107" t="s">
        <v>2</v>
      </c>
      <c r="H1473" s="133"/>
      <c r="I1473" s="128"/>
      <c r="J1473" s="117"/>
      <c r="K1473" s="117"/>
      <c r="L1473"/>
    </row>
    <row r="1474" spans="1:12">
      <c r="A1474" s="121" t="s">
        <v>1005</v>
      </c>
      <c r="B1474" s="117" t="s">
        <v>4649</v>
      </c>
      <c r="C1474" s="122"/>
      <c r="D1474" s="107" t="s">
        <v>4685</v>
      </c>
      <c r="E1474" s="123" t="s">
        <v>4686</v>
      </c>
      <c r="F1474" s="117"/>
      <c r="G1474" s="107" t="s">
        <v>6</v>
      </c>
      <c r="H1474" s="133"/>
      <c r="I1474" s="128"/>
      <c r="J1474" s="117"/>
      <c r="K1474" s="117"/>
      <c r="L1474"/>
    </row>
    <row r="1475" spans="1:12">
      <c r="A1475" s="121" t="s">
        <v>1005</v>
      </c>
      <c r="B1475" s="117" t="s">
        <v>4649</v>
      </c>
      <c r="C1475" s="122"/>
      <c r="D1475" s="107" t="s">
        <v>4687</v>
      </c>
      <c r="E1475" s="123" t="s">
        <v>4688</v>
      </c>
      <c r="F1475" s="117"/>
      <c r="G1475" s="107" t="s">
        <v>6</v>
      </c>
      <c r="H1475" s="133"/>
      <c r="I1475" s="128"/>
      <c r="J1475" s="117"/>
      <c r="K1475" s="117"/>
      <c r="L1475"/>
    </row>
    <row r="1476" spans="1:12">
      <c r="A1476" s="121" t="s">
        <v>1005</v>
      </c>
      <c r="B1476" s="117" t="s">
        <v>4649</v>
      </c>
      <c r="C1476" s="122"/>
      <c r="D1476" s="107" t="s">
        <v>4689</v>
      </c>
      <c r="E1476" s="123" t="s">
        <v>4690</v>
      </c>
      <c r="F1476" s="117"/>
      <c r="G1476" s="107" t="s">
        <v>1</v>
      </c>
      <c r="H1476" s="133"/>
      <c r="I1476" s="128"/>
      <c r="J1476" s="117"/>
      <c r="K1476" s="117"/>
      <c r="L1476"/>
    </row>
    <row r="1477" spans="1:12">
      <c r="A1477" s="121" t="s">
        <v>1005</v>
      </c>
      <c r="B1477" s="117" t="s">
        <v>4649</v>
      </c>
      <c r="C1477" s="122"/>
      <c r="D1477" s="107" t="s">
        <v>4691</v>
      </c>
      <c r="E1477" s="123" t="s">
        <v>4692</v>
      </c>
      <c r="F1477" s="117"/>
      <c r="G1477" s="107" t="s">
        <v>2</v>
      </c>
      <c r="H1477" s="133"/>
      <c r="I1477" s="128"/>
      <c r="J1477" s="117"/>
      <c r="K1477" s="117"/>
      <c r="L1477"/>
    </row>
    <row r="1478" spans="1:12">
      <c r="A1478" s="121" t="s">
        <v>1005</v>
      </c>
      <c r="B1478" s="117" t="s">
        <v>4649</v>
      </c>
      <c r="C1478" s="122"/>
      <c r="D1478" s="107" t="s">
        <v>4693</v>
      </c>
      <c r="E1478" s="123" t="s">
        <v>4694</v>
      </c>
      <c r="F1478" s="117"/>
      <c r="G1478" s="107" t="s">
        <v>6</v>
      </c>
      <c r="H1478" s="133"/>
      <c r="I1478" s="128"/>
      <c r="J1478" s="117"/>
      <c r="K1478" s="117"/>
      <c r="L1478"/>
    </row>
    <row r="1479" spans="1:12">
      <c r="A1479" s="121" t="s">
        <v>1005</v>
      </c>
      <c r="B1479" s="117" t="s">
        <v>4649</v>
      </c>
      <c r="C1479" s="122"/>
      <c r="D1479" s="107" t="s">
        <v>4695</v>
      </c>
      <c r="E1479" s="123" t="s">
        <v>4696</v>
      </c>
      <c r="F1479" s="117"/>
      <c r="G1479" s="107" t="s">
        <v>1</v>
      </c>
      <c r="H1479" s="133"/>
      <c r="I1479" s="128"/>
      <c r="J1479" s="117"/>
      <c r="K1479" s="117"/>
      <c r="L1479"/>
    </row>
    <row r="1480" spans="1:12">
      <c r="A1480" s="121" t="s">
        <v>1005</v>
      </c>
      <c r="B1480" s="117" t="s">
        <v>4649</v>
      </c>
      <c r="C1480" s="122"/>
      <c r="D1480" s="107" t="s">
        <v>4697</v>
      </c>
      <c r="E1480" s="123" t="s">
        <v>4698</v>
      </c>
      <c r="F1480" s="117"/>
      <c r="G1480" s="107" t="s">
        <v>6</v>
      </c>
      <c r="H1480" s="133"/>
      <c r="I1480" s="128"/>
      <c r="J1480" s="117"/>
      <c r="K1480" s="117"/>
      <c r="L1480"/>
    </row>
    <row r="1481" spans="1:12">
      <c r="A1481" s="121" t="s">
        <v>1005</v>
      </c>
      <c r="B1481" s="117" t="s">
        <v>4649</v>
      </c>
      <c r="C1481" s="122"/>
      <c r="D1481" s="107" t="s">
        <v>4699</v>
      </c>
      <c r="E1481" s="123" t="s">
        <v>4700</v>
      </c>
      <c r="F1481" s="117"/>
      <c r="G1481" s="107" t="s">
        <v>3</v>
      </c>
      <c r="H1481" s="133"/>
      <c r="I1481" s="128"/>
      <c r="J1481" s="117"/>
      <c r="K1481" s="117"/>
      <c r="L1481"/>
    </row>
    <row r="1482" spans="1:12">
      <c r="A1482" s="121" t="s">
        <v>1005</v>
      </c>
      <c r="B1482" s="117" t="s">
        <v>4649</v>
      </c>
      <c r="C1482" s="122"/>
      <c r="D1482" s="107" t="s">
        <v>4701</v>
      </c>
      <c r="E1482" s="123" t="s">
        <v>4702</v>
      </c>
      <c r="F1482" s="117"/>
      <c r="G1482" s="107" t="s">
        <v>6</v>
      </c>
      <c r="H1482" s="133"/>
      <c r="I1482" s="128"/>
      <c r="J1482" s="117"/>
      <c r="K1482" s="117"/>
      <c r="L1482"/>
    </row>
    <row r="1483" spans="1:12">
      <c r="A1483" s="121" t="s">
        <v>1005</v>
      </c>
      <c r="B1483" s="117" t="s">
        <v>4649</v>
      </c>
      <c r="C1483" s="122"/>
      <c r="D1483" s="107" t="s">
        <v>4703</v>
      </c>
      <c r="E1483" s="123" t="s">
        <v>4704</v>
      </c>
      <c r="F1483" s="117"/>
      <c r="G1483" s="107" t="s">
        <v>1</v>
      </c>
      <c r="H1483" s="133"/>
      <c r="I1483" s="128"/>
      <c r="J1483" s="117"/>
      <c r="K1483" s="117"/>
      <c r="L1483"/>
    </row>
    <row r="1484" spans="1:12">
      <c r="A1484" s="121" t="s">
        <v>1005</v>
      </c>
      <c r="B1484" s="117" t="s">
        <v>4649</v>
      </c>
      <c r="C1484" s="122"/>
      <c r="D1484" s="107" t="s">
        <v>4705</v>
      </c>
      <c r="E1484" s="123" t="s">
        <v>4706</v>
      </c>
      <c r="F1484" s="117"/>
      <c r="G1484" s="107" t="s">
        <v>1</v>
      </c>
      <c r="H1484" s="133"/>
      <c r="I1484" s="128"/>
      <c r="J1484" s="117"/>
      <c r="K1484" s="117"/>
      <c r="L1484"/>
    </row>
    <row r="1485" spans="1:12">
      <c r="A1485" s="121" t="s">
        <v>1005</v>
      </c>
      <c r="B1485" s="117" t="s">
        <v>4649</v>
      </c>
      <c r="C1485" s="122"/>
      <c r="D1485" s="107" t="s">
        <v>4707</v>
      </c>
      <c r="E1485" s="123" t="s">
        <v>4708</v>
      </c>
      <c r="F1485" s="117"/>
      <c r="G1485" s="107" t="s">
        <v>6</v>
      </c>
      <c r="H1485" s="133"/>
      <c r="I1485" s="128"/>
      <c r="J1485" s="117"/>
      <c r="K1485" s="117"/>
      <c r="L1485"/>
    </row>
    <row r="1486" spans="1:12">
      <c r="A1486" s="121" t="s">
        <v>1005</v>
      </c>
      <c r="B1486" s="117" t="s">
        <v>4649</v>
      </c>
      <c r="C1486" s="122"/>
      <c r="D1486" s="107" t="s">
        <v>4709</v>
      </c>
      <c r="E1486" s="123" t="s">
        <v>4710</v>
      </c>
      <c r="F1486" s="117"/>
      <c r="G1486" s="107" t="s">
        <v>9</v>
      </c>
      <c r="H1486" s="133"/>
      <c r="I1486" s="128"/>
      <c r="J1486" s="117"/>
      <c r="K1486" s="117"/>
      <c r="L1486"/>
    </row>
    <row r="1487" spans="1:12">
      <c r="A1487" s="121" t="s">
        <v>1005</v>
      </c>
      <c r="B1487" s="117" t="s">
        <v>4649</v>
      </c>
      <c r="C1487" s="122"/>
      <c r="D1487" s="107" t="s">
        <v>4711</v>
      </c>
      <c r="E1487" s="123" t="s">
        <v>4712</v>
      </c>
      <c r="F1487" s="117"/>
      <c r="G1487" s="107" t="s">
        <v>9</v>
      </c>
      <c r="H1487" s="133"/>
      <c r="I1487" s="128"/>
      <c r="J1487" s="117"/>
      <c r="K1487" s="117"/>
      <c r="L1487"/>
    </row>
    <row r="1488" spans="1:12">
      <c r="A1488" s="121" t="s">
        <v>1005</v>
      </c>
      <c r="B1488" s="117" t="s">
        <v>4649</v>
      </c>
      <c r="C1488" s="122"/>
      <c r="D1488" s="107" t="s">
        <v>4713</v>
      </c>
      <c r="E1488" s="123" t="s">
        <v>4714</v>
      </c>
      <c r="F1488" s="117"/>
      <c r="G1488" s="107" t="s">
        <v>6</v>
      </c>
      <c r="H1488" s="133"/>
      <c r="I1488" s="128"/>
      <c r="J1488" s="117"/>
      <c r="K1488" s="117"/>
      <c r="L1488"/>
    </row>
    <row r="1489" spans="1:12">
      <c r="A1489" s="121" t="s">
        <v>1005</v>
      </c>
      <c r="B1489" s="117" t="s">
        <v>4649</v>
      </c>
      <c r="C1489" s="122"/>
      <c r="D1489" s="107" t="s">
        <v>4715</v>
      </c>
      <c r="E1489" s="123" t="s">
        <v>4716</v>
      </c>
      <c r="F1489" s="117"/>
      <c r="G1489" s="107" t="s">
        <v>8</v>
      </c>
      <c r="H1489" s="133"/>
      <c r="I1489" s="128"/>
      <c r="J1489" s="117"/>
      <c r="K1489" s="117"/>
      <c r="L1489"/>
    </row>
    <row r="1490" spans="1:12">
      <c r="A1490" s="121" t="s">
        <v>1005</v>
      </c>
      <c r="B1490" s="117" t="s">
        <v>4649</v>
      </c>
      <c r="C1490" s="122"/>
      <c r="D1490" s="107" t="s">
        <v>4717</v>
      </c>
      <c r="E1490" s="123" t="s">
        <v>4718</v>
      </c>
      <c r="F1490" s="117"/>
      <c r="G1490" s="107" t="s">
        <v>6</v>
      </c>
      <c r="H1490" s="133"/>
      <c r="I1490" s="128"/>
      <c r="J1490" s="117"/>
      <c r="K1490" s="117"/>
      <c r="L1490"/>
    </row>
    <row r="1491" spans="1:12">
      <c r="A1491" s="121" t="s">
        <v>1005</v>
      </c>
      <c r="B1491" s="117" t="s">
        <v>4649</v>
      </c>
      <c r="C1491" s="122"/>
      <c r="D1491" s="107" t="s">
        <v>4719</v>
      </c>
      <c r="E1491" s="123" t="s">
        <v>4720</v>
      </c>
      <c r="F1491" s="117"/>
      <c r="G1491" s="107" t="s">
        <v>8</v>
      </c>
      <c r="H1491" s="133"/>
      <c r="I1491" s="128"/>
      <c r="J1491" s="117"/>
      <c r="K1491" s="117"/>
      <c r="L1491"/>
    </row>
    <row r="1492" spans="1:12">
      <c r="A1492" s="121" t="s">
        <v>1005</v>
      </c>
      <c r="B1492" s="117" t="s">
        <v>4649</v>
      </c>
      <c r="C1492" s="122"/>
      <c r="D1492" s="107" t="s">
        <v>4721</v>
      </c>
      <c r="E1492" s="123" t="s">
        <v>4722</v>
      </c>
      <c r="F1492" s="117"/>
      <c r="G1492" s="107" t="s">
        <v>3</v>
      </c>
      <c r="H1492" s="133"/>
      <c r="I1492" s="128"/>
      <c r="J1492" s="117"/>
      <c r="K1492" s="117"/>
      <c r="L1492"/>
    </row>
    <row r="1493" spans="1:12">
      <c r="A1493" s="121" t="s">
        <v>1005</v>
      </c>
      <c r="B1493" s="117" t="s">
        <v>4649</v>
      </c>
      <c r="C1493" s="122"/>
      <c r="D1493" s="107" t="s">
        <v>4723</v>
      </c>
      <c r="E1493" s="123"/>
      <c r="F1493" s="117"/>
      <c r="G1493" s="107" t="s">
        <v>9</v>
      </c>
      <c r="H1493" s="133"/>
      <c r="I1493" s="128"/>
      <c r="J1493" s="117"/>
      <c r="K1493" s="117"/>
      <c r="L1493"/>
    </row>
    <row r="1494" spans="1:12">
      <c r="A1494" s="121" t="s">
        <v>1005</v>
      </c>
      <c r="B1494" s="117" t="s">
        <v>4649</v>
      </c>
      <c r="C1494" s="122"/>
      <c r="D1494" s="107" t="s">
        <v>4724</v>
      </c>
      <c r="E1494" s="123"/>
      <c r="F1494" s="117"/>
      <c r="G1494" s="107" t="s">
        <v>6</v>
      </c>
      <c r="H1494" s="133"/>
      <c r="I1494" s="128"/>
      <c r="J1494" s="117"/>
      <c r="K1494" s="117"/>
      <c r="L1494"/>
    </row>
    <row r="1495" spans="1:12">
      <c r="A1495" s="121" t="s">
        <v>1005</v>
      </c>
      <c r="B1495" s="117" t="s">
        <v>4649</v>
      </c>
      <c r="C1495" s="122"/>
      <c r="D1495" s="107" t="s">
        <v>4725</v>
      </c>
      <c r="E1495" s="123" t="s">
        <v>4726</v>
      </c>
      <c r="F1495" s="117"/>
      <c r="G1495" s="107" t="s">
        <v>9</v>
      </c>
      <c r="H1495" s="133"/>
      <c r="I1495" s="128"/>
      <c r="J1495" s="117"/>
      <c r="K1495" s="117"/>
      <c r="L1495"/>
    </row>
    <row r="1496" spans="1:12">
      <c r="A1496" s="121" t="s">
        <v>1005</v>
      </c>
      <c r="B1496" s="117" t="s">
        <v>4649</v>
      </c>
      <c r="C1496" s="122"/>
      <c r="D1496" s="107" t="s">
        <v>4727</v>
      </c>
      <c r="E1496" s="123" t="s">
        <v>4728</v>
      </c>
      <c r="F1496" s="117"/>
      <c r="G1496" s="107" t="s">
        <v>6</v>
      </c>
      <c r="H1496" s="133"/>
      <c r="I1496" s="128"/>
      <c r="J1496" s="117"/>
      <c r="K1496" s="117"/>
      <c r="L1496"/>
    </row>
    <row r="1497" spans="1:12">
      <c r="A1497" s="121" t="s">
        <v>1005</v>
      </c>
      <c r="B1497" s="117" t="s">
        <v>4649</v>
      </c>
      <c r="C1497" s="122"/>
      <c r="D1497" s="107" t="s">
        <v>4729</v>
      </c>
      <c r="E1497" s="123" t="s">
        <v>4730</v>
      </c>
      <c r="F1497" s="117"/>
      <c r="G1497" s="107" t="s">
        <v>6</v>
      </c>
      <c r="H1497" s="133"/>
      <c r="I1497" s="128"/>
      <c r="J1497" s="117"/>
      <c r="K1497" s="117"/>
      <c r="L1497"/>
    </row>
    <row r="1498" spans="1:12">
      <c r="A1498" s="121" t="s">
        <v>1005</v>
      </c>
      <c r="B1498" s="117" t="s">
        <v>4649</v>
      </c>
      <c r="C1498" s="122"/>
      <c r="D1498" s="107" t="s">
        <v>4731</v>
      </c>
      <c r="E1498" s="123" t="s">
        <v>4732</v>
      </c>
      <c r="F1498" s="117"/>
      <c r="G1498" s="107" t="s">
        <v>6</v>
      </c>
      <c r="H1498" s="133"/>
      <c r="I1498" s="128"/>
      <c r="J1498" s="117"/>
      <c r="K1498" s="117"/>
      <c r="L1498"/>
    </row>
    <row r="1499" spans="1:12">
      <c r="A1499" s="121" t="s">
        <v>1005</v>
      </c>
      <c r="B1499" s="117" t="s">
        <v>4649</v>
      </c>
      <c r="C1499" s="122"/>
      <c r="D1499" s="107" t="s">
        <v>4733</v>
      </c>
      <c r="E1499" s="123" t="s">
        <v>4734</v>
      </c>
      <c r="F1499" s="117"/>
      <c r="G1499" s="107" t="s">
        <v>6</v>
      </c>
      <c r="H1499" s="133"/>
      <c r="I1499" s="128"/>
      <c r="J1499" s="117"/>
      <c r="K1499" s="117"/>
      <c r="L1499"/>
    </row>
    <row r="1500" spans="1:12">
      <c r="A1500" s="121" t="s">
        <v>1005</v>
      </c>
      <c r="B1500" s="117" t="s">
        <v>4649</v>
      </c>
      <c r="C1500" s="122"/>
      <c r="D1500" s="107" t="s">
        <v>4735</v>
      </c>
      <c r="E1500" s="123" t="s">
        <v>4736</v>
      </c>
      <c r="F1500" s="117"/>
      <c r="G1500" s="107" t="s">
        <v>9</v>
      </c>
      <c r="H1500" s="133"/>
      <c r="I1500" s="128"/>
      <c r="J1500" s="117"/>
      <c r="K1500" s="117"/>
      <c r="L1500"/>
    </row>
    <row r="1501" spans="1:12">
      <c r="A1501" s="121" t="s">
        <v>1005</v>
      </c>
      <c r="B1501" s="117" t="s">
        <v>4649</v>
      </c>
      <c r="C1501" s="122"/>
      <c r="D1501" s="107" t="s">
        <v>4737</v>
      </c>
      <c r="E1501" s="123" t="s">
        <v>4738</v>
      </c>
      <c r="F1501" s="117"/>
      <c r="G1501" s="107" t="s">
        <v>1</v>
      </c>
      <c r="H1501" s="133"/>
      <c r="I1501" s="128"/>
      <c r="J1501" s="117"/>
      <c r="K1501" s="117"/>
      <c r="L1501"/>
    </row>
    <row r="1502" spans="1:12">
      <c r="A1502" s="121" t="s">
        <v>1005</v>
      </c>
      <c r="B1502" s="117" t="s">
        <v>4649</v>
      </c>
      <c r="C1502" s="122"/>
      <c r="D1502" s="107" t="s">
        <v>4739</v>
      </c>
      <c r="E1502" s="123" t="s">
        <v>4740</v>
      </c>
      <c r="F1502" s="117"/>
      <c r="G1502" s="107" t="s">
        <v>1</v>
      </c>
      <c r="H1502" s="133"/>
      <c r="I1502" s="128"/>
      <c r="J1502" s="117"/>
      <c r="K1502" s="117"/>
      <c r="L1502"/>
    </row>
    <row r="1503" spans="1:12">
      <c r="A1503" s="121" t="s">
        <v>1005</v>
      </c>
      <c r="B1503" s="117" t="s">
        <v>4649</v>
      </c>
      <c r="C1503" s="122"/>
      <c r="D1503" s="107" t="s">
        <v>4741</v>
      </c>
      <c r="E1503" s="123" t="s">
        <v>4742</v>
      </c>
      <c r="F1503" s="117"/>
      <c r="G1503" s="107" t="s">
        <v>6</v>
      </c>
      <c r="H1503" s="133"/>
      <c r="I1503" s="128"/>
      <c r="J1503" s="117"/>
      <c r="K1503" s="117"/>
      <c r="L1503"/>
    </row>
    <row r="1504" spans="1:12">
      <c r="A1504" s="121" t="s">
        <v>1005</v>
      </c>
      <c r="B1504" s="117" t="s">
        <v>4649</v>
      </c>
      <c r="C1504" s="122"/>
      <c r="D1504" s="107" t="s">
        <v>4743</v>
      </c>
      <c r="E1504" s="123" t="s">
        <v>4744</v>
      </c>
      <c r="F1504" s="117"/>
      <c r="G1504" s="107" t="s">
        <v>9</v>
      </c>
      <c r="H1504" s="133"/>
      <c r="I1504" s="128"/>
      <c r="J1504" s="117"/>
      <c r="K1504" s="117"/>
      <c r="L1504"/>
    </row>
    <row r="1505" spans="1:12">
      <c r="A1505" s="121" t="s">
        <v>1005</v>
      </c>
      <c r="B1505" s="117" t="s">
        <v>4649</v>
      </c>
      <c r="C1505" s="122"/>
      <c r="D1505" s="107" t="s">
        <v>4745</v>
      </c>
      <c r="E1505" s="123" t="s">
        <v>4746</v>
      </c>
      <c r="F1505" s="117"/>
      <c r="G1505" s="107" t="s">
        <v>1</v>
      </c>
      <c r="H1505" s="133"/>
      <c r="I1505" s="128"/>
      <c r="J1505" s="117"/>
      <c r="K1505" s="117"/>
      <c r="L1505"/>
    </row>
    <row r="1506" spans="1:12">
      <c r="A1506" s="121" t="s">
        <v>1005</v>
      </c>
      <c r="B1506" s="117" t="s">
        <v>4649</v>
      </c>
      <c r="C1506" s="122"/>
      <c r="D1506" s="107" t="s">
        <v>4747</v>
      </c>
      <c r="E1506" s="123" t="s">
        <v>3598</v>
      </c>
      <c r="F1506" s="117"/>
      <c r="G1506" s="107" t="s">
        <v>1</v>
      </c>
      <c r="H1506" s="133"/>
      <c r="I1506" s="128"/>
      <c r="J1506" s="117"/>
      <c r="K1506" s="117"/>
      <c r="L1506"/>
    </row>
    <row r="1507" spans="1:12">
      <c r="A1507" s="121" t="s">
        <v>1005</v>
      </c>
      <c r="B1507" s="117" t="s">
        <v>4649</v>
      </c>
      <c r="C1507" s="122"/>
      <c r="D1507" s="107" t="s">
        <v>4748</v>
      </c>
      <c r="E1507" s="123" t="s">
        <v>4749</v>
      </c>
      <c r="F1507" s="117"/>
      <c r="G1507" s="107" t="s">
        <v>1</v>
      </c>
      <c r="H1507" s="133"/>
      <c r="I1507" s="128"/>
      <c r="J1507" s="117"/>
      <c r="K1507" s="117"/>
      <c r="L1507"/>
    </row>
    <row r="1508" spans="1:12">
      <c r="A1508" s="121" t="s">
        <v>1005</v>
      </c>
      <c r="B1508" s="117" t="s">
        <v>4649</v>
      </c>
      <c r="C1508" s="122"/>
      <c r="D1508" s="107" t="s">
        <v>4750</v>
      </c>
      <c r="E1508" s="123" t="s">
        <v>4751</v>
      </c>
      <c r="F1508" s="117"/>
      <c r="G1508" s="107" t="s">
        <v>9</v>
      </c>
      <c r="H1508" s="133"/>
      <c r="I1508" s="128"/>
      <c r="J1508" s="117"/>
      <c r="K1508" s="117"/>
      <c r="L1508"/>
    </row>
    <row r="1509" spans="1:12">
      <c r="A1509" s="121" t="s">
        <v>1005</v>
      </c>
      <c r="B1509" s="117" t="s">
        <v>4649</v>
      </c>
      <c r="C1509" s="122"/>
      <c r="D1509" s="107" t="s">
        <v>4752</v>
      </c>
      <c r="E1509" s="123" t="s">
        <v>4753</v>
      </c>
      <c r="F1509" s="117"/>
      <c r="G1509" s="107" t="s">
        <v>6</v>
      </c>
      <c r="H1509" s="133"/>
      <c r="I1509" s="128"/>
      <c r="J1509" s="117"/>
      <c r="K1509" s="117"/>
      <c r="L1509"/>
    </row>
    <row r="1510" spans="1:12">
      <c r="A1510" s="121" t="s">
        <v>1005</v>
      </c>
      <c r="B1510" s="117" t="s">
        <v>4649</v>
      </c>
      <c r="C1510" s="122"/>
      <c r="D1510" s="107" t="s">
        <v>4754</v>
      </c>
      <c r="E1510" s="123" t="s">
        <v>4755</v>
      </c>
      <c r="F1510" s="117"/>
      <c r="G1510" s="107" t="s">
        <v>9</v>
      </c>
      <c r="H1510" s="133"/>
      <c r="I1510" s="128"/>
      <c r="J1510" s="117"/>
      <c r="K1510" s="117"/>
      <c r="L1510"/>
    </row>
    <row r="1511" spans="1:12">
      <c r="A1511" s="121" t="s">
        <v>1005</v>
      </c>
      <c r="B1511" s="117" t="s">
        <v>4649</v>
      </c>
      <c r="C1511" s="122"/>
      <c r="D1511" s="107" t="s">
        <v>4756</v>
      </c>
      <c r="E1511" s="123" t="s">
        <v>4757</v>
      </c>
      <c r="F1511" s="117"/>
      <c r="G1511" s="107" t="s">
        <v>6</v>
      </c>
      <c r="H1511" s="133"/>
      <c r="I1511" s="128"/>
      <c r="J1511" s="117"/>
      <c r="K1511" s="117"/>
      <c r="L1511"/>
    </row>
    <row r="1512" spans="1:12">
      <c r="A1512" s="121" t="s">
        <v>1005</v>
      </c>
      <c r="B1512" s="117" t="s">
        <v>4649</v>
      </c>
      <c r="C1512" s="122"/>
      <c r="D1512" s="107" t="s">
        <v>4758</v>
      </c>
      <c r="E1512" s="123" t="s">
        <v>4759</v>
      </c>
      <c r="F1512" s="117"/>
      <c r="G1512" s="107" t="s">
        <v>8</v>
      </c>
      <c r="H1512" s="133"/>
      <c r="I1512" s="128"/>
      <c r="J1512" s="117"/>
      <c r="K1512" s="117"/>
      <c r="L1512"/>
    </row>
    <row r="1513" spans="1:12">
      <c r="A1513" s="121" t="s">
        <v>1005</v>
      </c>
      <c r="B1513" s="117" t="s">
        <v>4649</v>
      </c>
      <c r="C1513" s="122"/>
      <c r="D1513" s="107" t="s">
        <v>4760</v>
      </c>
      <c r="E1513" s="123" t="s">
        <v>4761</v>
      </c>
      <c r="F1513" s="117"/>
      <c r="G1513" s="107" t="s">
        <v>8</v>
      </c>
      <c r="H1513" s="133"/>
      <c r="I1513" s="128"/>
      <c r="J1513" s="117"/>
      <c r="K1513" s="117"/>
      <c r="L1513"/>
    </row>
    <row r="1514" spans="1:12">
      <c r="A1514" s="121" t="s">
        <v>1005</v>
      </c>
      <c r="B1514" s="117" t="s">
        <v>4649</v>
      </c>
      <c r="C1514" s="122"/>
      <c r="D1514" s="107" t="s">
        <v>4762</v>
      </c>
      <c r="E1514" s="123" t="s">
        <v>4763</v>
      </c>
      <c r="F1514" s="117"/>
      <c r="G1514" s="107" t="s">
        <v>1</v>
      </c>
      <c r="H1514" s="133"/>
      <c r="I1514" s="128"/>
      <c r="J1514" s="117"/>
      <c r="K1514" s="117"/>
      <c r="L1514"/>
    </row>
    <row r="1515" spans="1:12">
      <c r="A1515" s="121" t="s">
        <v>1005</v>
      </c>
      <c r="B1515" s="117" t="s">
        <v>4649</v>
      </c>
      <c r="C1515" s="122"/>
      <c r="D1515" s="107" t="s">
        <v>4764</v>
      </c>
      <c r="E1515" s="123" t="s">
        <v>4765</v>
      </c>
      <c r="F1515" s="117"/>
      <c r="G1515" s="107" t="s">
        <v>1</v>
      </c>
      <c r="H1515" s="133"/>
      <c r="I1515" s="128"/>
      <c r="J1515" s="117"/>
      <c r="K1515" s="117"/>
      <c r="L1515"/>
    </row>
    <row r="1516" spans="1:12">
      <c r="A1516" s="121" t="s">
        <v>1005</v>
      </c>
      <c r="B1516" s="117" t="s">
        <v>4649</v>
      </c>
      <c r="C1516" s="122"/>
      <c r="D1516" s="107" t="s">
        <v>4766</v>
      </c>
      <c r="E1516" s="123">
        <v>65030427</v>
      </c>
      <c r="F1516" s="117"/>
      <c r="G1516" s="107" t="s">
        <v>9</v>
      </c>
      <c r="H1516" s="133"/>
      <c r="I1516" s="128"/>
      <c r="J1516" s="117"/>
      <c r="K1516" s="117"/>
      <c r="L1516"/>
    </row>
    <row r="1517" spans="1:12">
      <c r="A1517" s="121" t="s">
        <v>1005</v>
      </c>
      <c r="B1517" s="117" t="s">
        <v>4649</v>
      </c>
      <c r="C1517" s="122"/>
      <c r="D1517" s="107" t="s">
        <v>4767</v>
      </c>
      <c r="E1517" s="123" t="s">
        <v>4768</v>
      </c>
      <c r="F1517" s="117"/>
      <c r="G1517" s="107" t="s">
        <v>9</v>
      </c>
      <c r="H1517" s="133"/>
      <c r="I1517" s="128"/>
      <c r="J1517" s="117"/>
      <c r="K1517" s="117"/>
      <c r="L1517"/>
    </row>
    <row r="1518" spans="1:12">
      <c r="A1518" s="121" t="s">
        <v>1005</v>
      </c>
      <c r="B1518" s="117" t="s">
        <v>4649</v>
      </c>
      <c r="C1518" s="122"/>
      <c r="D1518" s="107" t="s">
        <v>4769</v>
      </c>
      <c r="E1518" s="123">
        <v>67118702</v>
      </c>
      <c r="F1518" s="117"/>
      <c r="G1518" s="107" t="s">
        <v>6</v>
      </c>
      <c r="H1518" s="133"/>
      <c r="I1518" s="128"/>
      <c r="J1518" s="117"/>
      <c r="K1518" s="117"/>
      <c r="L1518"/>
    </row>
    <row r="1519" spans="1:12">
      <c r="A1519" s="121" t="s">
        <v>1005</v>
      </c>
      <c r="B1519" s="117" t="s">
        <v>4649</v>
      </c>
      <c r="C1519" s="122"/>
      <c r="D1519" s="107" t="s">
        <v>4770</v>
      </c>
      <c r="E1519" s="123">
        <v>65994997</v>
      </c>
      <c r="F1519" s="117"/>
      <c r="G1519" s="107" t="s">
        <v>6</v>
      </c>
      <c r="H1519" s="133"/>
      <c r="I1519" s="128"/>
      <c r="J1519" s="117"/>
      <c r="K1519" s="117"/>
      <c r="L1519"/>
    </row>
    <row r="1520" spans="1:12">
      <c r="A1520" s="121" t="s">
        <v>1005</v>
      </c>
      <c r="B1520" s="117" t="s">
        <v>4649</v>
      </c>
      <c r="C1520" s="122"/>
      <c r="D1520" s="107" t="s">
        <v>4771</v>
      </c>
      <c r="E1520" s="123" t="s">
        <v>4772</v>
      </c>
      <c r="F1520" s="117"/>
      <c r="G1520" s="107" t="s">
        <v>9</v>
      </c>
      <c r="H1520" s="133"/>
      <c r="I1520" s="128"/>
      <c r="J1520" s="117"/>
      <c r="K1520" s="117"/>
      <c r="L1520"/>
    </row>
    <row r="1521" spans="1:12">
      <c r="A1521" s="121" t="s">
        <v>1005</v>
      </c>
      <c r="B1521" s="117" t="s">
        <v>4649</v>
      </c>
      <c r="C1521" s="122"/>
      <c r="D1521" s="107" t="s">
        <v>4773</v>
      </c>
      <c r="E1521" s="123" t="s">
        <v>4774</v>
      </c>
      <c r="F1521" s="117"/>
      <c r="G1521" s="107" t="s">
        <v>6</v>
      </c>
      <c r="H1521" s="133"/>
      <c r="I1521" s="128"/>
      <c r="J1521" s="117"/>
      <c r="K1521" s="117"/>
      <c r="L1521"/>
    </row>
    <row r="1522" spans="1:12">
      <c r="A1522" s="116" t="s">
        <v>1186</v>
      </c>
      <c r="B1522" s="117" t="s">
        <v>4775</v>
      </c>
      <c r="C1522" s="118" t="s">
        <v>1187</v>
      </c>
      <c r="D1522" s="119"/>
      <c r="E1522" s="120">
        <v>69180241</v>
      </c>
      <c r="F1522" s="117"/>
      <c r="G1522" s="107" t="s">
        <v>2</v>
      </c>
      <c r="H1522" s="133">
        <v>46084</v>
      </c>
      <c r="I1522" s="128">
        <v>0.60972222222222228</v>
      </c>
      <c r="J1522" s="117"/>
      <c r="K1522" s="117"/>
      <c r="L1522"/>
    </row>
    <row r="1523" spans="1:12">
      <c r="A1523" s="116" t="s">
        <v>1186</v>
      </c>
      <c r="B1523" s="117" t="s">
        <v>4775</v>
      </c>
      <c r="C1523" s="118" t="s">
        <v>1188</v>
      </c>
      <c r="D1523" s="119"/>
      <c r="E1523" s="120">
        <v>65915146</v>
      </c>
      <c r="F1523" s="117"/>
      <c r="G1523" s="107" t="s">
        <v>6</v>
      </c>
      <c r="H1523" s="133">
        <v>46084</v>
      </c>
      <c r="I1523" s="128">
        <v>0.61111111111111116</v>
      </c>
      <c r="J1523" s="117"/>
      <c r="K1523" s="117"/>
      <c r="L1523"/>
    </row>
    <row r="1524" spans="1:12">
      <c r="A1524" s="116" t="s">
        <v>1186</v>
      </c>
      <c r="B1524" s="117" t="s">
        <v>4775</v>
      </c>
      <c r="C1524" s="118" t="s">
        <v>1189</v>
      </c>
      <c r="D1524" s="119"/>
      <c r="E1524" s="120">
        <v>68373101</v>
      </c>
      <c r="F1524" s="117"/>
      <c r="G1524" s="107" t="s">
        <v>2</v>
      </c>
      <c r="H1524" s="133">
        <v>46084</v>
      </c>
      <c r="I1524" s="128">
        <v>0.6118055555555556</v>
      </c>
      <c r="J1524" s="117"/>
      <c r="K1524" s="117"/>
      <c r="L1524"/>
    </row>
    <row r="1525" spans="1:12">
      <c r="A1525" s="116" t="s">
        <v>1186</v>
      </c>
      <c r="B1525" s="117" t="s">
        <v>4775</v>
      </c>
      <c r="C1525" s="118" t="s">
        <v>1190</v>
      </c>
      <c r="D1525" s="119"/>
      <c r="E1525" s="120">
        <v>66364300</v>
      </c>
      <c r="F1525" s="117"/>
      <c r="G1525" s="107" t="s">
        <v>2</v>
      </c>
      <c r="H1525" s="133">
        <v>46084</v>
      </c>
      <c r="I1525" s="128">
        <v>0.61458333333333337</v>
      </c>
      <c r="J1525" s="117"/>
      <c r="K1525" s="117"/>
      <c r="L1525"/>
    </row>
    <row r="1526" spans="1:12">
      <c r="A1526" s="116" t="s">
        <v>1186</v>
      </c>
      <c r="B1526" s="117" t="s">
        <v>4775</v>
      </c>
      <c r="C1526" s="118" t="s">
        <v>1191</v>
      </c>
      <c r="D1526" s="119"/>
      <c r="E1526" s="120">
        <v>66006938</v>
      </c>
      <c r="F1526" s="117"/>
      <c r="G1526" s="107" t="s">
        <v>2</v>
      </c>
      <c r="H1526" s="133">
        <v>46084</v>
      </c>
      <c r="I1526" s="128">
        <v>0.61458333333333337</v>
      </c>
      <c r="J1526" s="117"/>
      <c r="K1526" s="117"/>
      <c r="L1526"/>
    </row>
    <row r="1527" spans="1:12">
      <c r="A1527" s="116" t="s">
        <v>1186</v>
      </c>
      <c r="B1527" s="117" t="s">
        <v>4775</v>
      </c>
      <c r="C1527" s="118" t="s">
        <v>1192</v>
      </c>
      <c r="D1527" s="119"/>
      <c r="E1527" s="120">
        <v>62964555</v>
      </c>
      <c r="F1527" s="117"/>
      <c r="G1527" s="107" t="s">
        <v>1</v>
      </c>
      <c r="H1527" s="133">
        <v>46084</v>
      </c>
      <c r="I1527" s="128">
        <v>0.6166666666666667</v>
      </c>
      <c r="J1527" s="117"/>
      <c r="K1527" s="117"/>
      <c r="L1527" t="s">
        <v>4776</v>
      </c>
    </row>
    <row r="1528" spans="1:12">
      <c r="A1528" s="116" t="s">
        <v>1186</v>
      </c>
      <c r="B1528" s="117" t="s">
        <v>4775</v>
      </c>
      <c r="C1528" s="118" t="s">
        <v>1193</v>
      </c>
      <c r="D1528" s="119"/>
      <c r="E1528" s="120">
        <v>66406760</v>
      </c>
      <c r="F1528" s="117"/>
      <c r="G1528" s="107" t="s">
        <v>2</v>
      </c>
      <c r="H1528" s="133">
        <v>46084</v>
      </c>
      <c r="I1528" s="128">
        <v>0.61875000000000002</v>
      </c>
      <c r="J1528" s="117"/>
      <c r="K1528" s="117"/>
      <c r="L1528"/>
    </row>
    <row r="1529" spans="1:12">
      <c r="A1529" s="116" t="s">
        <v>1186</v>
      </c>
      <c r="B1529" s="117" t="s">
        <v>4775</v>
      </c>
      <c r="C1529" s="118" t="s">
        <v>1194</v>
      </c>
      <c r="D1529" s="119"/>
      <c r="E1529" s="120">
        <v>64333633</v>
      </c>
      <c r="F1529" s="117"/>
      <c r="G1529" s="107" t="s">
        <v>4</v>
      </c>
      <c r="H1529" s="133">
        <v>46084</v>
      </c>
      <c r="I1529" s="128">
        <v>0.62013888888888891</v>
      </c>
      <c r="J1529" s="117"/>
      <c r="K1529" s="117"/>
      <c r="L1529"/>
    </row>
    <row r="1530" spans="1:12">
      <c r="A1530" s="116" t="s">
        <v>1186</v>
      </c>
      <c r="B1530" s="117" t="s">
        <v>4775</v>
      </c>
      <c r="C1530" s="118" t="s">
        <v>1195</v>
      </c>
      <c r="D1530" s="119"/>
      <c r="E1530" s="120">
        <v>67612927</v>
      </c>
      <c r="F1530" s="117"/>
      <c r="G1530" s="107" t="s">
        <v>6</v>
      </c>
      <c r="H1530" s="133">
        <v>46084</v>
      </c>
      <c r="I1530" s="128">
        <v>0.62152777777777779</v>
      </c>
      <c r="J1530" s="117"/>
      <c r="K1530" s="117"/>
      <c r="L1530"/>
    </row>
    <row r="1531" spans="1:12">
      <c r="A1531" s="116" t="s">
        <v>1186</v>
      </c>
      <c r="B1531" s="117" t="s">
        <v>4775</v>
      </c>
      <c r="C1531" s="118" t="s">
        <v>1196</v>
      </c>
      <c r="D1531" s="119"/>
      <c r="E1531" s="120">
        <v>62998841</v>
      </c>
      <c r="F1531" s="117"/>
      <c r="G1531" s="107" t="s">
        <v>1</v>
      </c>
      <c r="H1531" s="133">
        <v>46084</v>
      </c>
      <c r="I1531" s="128">
        <v>0.62222222222222223</v>
      </c>
      <c r="J1531" s="117"/>
      <c r="K1531" s="117"/>
      <c r="L1531" t="s">
        <v>4777</v>
      </c>
    </row>
    <row r="1532" spans="1:12">
      <c r="A1532" s="116" t="s">
        <v>1186</v>
      </c>
      <c r="B1532" s="117" t="s">
        <v>4775</v>
      </c>
      <c r="C1532" s="118" t="s">
        <v>1197</v>
      </c>
      <c r="D1532" s="119"/>
      <c r="E1532" s="120">
        <v>62296676</v>
      </c>
      <c r="F1532" s="117"/>
      <c r="G1532" s="107" t="s">
        <v>2</v>
      </c>
      <c r="H1532" s="133">
        <v>46084</v>
      </c>
      <c r="I1532" s="128">
        <v>0.62291666666666667</v>
      </c>
      <c r="J1532" s="117"/>
      <c r="K1532" s="117"/>
      <c r="L1532"/>
    </row>
    <row r="1533" spans="1:12">
      <c r="A1533" s="116" t="s">
        <v>1186</v>
      </c>
      <c r="B1533" s="117" t="s">
        <v>4775</v>
      </c>
      <c r="C1533" s="118" t="s">
        <v>1198</v>
      </c>
      <c r="D1533" s="119"/>
      <c r="E1533" s="120">
        <v>66509401</v>
      </c>
      <c r="F1533" s="117"/>
      <c r="G1533" s="107" t="s">
        <v>5</v>
      </c>
      <c r="H1533" s="133">
        <v>46084</v>
      </c>
      <c r="I1533" s="128" t="s">
        <v>4778</v>
      </c>
      <c r="J1533" s="117"/>
      <c r="K1533" s="117"/>
      <c r="L1533"/>
    </row>
    <row r="1534" spans="1:12">
      <c r="A1534" s="116" t="s">
        <v>1186</v>
      </c>
      <c r="B1534" s="117" t="s">
        <v>4775</v>
      </c>
      <c r="C1534" s="118" t="s">
        <v>1199</v>
      </c>
      <c r="D1534" s="119"/>
      <c r="E1534" s="120">
        <v>65632767</v>
      </c>
      <c r="F1534" s="117"/>
      <c r="G1534" s="107" t="s">
        <v>1</v>
      </c>
      <c r="H1534" s="133">
        <v>46084</v>
      </c>
      <c r="I1534" s="128" t="s">
        <v>4779</v>
      </c>
      <c r="J1534" s="117"/>
      <c r="K1534" s="117"/>
      <c r="L1534"/>
    </row>
    <row r="1535" spans="1:12">
      <c r="A1535" s="116" t="s">
        <v>1186</v>
      </c>
      <c r="B1535" s="117" t="s">
        <v>4775</v>
      </c>
      <c r="C1535" s="118" t="s">
        <v>1200</v>
      </c>
      <c r="D1535" s="119"/>
      <c r="E1535" s="120">
        <v>69694539</v>
      </c>
      <c r="F1535" s="117"/>
      <c r="G1535" s="107" t="s">
        <v>1</v>
      </c>
      <c r="H1535" s="133">
        <v>46084</v>
      </c>
      <c r="I1535" s="128">
        <v>0.12847222222222221</v>
      </c>
      <c r="J1535" s="117"/>
      <c r="K1535" s="117"/>
      <c r="L1535"/>
    </row>
    <row r="1536" spans="1:12">
      <c r="A1536" s="116" t="s">
        <v>1186</v>
      </c>
      <c r="B1536" s="117" t="s">
        <v>4775</v>
      </c>
      <c r="C1536" s="118" t="s">
        <v>1201</v>
      </c>
      <c r="D1536" s="119"/>
      <c r="E1536" s="120">
        <v>69746229</v>
      </c>
      <c r="F1536" s="117"/>
      <c r="G1536" s="107" t="s">
        <v>2</v>
      </c>
      <c r="H1536" s="133">
        <v>46084</v>
      </c>
      <c r="I1536" s="128">
        <v>0.62986111111111109</v>
      </c>
      <c r="J1536" s="117"/>
      <c r="K1536" s="117"/>
      <c r="L1536"/>
    </row>
    <row r="1537" spans="1:12">
      <c r="A1537" s="116" t="s">
        <v>1186</v>
      </c>
      <c r="B1537" s="117" t="s">
        <v>4775</v>
      </c>
      <c r="C1537" s="118" t="s">
        <v>1202</v>
      </c>
      <c r="D1537" s="119"/>
      <c r="E1537" s="120">
        <v>64552203</v>
      </c>
      <c r="F1537" s="117"/>
      <c r="G1537" s="107" t="s">
        <v>1</v>
      </c>
      <c r="H1537" s="133">
        <v>46084</v>
      </c>
      <c r="I1537" s="128">
        <v>0.13125000000000001</v>
      </c>
      <c r="J1537" s="117"/>
      <c r="K1537" s="117"/>
      <c r="L1537"/>
    </row>
    <row r="1538" spans="1:12">
      <c r="A1538" s="116" t="s">
        <v>1186</v>
      </c>
      <c r="B1538" s="117" t="s">
        <v>4775</v>
      </c>
      <c r="C1538" s="118" t="s">
        <v>1203</v>
      </c>
      <c r="D1538" s="119"/>
      <c r="E1538" s="120">
        <v>63684617</v>
      </c>
      <c r="F1538" s="117"/>
      <c r="G1538" s="107" t="s">
        <v>2</v>
      </c>
      <c r="H1538" s="133">
        <v>46084</v>
      </c>
      <c r="I1538" s="128">
        <v>0.63263888888888886</v>
      </c>
      <c r="J1538" s="117"/>
      <c r="K1538" s="117"/>
      <c r="L1538"/>
    </row>
    <row r="1539" spans="1:12">
      <c r="A1539" s="116" t="s">
        <v>1186</v>
      </c>
      <c r="B1539" s="117" t="s">
        <v>4775</v>
      </c>
      <c r="C1539" s="118" t="s">
        <v>1204</v>
      </c>
      <c r="D1539" s="119"/>
      <c r="E1539" s="120">
        <v>69067182</v>
      </c>
      <c r="F1539" s="117"/>
      <c r="G1539" s="107" t="s">
        <v>3</v>
      </c>
      <c r="H1539" s="133">
        <v>46084</v>
      </c>
      <c r="I1539" s="128">
        <v>0.63472222222222219</v>
      </c>
      <c r="J1539" s="117"/>
      <c r="K1539" s="117"/>
      <c r="L1539"/>
    </row>
    <row r="1540" spans="1:12">
      <c r="A1540" s="116" t="s">
        <v>1186</v>
      </c>
      <c r="B1540" s="117" t="s">
        <v>4775</v>
      </c>
      <c r="C1540" s="118" t="s">
        <v>1205</v>
      </c>
      <c r="D1540" s="119"/>
      <c r="E1540" s="120">
        <v>63668215</v>
      </c>
      <c r="F1540" s="117"/>
      <c r="G1540" s="107" t="s">
        <v>1</v>
      </c>
      <c r="H1540" s="133">
        <v>46084</v>
      </c>
      <c r="I1540" s="128">
        <v>0.1361111111111111</v>
      </c>
      <c r="J1540" s="117"/>
      <c r="K1540" s="117"/>
      <c r="L1540"/>
    </row>
    <row r="1541" spans="1:12">
      <c r="A1541" s="116" t="s">
        <v>1186</v>
      </c>
      <c r="B1541" s="117" t="s">
        <v>4775</v>
      </c>
      <c r="C1541" s="118" t="s">
        <v>1206</v>
      </c>
      <c r="D1541" s="119"/>
      <c r="E1541" s="120">
        <v>67793093</v>
      </c>
      <c r="F1541" s="117"/>
      <c r="G1541" s="107" t="s">
        <v>6</v>
      </c>
      <c r="H1541" s="133">
        <v>46084</v>
      </c>
      <c r="I1541" s="128">
        <v>0.63749999999999996</v>
      </c>
      <c r="J1541" s="117"/>
      <c r="K1541" s="117"/>
      <c r="L1541"/>
    </row>
    <row r="1542" spans="1:12">
      <c r="A1542" s="116" t="s">
        <v>1186</v>
      </c>
      <c r="B1542" s="117" t="s">
        <v>4775</v>
      </c>
      <c r="C1542" s="118" t="s">
        <v>1207</v>
      </c>
      <c r="D1542" s="119"/>
      <c r="E1542" s="120">
        <v>68496192</v>
      </c>
      <c r="F1542" s="117"/>
      <c r="G1542" s="107" t="s">
        <v>6</v>
      </c>
      <c r="H1542" s="133">
        <v>46084</v>
      </c>
      <c r="I1542" s="128">
        <v>0.6381944444444444</v>
      </c>
      <c r="J1542" s="117"/>
      <c r="K1542" s="117"/>
      <c r="L1542"/>
    </row>
    <row r="1543" spans="1:12">
      <c r="A1543" s="116" t="s">
        <v>1186</v>
      </c>
      <c r="B1543" s="117" t="s">
        <v>4775</v>
      </c>
      <c r="C1543" s="118" t="s">
        <v>1208</v>
      </c>
      <c r="D1543" s="119"/>
      <c r="E1543" s="120">
        <v>64076231</v>
      </c>
      <c r="F1543" s="117"/>
      <c r="G1543" s="107" t="s">
        <v>3</v>
      </c>
      <c r="H1543" s="133">
        <v>46084</v>
      </c>
      <c r="I1543" s="128">
        <v>0.64027777777777772</v>
      </c>
      <c r="J1543" s="117"/>
      <c r="K1543" s="117"/>
      <c r="L1543"/>
    </row>
    <row r="1544" spans="1:12">
      <c r="A1544" s="116" t="s">
        <v>1186</v>
      </c>
      <c r="B1544" s="117" t="s">
        <v>4775</v>
      </c>
      <c r="C1544" s="118" t="s">
        <v>1209</v>
      </c>
      <c r="D1544" s="119"/>
      <c r="E1544" s="120">
        <v>65232478</v>
      </c>
      <c r="F1544" s="117"/>
      <c r="G1544" s="107" t="s">
        <v>3</v>
      </c>
      <c r="H1544" s="133">
        <v>46084</v>
      </c>
      <c r="I1544" s="128">
        <v>0.64166666666666672</v>
      </c>
      <c r="J1544" s="117"/>
      <c r="K1544" s="117"/>
      <c r="L1544"/>
    </row>
    <row r="1545" spans="1:12">
      <c r="A1545" s="116" t="s">
        <v>1186</v>
      </c>
      <c r="B1545" s="117" t="s">
        <v>4775</v>
      </c>
      <c r="C1545" s="118" t="s">
        <v>1210</v>
      </c>
      <c r="D1545" s="119"/>
      <c r="E1545" s="120">
        <v>64755502</v>
      </c>
      <c r="F1545" s="117"/>
      <c r="G1545" s="107" t="s">
        <v>2</v>
      </c>
      <c r="H1545" s="133">
        <v>46084</v>
      </c>
      <c r="I1545" s="128">
        <v>0.64236111111111116</v>
      </c>
      <c r="J1545" s="117"/>
      <c r="K1545" s="117"/>
      <c r="L1545"/>
    </row>
    <row r="1546" spans="1:12">
      <c r="A1546" s="116" t="s">
        <v>1186</v>
      </c>
      <c r="B1546" s="117" t="s">
        <v>4775</v>
      </c>
      <c r="C1546" s="118" t="s">
        <v>1211</v>
      </c>
      <c r="D1546" s="119"/>
      <c r="E1546" s="120">
        <v>66496652</v>
      </c>
      <c r="F1546" s="117"/>
      <c r="G1546" s="107" t="s">
        <v>1</v>
      </c>
      <c r="H1546" s="133">
        <v>46084</v>
      </c>
      <c r="I1546" s="128" t="s">
        <v>4780</v>
      </c>
      <c r="J1546" s="117"/>
      <c r="K1546" s="117"/>
      <c r="L1546"/>
    </row>
    <row r="1547" spans="1:12">
      <c r="A1547" s="116" t="s">
        <v>1186</v>
      </c>
      <c r="B1547" s="117" t="s">
        <v>4775</v>
      </c>
      <c r="C1547" s="118" t="s">
        <v>1212</v>
      </c>
      <c r="D1547" s="119"/>
      <c r="E1547" s="120">
        <v>68534023</v>
      </c>
      <c r="F1547" s="117"/>
      <c r="G1547" s="107" t="s">
        <v>1</v>
      </c>
      <c r="H1547" s="133">
        <v>46084</v>
      </c>
      <c r="I1547" s="128">
        <v>0.64444444444444449</v>
      </c>
      <c r="J1547" s="117"/>
      <c r="K1547" s="117"/>
      <c r="L1547"/>
    </row>
    <row r="1548" spans="1:12">
      <c r="A1548" s="116" t="s">
        <v>1186</v>
      </c>
      <c r="B1548" s="117" t="s">
        <v>4775</v>
      </c>
      <c r="C1548" s="118" t="s">
        <v>1213</v>
      </c>
      <c r="D1548" s="119"/>
      <c r="E1548" s="120">
        <v>67995875</v>
      </c>
      <c r="F1548" s="117"/>
      <c r="G1548" s="107" t="s">
        <v>1</v>
      </c>
      <c r="H1548" s="133">
        <v>46084</v>
      </c>
      <c r="I1548" s="128">
        <v>0.64722222222222225</v>
      </c>
      <c r="J1548" s="117"/>
      <c r="K1548" s="117"/>
      <c r="L1548"/>
    </row>
    <row r="1549" spans="1:12">
      <c r="A1549" s="116" t="s">
        <v>1186</v>
      </c>
      <c r="B1549" s="117" t="s">
        <v>4775</v>
      </c>
      <c r="C1549" s="118" t="s">
        <v>1214</v>
      </c>
      <c r="D1549" s="119"/>
      <c r="E1549" s="120">
        <v>69608336</v>
      </c>
      <c r="F1549" s="117"/>
      <c r="G1549" s="107" t="s">
        <v>2</v>
      </c>
      <c r="H1549" s="133">
        <v>46084</v>
      </c>
      <c r="I1549" s="128">
        <v>0.6479166666666667</v>
      </c>
      <c r="J1549" s="117"/>
      <c r="K1549" s="117"/>
      <c r="L1549"/>
    </row>
    <row r="1550" spans="1:12">
      <c r="A1550" s="116" t="s">
        <v>1186</v>
      </c>
      <c r="B1550" s="117" t="s">
        <v>4775</v>
      </c>
      <c r="C1550" s="118" t="s">
        <v>1215</v>
      </c>
      <c r="D1550" s="119"/>
      <c r="E1550" s="120">
        <v>66862857</v>
      </c>
      <c r="F1550" s="117"/>
      <c r="G1550" s="107" t="s">
        <v>4</v>
      </c>
      <c r="H1550" s="133">
        <v>46084</v>
      </c>
      <c r="I1550" s="128">
        <v>0.64861111111111114</v>
      </c>
      <c r="J1550" s="117"/>
      <c r="K1550" s="117"/>
      <c r="L1550"/>
    </row>
    <row r="1551" spans="1:12">
      <c r="A1551" s="116" t="s">
        <v>1186</v>
      </c>
      <c r="B1551" s="117" t="s">
        <v>4775</v>
      </c>
      <c r="C1551" s="118" t="s">
        <v>1216</v>
      </c>
      <c r="D1551" s="119"/>
      <c r="E1551" s="120">
        <v>64611554</v>
      </c>
      <c r="F1551" s="117"/>
      <c r="G1551" s="107" t="s">
        <v>2</v>
      </c>
      <c r="H1551" s="133">
        <v>46084</v>
      </c>
      <c r="I1551" s="128">
        <v>0.64930555555555558</v>
      </c>
      <c r="J1551" s="117"/>
      <c r="K1551" s="117"/>
      <c r="L1551"/>
    </row>
    <row r="1552" spans="1:12">
      <c r="A1552" s="116" t="s">
        <v>1186</v>
      </c>
      <c r="B1552" s="117" t="s">
        <v>4775</v>
      </c>
      <c r="C1552" s="118" t="s">
        <v>1217</v>
      </c>
      <c r="D1552" s="119"/>
      <c r="E1552" s="120">
        <v>7307340</v>
      </c>
      <c r="F1552" s="117"/>
      <c r="G1552" s="107" t="s">
        <v>6</v>
      </c>
      <c r="H1552" s="133">
        <v>46084</v>
      </c>
      <c r="I1552" s="128">
        <v>0.65</v>
      </c>
      <c r="J1552" s="117"/>
      <c r="K1552" s="117"/>
      <c r="L1552"/>
    </row>
    <row r="1553" spans="1:12">
      <c r="A1553" s="116" t="s">
        <v>1186</v>
      </c>
      <c r="B1553" s="117" t="s">
        <v>4775</v>
      </c>
      <c r="C1553" s="118" t="s">
        <v>1218</v>
      </c>
      <c r="D1553" s="119"/>
      <c r="E1553" s="120">
        <v>68959323</v>
      </c>
      <c r="F1553" s="117"/>
      <c r="G1553" s="107" t="s">
        <v>4</v>
      </c>
      <c r="H1553" s="133">
        <v>46084</v>
      </c>
      <c r="I1553" s="128">
        <v>0.65069444444444446</v>
      </c>
      <c r="J1553" s="117"/>
      <c r="K1553" s="117"/>
      <c r="L1553"/>
    </row>
    <row r="1554" spans="1:12">
      <c r="A1554" s="116" t="s">
        <v>1186</v>
      </c>
      <c r="B1554" s="117" t="s">
        <v>4775</v>
      </c>
      <c r="C1554" s="118" t="s">
        <v>1219</v>
      </c>
      <c r="D1554" s="119"/>
      <c r="E1554" s="120">
        <v>62369147</v>
      </c>
      <c r="F1554" s="117"/>
      <c r="G1554" s="107" t="s">
        <v>2</v>
      </c>
      <c r="H1554" s="133">
        <v>46084</v>
      </c>
      <c r="I1554" s="128">
        <v>0.65138888888888891</v>
      </c>
      <c r="J1554" s="117"/>
      <c r="K1554" s="117"/>
      <c r="L1554"/>
    </row>
    <row r="1555" spans="1:12">
      <c r="A1555" s="116" t="s">
        <v>1186</v>
      </c>
      <c r="B1555" s="117" t="s">
        <v>4775</v>
      </c>
      <c r="C1555" s="118" t="s">
        <v>1220</v>
      </c>
      <c r="D1555" s="119"/>
      <c r="E1555" s="120">
        <v>64375045</v>
      </c>
      <c r="F1555" s="117"/>
      <c r="G1555" s="107" t="s">
        <v>1</v>
      </c>
      <c r="H1555" s="133">
        <v>46084</v>
      </c>
      <c r="I1555" s="128">
        <v>0.65277777777777779</v>
      </c>
      <c r="J1555" s="117"/>
      <c r="K1555" s="117"/>
      <c r="L1555"/>
    </row>
    <row r="1556" spans="1:12">
      <c r="A1556" s="116" t="s">
        <v>1186</v>
      </c>
      <c r="B1556" s="117" t="s">
        <v>4775</v>
      </c>
      <c r="C1556" s="118" t="s">
        <v>1221</v>
      </c>
      <c r="D1556" s="119"/>
      <c r="E1556" s="120">
        <v>62995774</v>
      </c>
      <c r="F1556" s="117"/>
      <c r="G1556" s="107" t="s">
        <v>6</v>
      </c>
      <c r="H1556" s="133">
        <v>46084</v>
      </c>
      <c r="I1556" s="128">
        <v>0.65347222222222223</v>
      </c>
      <c r="J1556" s="117"/>
      <c r="K1556" s="117"/>
      <c r="L1556"/>
    </row>
    <row r="1557" spans="1:12">
      <c r="A1557" s="116" t="s">
        <v>1186</v>
      </c>
      <c r="B1557" s="117" t="s">
        <v>4775</v>
      </c>
      <c r="C1557" s="118" t="s">
        <v>1222</v>
      </c>
      <c r="D1557" s="119"/>
      <c r="E1557" s="120">
        <v>7302361</v>
      </c>
      <c r="F1557" s="117"/>
      <c r="G1557" s="107" t="s">
        <v>6</v>
      </c>
      <c r="H1557" s="133">
        <v>46085</v>
      </c>
      <c r="I1557" s="128">
        <v>0.36875000000000002</v>
      </c>
      <c r="J1557" s="117"/>
      <c r="K1557" s="117"/>
      <c r="L1557"/>
    </row>
    <row r="1558" spans="1:12">
      <c r="A1558" s="116" t="s">
        <v>1186</v>
      </c>
      <c r="B1558" s="117" t="s">
        <v>4775</v>
      </c>
      <c r="C1558" s="118" t="s">
        <v>1223</v>
      </c>
      <c r="D1558" s="119"/>
      <c r="E1558" s="120">
        <v>66361941</v>
      </c>
      <c r="F1558" s="117"/>
      <c r="G1558" s="107" t="s">
        <v>6</v>
      </c>
      <c r="H1558" s="133">
        <v>46085</v>
      </c>
      <c r="I1558" s="128">
        <v>0.37013888888888891</v>
      </c>
      <c r="J1558" s="117"/>
      <c r="K1558" s="117"/>
      <c r="L1558"/>
    </row>
    <row r="1559" spans="1:12">
      <c r="A1559" s="116" t="s">
        <v>1186</v>
      </c>
      <c r="B1559" s="117" t="s">
        <v>4775</v>
      </c>
      <c r="C1559" s="118" t="s">
        <v>1224</v>
      </c>
      <c r="D1559" s="119"/>
      <c r="E1559" s="120">
        <v>68973486</v>
      </c>
      <c r="F1559" s="117"/>
      <c r="G1559" s="107" t="s">
        <v>6</v>
      </c>
      <c r="H1559" s="133">
        <v>46085</v>
      </c>
      <c r="I1559" s="128">
        <v>0.37152777777777779</v>
      </c>
      <c r="J1559" s="117"/>
      <c r="K1559" s="117"/>
      <c r="L1559"/>
    </row>
    <row r="1560" spans="1:12">
      <c r="A1560" s="116" t="s">
        <v>1186</v>
      </c>
      <c r="B1560" s="117" t="s">
        <v>4775</v>
      </c>
      <c r="C1560" s="118" t="s">
        <v>1225</v>
      </c>
      <c r="D1560" s="119"/>
      <c r="E1560" s="120">
        <v>63894871</v>
      </c>
      <c r="F1560" s="117"/>
      <c r="G1560" s="107" t="s">
        <v>6</v>
      </c>
      <c r="H1560" s="133">
        <v>46085</v>
      </c>
      <c r="I1560" s="128">
        <v>0.37222222222222223</v>
      </c>
      <c r="J1560" s="117"/>
      <c r="K1560" s="117"/>
      <c r="L1560"/>
    </row>
    <row r="1561" spans="1:12">
      <c r="A1561" s="116" t="s">
        <v>1186</v>
      </c>
      <c r="B1561" s="117" t="s">
        <v>4775</v>
      </c>
      <c r="C1561" s="118" t="s">
        <v>1226</v>
      </c>
      <c r="D1561" s="119"/>
      <c r="E1561" s="120">
        <v>62955938</v>
      </c>
      <c r="F1561" s="117"/>
      <c r="G1561" s="107" t="s">
        <v>2</v>
      </c>
      <c r="H1561" s="133">
        <v>46085</v>
      </c>
      <c r="I1561" s="128">
        <v>0.37291666666666667</v>
      </c>
      <c r="J1561" s="117"/>
      <c r="K1561" s="117"/>
      <c r="L1561"/>
    </row>
    <row r="1562" spans="1:12">
      <c r="A1562" s="116" t="s">
        <v>1186</v>
      </c>
      <c r="B1562" s="117" t="s">
        <v>4775</v>
      </c>
      <c r="C1562" s="118" t="s">
        <v>1227</v>
      </c>
      <c r="D1562" s="119"/>
      <c r="E1562" s="120">
        <v>65425830</v>
      </c>
      <c r="F1562" s="117"/>
      <c r="G1562" s="107" t="s">
        <v>8</v>
      </c>
      <c r="H1562" s="133">
        <v>46085</v>
      </c>
      <c r="I1562" s="128">
        <v>0.37430555555555556</v>
      </c>
      <c r="J1562" s="117"/>
      <c r="K1562" s="117"/>
      <c r="L1562"/>
    </row>
    <row r="1563" spans="1:12">
      <c r="A1563" s="116" t="s">
        <v>1186</v>
      </c>
      <c r="B1563" s="117" t="s">
        <v>4775</v>
      </c>
      <c r="C1563" s="118" t="s">
        <v>1228</v>
      </c>
      <c r="D1563" s="119"/>
      <c r="E1563" s="120">
        <v>67312197</v>
      </c>
      <c r="F1563" s="117"/>
      <c r="G1563" s="107" t="s">
        <v>2</v>
      </c>
      <c r="H1563" s="133">
        <v>46085</v>
      </c>
      <c r="I1563" s="128">
        <v>0.375</v>
      </c>
      <c r="J1563" s="117"/>
      <c r="K1563" s="117"/>
      <c r="L1563"/>
    </row>
    <row r="1564" spans="1:12">
      <c r="A1564" s="116" t="s">
        <v>1186</v>
      </c>
      <c r="B1564" s="117" t="s">
        <v>4775</v>
      </c>
      <c r="C1564" s="118" t="s">
        <v>1229</v>
      </c>
      <c r="D1564" s="119"/>
      <c r="E1564" s="120">
        <v>66643237</v>
      </c>
      <c r="F1564" s="117"/>
      <c r="G1564" s="107" t="s">
        <v>8</v>
      </c>
      <c r="H1564" s="133">
        <v>46085</v>
      </c>
      <c r="I1564" s="128">
        <v>0.37777777777777777</v>
      </c>
      <c r="J1564" s="117"/>
      <c r="K1564" s="117"/>
      <c r="L1564"/>
    </row>
    <row r="1565" spans="1:12">
      <c r="A1565" s="116" t="s">
        <v>1186</v>
      </c>
      <c r="B1565" s="117" t="s">
        <v>4775</v>
      </c>
      <c r="C1565" s="118" t="s">
        <v>1230</v>
      </c>
      <c r="D1565" s="119"/>
      <c r="E1565" s="120">
        <v>67301700</v>
      </c>
      <c r="F1565" s="117"/>
      <c r="G1565" s="107" t="s">
        <v>2</v>
      </c>
      <c r="H1565" s="133">
        <v>46085</v>
      </c>
      <c r="I1565" s="128">
        <v>0.37777777777777777</v>
      </c>
      <c r="J1565" s="117"/>
      <c r="K1565" s="117"/>
      <c r="L1565"/>
    </row>
    <row r="1566" spans="1:12">
      <c r="A1566" s="116" t="s">
        <v>1186</v>
      </c>
      <c r="B1566" s="117" t="s">
        <v>4775</v>
      </c>
      <c r="C1566" s="118" t="s">
        <v>1231</v>
      </c>
      <c r="D1566" s="119"/>
      <c r="E1566" s="120">
        <v>7306885</v>
      </c>
      <c r="F1566" s="117"/>
      <c r="G1566" s="107" t="s">
        <v>6</v>
      </c>
      <c r="H1566" s="133">
        <v>46085</v>
      </c>
      <c r="I1566" s="128">
        <v>0.37847222222222221</v>
      </c>
      <c r="J1566" s="117"/>
      <c r="K1566" s="117"/>
      <c r="L1566"/>
    </row>
    <row r="1567" spans="1:12">
      <c r="A1567" s="116" t="s">
        <v>1186</v>
      </c>
      <c r="B1567" s="117" t="s">
        <v>4775</v>
      </c>
      <c r="C1567" s="118" t="s">
        <v>1232</v>
      </c>
      <c r="D1567" s="119"/>
      <c r="E1567" s="120">
        <v>7748508</v>
      </c>
      <c r="F1567" s="117"/>
      <c r="G1567" s="107" t="s">
        <v>4</v>
      </c>
      <c r="H1567" s="133">
        <v>46085</v>
      </c>
      <c r="I1567" s="128">
        <v>0.37986111111111109</v>
      </c>
      <c r="J1567" s="117"/>
      <c r="K1567" s="117"/>
      <c r="L1567"/>
    </row>
    <row r="1568" spans="1:12">
      <c r="A1568" s="116" t="s">
        <v>1186</v>
      </c>
      <c r="B1568" s="117" t="s">
        <v>4775</v>
      </c>
      <c r="C1568" s="118" t="s">
        <v>1233</v>
      </c>
      <c r="D1568" s="119"/>
      <c r="E1568" s="120">
        <v>66570182</v>
      </c>
      <c r="F1568" s="117"/>
      <c r="G1568" s="107" t="s">
        <v>2</v>
      </c>
      <c r="H1568" s="133">
        <v>46085</v>
      </c>
      <c r="I1568" s="128">
        <v>0.38055555555555554</v>
      </c>
      <c r="J1568" s="117"/>
      <c r="K1568" s="117"/>
      <c r="L1568"/>
    </row>
    <row r="1569" spans="1:12">
      <c r="A1569" s="116" t="s">
        <v>1186</v>
      </c>
      <c r="B1569" s="117" t="s">
        <v>4775</v>
      </c>
      <c r="C1569" s="118" t="s">
        <v>1234</v>
      </c>
      <c r="D1569" s="119"/>
      <c r="E1569" s="120">
        <v>65770051</v>
      </c>
      <c r="F1569" s="117"/>
      <c r="G1569" s="107" t="s">
        <v>6</v>
      </c>
      <c r="H1569" s="133">
        <v>46085</v>
      </c>
      <c r="I1569" s="128">
        <v>0.38124999999999998</v>
      </c>
      <c r="J1569" s="117"/>
      <c r="K1569" s="117"/>
      <c r="L1569"/>
    </row>
    <row r="1570" spans="1:12">
      <c r="A1570" s="116" t="s">
        <v>1186</v>
      </c>
      <c r="B1570" s="117" t="s">
        <v>4775</v>
      </c>
      <c r="C1570" s="118" t="s">
        <v>1235</v>
      </c>
      <c r="D1570" s="119"/>
      <c r="E1570" s="120">
        <v>63129944</v>
      </c>
      <c r="F1570" s="117"/>
      <c r="G1570" s="107" t="s">
        <v>2</v>
      </c>
      <c r="H1570" s="133">
        <v>46085</v>
      </c>
      <c r="I1570" s="128">
        <v>0.38124999999999998</v>
      </c>
      <c r="J1570" s="117"/>
      <c r="K1570" s="117"/>
      <c r="L1570"/>
    </row>
    <row r="1571" spans="1:12">
      <c r="A1571" s="116" t="s">
        <v>1186</v>
      </c>
      <c r="B1571" s="117" t="s">
        <v>4775</v>
      </c>
      <c r="C1571" s="118" t="s">
        <v>1236</v>
      </c>
      <c r="D1571" s="119"/>
      <c r="E1571" s="120">
        <v>62049889</v>
      </c>
      <c r="F1571" s="117"/>
      <c r="G1571" s="107" t="s">
        <v>2</v>
      </c>
      <c r="H1571" s="133">
        <v>46085</v>
      </c>
      <c r="I1571" s="128">
        <v>0.38194444444444442</v>
      </c>
      <c r="J1571" s="117"/>
      <c r="K1571" s="117"/>
      <c r="L1571"/>
    </row>
    <row r="1572" spans="1:12">
      <c r="A1572" s="116" t="s">
        <v>1186</v>
      </c>
      <c r="B1572" s="117" t="s">
        <v>4775</v>
      </c>
      <c r="C1572" s="118" t="s">
        <v>1237</v>
      </c>
      <c r="D1572" s="119"/>
      <c r="E1572" s="120">
        <v>67111689</v>
      </c>
      <c r="F1572" s="117"/>
      <c r="G1572" s="107" t="s">
        <v>3</v>
      </c>
      <c r="H1572" s="133">
        <v>46085</v>
      </c>
      <c r="I1572" s="128">
        <v>0.38333333333333336</v>
      </c>
      <c r="J1572" s="117"/>
      <c r="K1572" s="117"/>
      <c r="L1572"/>
    </row>
    <row r="1573" spans="1:12">
      <c r="A1573" s="116" t="s">
        <v>1186</v>
      </c>
      <c r="B1573" s="117" t="s">
        <v>4775</v>
      </c>
      <c r="C1573" s="118" t="s">
        <v>1238</v>
      </c>
      <c r="D1573" s="119"/>
      <c r="E1573" s="120">
        <v>64434703</v>
      </c>
      <c r="F1573" s="117"/>
      <c r="G1573" s="107" t="s">
        <v>2</v>
      </c>
      <c r="H1573" s="133">
        <v>46085</v>
      </c>
      <c r="I1573" s="128">
        <v>0.3840277777777778</v>
      </c>
      <c r="J1573" s="117"/>
      <c r="K1573" s="117"/>
      <c r="L1573"/>
    </row>
    <row r="1574" spans="1:12">
      <c r="A1574" s="116" t="s">
        <v>1186</v>
      </c>
      <c r="B1574" s="117" t="s">
        <v>4775</v>
      </c>
      <c r="C1574" s="118" t="s">
        <v>1239</v>
      </c>
      <c r="D1574" s="119"/>
      <c r="E1574" s="120">
        <v>63542117</v>
      </c>
      <c r="F1574" s="117"/>
      <c r="G1574" s="107" t="s">
        <v>2</v>
      </c>
      <c r="H1574" s="133">
        <v>46085</v>
      </c>
      <c r="I1574" s="128">
        <v>0.38472222222222224</v>
      </c>
      <c r="J1574" s="117"/>
      <c r="K1574" s="117"/>
      <c r="L1574"/>
    </row>
    <row r="1575" spans="1:12">
      <c r="A1575" s="116" t="s">
        <v>1186</v>
      </c>
      <c r="B1575" s="117" t="s">
        <v>4775</v>
      </c>
      <c r="C1575" s="118" t="s">
        <v>1240</v>
      </c>
      <c r="D1575" s="119"/>
      <c r="E1575" s="120">
        <v>68110598</v>
      </c>
      <c r="F1575" s="117"/>
      <c r="G1575" s="107" t="s">
        <v>8</v>
      </c>
      <c r="H1575" s="133">
        <v>46085</v>
      </c>
      <c r="I1575" s="128">
        <v>0.38611111111111113</v>
      </c>
      <c r="J1575" s="117"/>
      <c r="K1575" s="117"/>
      <c r="L1575"/>
    </row>
    <row r="1576" spans="1:12">
      <c r="A1576" s="116" t="s">
        <v>1186</v>
      </c>
      <c r="B1576" s="117" t="s">
        <v>4775</v>
      </c>
      <c r="C1576" s="118" t="s">
        <v>1241</v>
      </c>
      <c r="D1576" s="119"/>
      <c r="E1576" s="120">
        <v>7760203</v>
      </c>
      <c r="F1576" s="117"/>
      <c r="G1576" s="107" t="s">
        <v>9</v>
      </c>
      <c r="H1576" s="133">
        <v>46085</v>
      </c>
      <c r="I1576" s="128">
        <v>0.39027777777777778</v>
      </c>
      <c r="J1576" s="117"/>
      <c r="K1576" s="117"/>
      <c r="L1576"/>
    </row>
    <row r="1577" spans="1:12">
      <c r="A1577" s="116" t="s">
        <v>1186</v>
      </c>
      <c r="B1577" s="117" t="s">
        <v>4775</v>
      </c>
      <c r="C1577" s="118" t="s">
        <v>1242</v>
      </c>
      <c r="D1577" s="119"/>
      <c r="E1577" s="120">
        <v>7305735</v>
      </c>
      <c r="F1577" s="117"/>
      <c r="G1577" s="107" t="s">
        <v>6</v>
      </c>
      <c r="H1577" s="133">
        <v>46085</v>
      </c>
      <c r="I1577" s="128">
        <v>0.39097222222222222</v>
      </c>
      <c r="J1577" s="117"/>
      <c r="K1577" s="117"/>
      <c r="L1577"/>
    </row>
    <row r="1578" spans="1:12">
      <c r="A1578" s="116" t="s">
        <v>1186</v>
      </c>
      <c r="B1578" s="117" t="s">
        <v>4775</v>
      </c>
      <c r="C1578" s="118" t="s">
        <v>1243</v>
      </c>
      <c r="D1578" s="119"/>
      <c r="E1578" s="120">
        <v>7753373</v>
      </c>
      <c r="F1578" s="117"/>
      <c r="G1578" s="107" t="s">
        <v>9</v>
      </c>
      <c r="H1578" s="133">
        <v>46085</v>
      </c>
      <c r="I1578" s="128">
        <v>0.39305555555555555</v>
      </c>
      <c r="J1578" s="117"/>
      <c r="K1578" s="117"/>
      <c r="L1578"/>
    </row>
    <row r="1579" spans="1:12">
      <c r="A1579" s="116" t="s">
        <v>1186</v>
      </c>
      <c r="B1579" s="117" t="s">
        <v>4775</v>
      </c>
      <c r="C1579" s="118" t="s">
        <v>1244</v>
      </c>
      <c r="D1579" s="119"/>
      <c r="E1579" s="120">
        <v>65726994</v>
      </c>
      <c r="F1579" s="117"/>
      <c r="G1579" s="107" t="s">
        <v>1</v>
      </c>
      <c r="H1579" s="133">
        <v>46085</v>
      </c>
      <c r="I1579" s="128">
        <v>0.39444444444444443</v>
      </c>
      <c r="J1579" s="117"/>
      <c r="K1579" s="117"/>
      <c r="L1579"/>
    </row>
    <row r="1580" spans="1:12">
      <c r="A1580" s="116" t="s">
        <v>1186</v>
      </c>
      <c r="B1580" s="117" t="s">
        <v>4775</v>
      </c>
      <c r="C1580" s="118" t="s">
        <v>1245</v>
      </c>
      <c r="D1580" s="119"/>
      <c r="E1580" s="120">
        <v>66468825</v>
      </c>
      <c r="F1580" s="117"/>
      <c r="G1580" s="107" t="s">
        <v>2</v>
      </c>
      <c r="H1580" s="133">
        <v>46085</v>
      </c>
      <c r="I1580" s="128">
        <v>0.39513888888888887</v>
      </c>
      <c r="J1580" s="117"/>
      <c r="K1580" s="117"/>
      <c r="L1580"/>
    </row>
    <row r="1581" spans="1:12">
      <c r="A1581" s="116" t="s">
        <v>1186</v>
      </c>
      <c r="B1581" s="117" t="s">
        <v>4775</v>
      </c>
      <c r="C1581" s="118" t="s">
        <v>1246</v>
      </c>
      <c r="D1581" s="119"/>
      <c r="E1581" s="120">
        <v>68755758</v>
      </c>
      <c r="F1581" s="117"/>
      <c r="G1581" s="107" t="s">
        <v>3</v>
      </c>
      <c r="H1581" s="133">
        <v>46085</v>
      </c>
      <c r="I1581" s="128">
        <v>0.39652777777777776</v>
      </c>
      <c r="J1581" s="117"/>
      <c r="K1581" s="117"/>
      <c r="L1581"/>
    </row>
    <row r="1582" spans="1:12">
      <c r="A1582" s="116" t="s">
        <v>1186</v>
      </c>
      <c r="B1582" s="117" t="s">
        <v>4775</v>
      </c>
      <c r="C1582" s="118" t="s">
        <v>1247</v>
      </c>
      <c r="D1582" s="119"/>
      <c r="E1582" s="120">
        <v>62870941</v>
      </c>
      <c r="F1582" s="117"/>
      <c r="G1582" s="107" t="s">
        <v>6</v>
      </c>
      <c r="H1582" s="133">
        <v>46085</v>
      </c>
      <c r="I1582" s="128">
        <v>0.3972222222222222</v>
      </c>
      <c r="J1582" s="117"/>
      <c r="K1582" s="117"/>
      <c r="L1582"/>
    </row>
    <row r="1583" spans="1:12">
      <c r="A1583" s="116" t="s">
        <v>1186</v>
      </c>
      <c r="B1583" s="117" t="s">
        <v>4775</v>
      </c>
      <c r="C1583" s="118" t="s">
        <v>1248</v>
      </c>
      <c r="D1583" s="119"/>
      <c r="E1583" s="120">
        <v>68134589</v>
      </c>
      <c r="F1583" s="117"/>
      <c r="G1583" s="107" t="s">
        <v>6</v>
      </c>
      <c r="H1583" s="133">
        <v>46085</v>
      </c>
      <c r="I1583" s="128">
        <v>0.39791666666666664</v>
      </c>
      <c r="J1583" s="117"/>
      <c r="K1583" s="117"/>
      <c r="L1583"/>
    </row>
    <row r="1584" spans="1:12">
      <c r="A1584" s="116" t="s">
        <v>1186</v>
      </c>
      <c r="B1584" s="117" t="s">
        <v>4775</v>
      </c>
      <c r="C1584" s="118" t="s">
        <v>1249</v>
      </c>
      <c r="D1584" s="119"/>
      <c r="E1584" s="120">
        <v>68681604</v>
      </c>
      <c r="F1584" s="117"/>
      <c r="G1584" s="107" t="s">
        <v>4</v>
      </c>
      <c r="H1584" s="133">
        <v>46085</v>
      </c>
      <c r="I1584" s="128">
        <v>0.39861111111111114</v>
      </c>
      <c r="J1584" s="117"/>
      <c r="K1584" s="117"/>
      <c r="L1584"/>
    </row>
    <row r="1585" spans="1:12">
      <c r="A1585" s="116" t="s">
        <v>1186</v>
      </c>
      <c r="B1585" s="117" t="s">
        <v>4775</v>
      </c>
      <c r="C1585" s="118" t="s">
        <v>1250</v>
      </c>
      <c r="D1585" s="119"/>
      <c r="E1585" s="120">
        <v>64653327</v>
      </c>
      <c r="F1585" s="117"/>
      <c r="G1585" s="107" t="s">
        <v>2</v>
      </c>
      <c r="H1585" s="133">
        <v>46085</v>
      </c>
      <c r="I1585" s="128">
        <v>0.4</v>
      </c>
      <c r="J1585" s="117"/>
      <c r="K1585" s="117"/>
      <c r="L1585"/>
    </row>
    <row r="1586" spans="1:12">
      <c r="A1586" s="116" t="s">
        <v>1186</v>
      </c>
      <c r="B1586" s="117" t="s">
        <v>4775</v>
      </c>
      <c r="C1586" s="118" t="s">
        <v>1251</v>
      </c>
      <c r="D1586" s="119"/>
      <c r="E1586" s="120">
        <v>68240457</v>
      </c>
      <c r="F1586" s="117"/>
      <c r="G1586" s="107" t="s">
        <v>2</v>
      </c>
      <c r="H1586" s="133">
        <v>46085</v>
      </c>
      <c r="I1586" s="128">
        <v>0.4</v>
      </c>
      <c r="J1586" s="117"/>
      <c r="K1586" s="117"/>
      <c r="L1586"/>
    </row>
    <row r="1587" spans="1:12">
      <c r="A1587" s="116" t="s">
        <v>1186</v>
      </c>
      <c r="B1587" s="117" t="s">
        <v>4775</v>
      </c>
      <c r="C1587" s="118" t="s">
        <v>1252</v>
      </c>
      <c r="D1587" s="119"/>
      <c r="E1587" s="120">
        <v>67603692</v>
      </c>
      <c r="F1587" s="117"/>
      <c r="G1587" s="107" t="s">
        <v>1</v>
      </c>
      <c r="H1587" s="133">
        <v>46085</v>
      </c>
      <c r="I1587" s="128">
        <v>0.40138888888888891</v>
      </c>
      <c r="J1587" s="117"/>
      <c r="K1587" s="117"/>
      <c r="L1587"/>
    </row>
    <row r="1588" spans="1:12">
      <c r="A1588" s="116" t="s">
        <v>1186</v>
      </c>
      <c r="B1588" s="117" t="s">
        <v>4775</v>
      </c>
      <c r="C1588" s="118" t="s">
        <v>1253</v>
      </c>
      <c r="D1588" s="119"/>
      <c r="E1588" s="120">
        <v>62088334</v>
      </c>
      <c r="F1588" s="117"/>
      <c r="G1588" s="107" t="s">
        <v>2</v>
      </c>
      <c r="H1588" s="133">
        <v>46085</v>
      </c>
      <c r="I1588" s="128">
        <v>0.40208333333333335</v>
      </c>
      <c r="J1588" s="117"/>
      <c r="K1588" s="117"/>
      <c r="L1588"/>
    </row>
    <row r="1589" spans="1:12">
      <c r="A1589" s="116" t="s">
        <v>1186</v>
      </c>
      <c r="B1589" s="117" t="s">
        <v>4775</v>
      </c>
      <c r="C1589" s="118" t="s">
        <v>1254</v>
      </c>
      <c r="D1589" s="119"/>
      <c r="E1589" s="120">
        <v>66494382</v>
      </c>
      <c r="F1589" s="117"/>
      <c r="G1589" s="107" t="s">
        <v>2</v>
      </c>
      <c r="H1589" s="133">
        <v>46085</v>
      </c>
      <c r="I1589" s="128">
        <v>0.40277777777777779</v>
      </c>
      <c r="J1589" s="117"/>
      <c r="K1589" s="117"/>
      <c r="L1589"/>
    </row>
    <row r="1590" spans="1:12">
      <c r="A1590" s="116" t="s">
        <v>1186</v>
      </c>
      <c r="B1590" s="117" t="s">
        <v>4775</v>
      </c>
      <c r="C1590" s="118" t="s">
        <v>1255</v>
      </c>
      <c r="D1590" s="119"/>
      <c r="E1590" s="120">
        <v>67979671</v>
      </c>
      <c r="F1590" s="117"/>
      <c r="G1590" s="107" t="s">
        <v>6</v>
      </c>
      <c r="H1590" s="133">
        <v>46085</v>
      </c>
      <c r="I1590" s="128">
        <v>0.40347222222222223</v>
      </c>
      <c r="J1590" s="117"/>
      <c r="K1590" s="117"/>
      <c r="L1590"/>
    </row>
    <row r="1591" spans="1:12">
      <c r="A1591" s="116" t="s">
        <v>1186</v>
      </c>
      <c r="B1591" s="117" t="s">
        <v>4775</v>
      </c>
      <c r="C1591" s="118" t="s">
        <v>1256</v>
      </c>
      <c r="D1591" s="119"/>
      <c r="E1591" s="120">
        <v>66409692</v>
      </c>
      <c r="F1591" s="117"/>
      <c r="G1591" s="107" t="s">
        <v>2</v>
      </c>
      <c r="H1591" s="133">
        <v>46085</v>
      </c>
      <c r="I1591" s="128">
        <v>0.40347222222222223</v>
      </c>
      <c r="J1591" s="117"/>
      <c r="K1591" s="117"/>
      <c r="L1591"/>
    </row>
    <row r="1592" spans="1:12">
      <c r="A1592" s="116" t="s">
        <v>1186</v>
      </c>
      <c r="B1592" s="117" t="s">
        <v>4775</v>
      </c>
      <c r="C1592" s="118" t="s">
        <v>1257</v>
      </c>
      <c r="D1592" s="119"/>
      <c r="E1592" s="120">
        <v>7308986</v>
      </c>
      <c r="F1592" s="117"/>
      <c r="G1592" s="107" t="s">
        <v>6</v>
      </c>
      <c r="H1592" s="133">
        <v>46085</v>
      </c>
      <c r="I1592" s="128">
        <v>0.40486111111111112</v>
      </c>
      <c r="J1592" s="117"/>
      <c r="K1592" s="117"/>
      <c r="L1592"/>
    </row>
    <row r="1593" spans="1:12">
      <c r="A1593" s="116" t="s">
        <v>1186</v>
      </c>
      <c r="B1593" s="117" t="s">
        <v>4775</v>
      </c>
      <c r="C1593" s="118" t="s">
        <v>1258</v>
      </c>
      <c r="D1593" s="119"/>
      <c r="E1593" s="120">
        <v>63849822</v>
      </c>
      <c r="F1593" s="117"/>
      <c r="G1593" s="107" t="s">
        <v>6</v>
      </c>
      <c r="H1593" s="133">
        <v>46085</v>
      </c>
      <c r="I1593" s="128">
        <v>0.40555555555555556</v>
      </c>
      <c r="J1593" s="117"/>
      <c r="K1593" s="117"/>
      <c r="L1593"/>
    </row>
    <row r="1594" spans="1:12">
      <c r="A1594" s="116" t="s">
        <v>1186</v>
      </c>
      <c r="B1594" s="117" t="s">
        <v>4775</v>
      </c>
      <c r="C1594" s="118" t="s">
        <v>1259</v>
      </c>
      <c r="D1594" s="119"/>
      <c r="E1594" s="120">
        <v>67091825</v>
      </c>
      <c r="F1594" s="117"/>
      <c r="G1594" s="107" t="s">
        <v>4</v>
      </c>
      <c r="H1594" s="133">
        <v>46085</v>
      </c>
      <c r="I1594" s="128">
        <v>0.40625</v>
      </c>
      <c r="J1594" s="117"/>
      <c r="K1594" s="117"/>
      <c r="L1594"/>
    </row>
    <row r="1595" spans="1:12">
      <c r="A1595" s="116" t="s">
        <v>1186</v>
      </c>
      <c r="B1595" s="117" t="s">
        <v>4775</v>
      </c>
      <c r="C1595" s="118" t="s">
        <v>1260</v>
      </c>
      <c r="D1595" s="119"/>
      <c r="E1595" s="120">
        <v>64283168</v>
      </c>
      <c r="F1595" s="117"/>
      <c r="G1595" s="107" t="s">
        <v>1</v>
      </c>
      <c r="H1595" s="133">
        <v>46085</v>
      </c>
      <c r="I1595" s="128">
        <v>0.40763888888888888</v>
      </c>
      <c r="J1595" s="117"/>
      <c r="K1595" s="117"/>
      <c r="L1595"/>
    </row>
    <row r="1596" spans="1:12">
      <c r="A1596" s="116" t="s">
        <v>1186</v>
      </c>
      <c r="B1596" s="117" t="s">
        <v>4775</v>
      </c>
      <c r="C1596" s="118" t="s">
        <v>1261</v>
      </c>
      <c r="D1596" s="119"/>
      <c r="E1596" s="120">
        <v>65412182</v>
      </c>
      <c r="F1596" s="117"/>
      <c r="G1596" s="107" t="s">
        <v>6</v>
      </c>
      <c r="H1596" s="133">
        <v>46085</v>
      </c>
      <c r="I1596" s="128">
        <v>0.40902777777777777</v>
      </c>
      <c r="J1596" s="117"/>
      <c r="K1596" s="117"/>
      <c r="L1596"/>
    </row>
    <row r="1597" spans="1:12">
      <c r="A1597" s="116" t="s">
        <v>1186</v>
      </c>
      <c r="B1597" s="117" t="s">
        <v>4775</v>
      </c>
      <c r="C1597" s="118" t="s">
        <v>1262</v>
      </c>
      <c r="D1597" s="119"/>
      <c r="E1597" s="120">
        <v>68228605</v>
      </c>
      <c r="F1597" s="117"/>
      <c r="G1597" s="107" t="s">
        <v>2</v>
      </c>
      <c r="H1597" s="133">
        <v>46085</v>
      </c>
      <c r="I1597" s="128">
        <v>0.41180555555555554</v>
      </c>
      <c r="J1597" s="117"/>
      <c r="K1597" s="117"/>
      <c r="L1597"/>
    </row>
    <row r="1598" spans="1:12">
      <c r="A1598" s="116" t="s">
        <v>1186</v>
      </c>
      <c r="B1598" s="117" t="s">
        <v>4775</v>
      </c>
      <c r="C1598" s="118" t="s">
        <v>1263</v>
      </c>
      <c r="D1598" s="119"/>
      <c r="E1598" s="120">
        <v>68564719</v>
      </c>
      <c r="F1598" s="117"/>
      <c r="G1598" s="107" t="s">
        <v>2</v>
      </c>
      <c r="H1598" s="133">
        <v>46085</v>
      </c>
      <c r="I1598" s="128">
        <v>0.41249999999999998</v>
      </c>
      <c r="J1598" s="117"/>
      <c r="K1598" s="117"/>
      <c r="L1598"/>
    </row>
    <row r="1599" spans="1:12">
      <c r="A1599" s="116" t="s">
        <v>1186</v>
      </c>
      <c r="B1599" s="117" t="s">
        <v>4775</v>
      </c>
      <c r="C1599" s="118" t="s">
        <v>1264</v>
      </c>
      <c r="D1599" s="119"/>
      <c r="E1599" s="120">
        <v>65207716</v>
      </c>
      <c r="F1599" s="117"/>
      <c r="G1599" s="107" t="s">
        <v>8</v>
      </c>
      <c r="H1599" s="133">
        <v>46085</v>
      </c>
      <c r="I1599" s="128">
        <v>0.41388888888888886</v>
      </c>
      <c r="J1599" s="117"/>
      <c r="K1599" s="117"/>
      <c r="L1599"/>
    </row>
    <row r="1600" spans="1:12">
      <c r="A1600" s="116" t="s">
        <v>1186</v>
      </c>
      <c r="B1600" s="117" t="s">
        <v>4775</v>
      </c>
      <c r="C1600" s="118" t="s">
        <v>1265</v>
      </c>
      <c r="D1600" s="119"/>
      <c r="E1600" s="120">
        <v>64909993</v>
      </c>
      <c r="F1600" s="117"/>
      <c r="G1600" s="107" t="s">
        <v>1</v>
      </c>
      <c r="H1600" s="133">
        <v>46085</v>
      </c>
      <c r="I1600" s="128">
        <v>0.4152777777777778</v>
      </c>
      <c r="J1600" s="117"/>
      <c r="K1600" s="117"/>
      <c r="L1600"/>
    </row>
    <row r="1601" spans="1:12">
      <c r="A1601" s="116" t="s">
        <v>1186</v>
      </c>
      <c r="B1601" s="117" t="s">
        <v>4775</v>
      </c>
      <c r="C1601" s="118" t="s">
        <v>1266</v>
      </c>
      <c r="D1601" s="119"/>
      <c r="E1601" s="120">
        <v>64881595</v>
      </c>
      <c r="F1601" s="117"/>
      <c r="G1601" s="107" t="s">
        <v>1</v>
      </c>
      <c r="H1601" s="133">
        <v>46085</v>
      </c>
      <c r="I1601" s="128">
        <v>0.41666666666666669</v>
      </c>
      <c r="J1601" s="117"/>
      <c r="K1601" s="117"/>
      <c r="L1601"/>
    </row>
    <row r="1602" spans="1:12">
      <c r="A1602" s="116" t="s">
        <v>1186</v>
      </c>
      <c r="B1602" s="117" t="s">
        <v>4775</v>
      </c>
      <c r="C1602" s="118" t="s">
        <v>1267</v>
      </c>
      <c r="D1602" s="119"/>
      <c r="E1602" s="120">
        <v>69243453</v>
      </c>
      <c r="F1602" s="117"/>
      <c r="G1602" s="107" t="s">
        <v>1</v>
      </c>
      <c r="H1602" s="133">
        <v>46085</v>
      </c>
      <c r="I1602" s="128">
        <v>0.42638888888888887</v>
      </c>
      <c r="J1602" s="117"/>
      <c r="K1602" s="117"/>
      <c r="L1602"/>
    </row>
    <row r="1603" spans="1:12">
      <c r="A1603" s="116" t="s">
        <v>1186</v>
      </c>
      <c r="B1603" s="117" t="s">
        <v>4775</v>
      </c>
      <c r="C1603" s="118" t="s">
        <v>1268</v>
      </c>
      <c r="D1603" s="119"/>
      <c r="E1603" s="120">
        <v>7222064</v>
      </c>
      <c r="F1603" s="117"/>
      <c r="G1603" s="107" t="s">
        <v>9</v>
      </c>
      <c r="H1603" s="133">
        <v>46085</v>
      </c>
      <c r="I1603" s="128">
        <v>0.42916666666666664</v>
      </c>
      <c r="J1603" s="117"/>
      <c r="K1603" s="117"/>
      <c r="L1603"/>
    </row>
    <row r="1604" spans="1:12">
      <c r="A1604" s="116" t="s">
        <v>1186</v>
      </c>
      <c r="B1604" s="117" t="s">
        <v>4775</v>
      </c>
      <c r="C1604" s="118" t="s">
        <v>1269</v>
      </c>
      <c r="D1604" s="119"/>
      <c r="E1604" s="120">
        <v>67819293</v>
      </c>
      <c r="F1604" s="117"/>
      <c r="G1604" s="107" t="s">
        <v>2</v>
      </c>
      <c r="H1604" s="133">
        <v>46085</v>
      </c>
      <c r="I1604" s="128">
        <v>0.42986111111111114</v>
      </c>
      <c r="J1604" s="117"/>
      <c r="K1604" s="117"/>
      <c r="L1604"/>
    </row>
    <row r="1605" spans="1:12">
      <c r="A1605" s="116" t="s">
        <v>1186</v>
      </c>
      <c r="B1605" s="117" t="s">
        <v>4775</v>
      </c>
      <c r="C1605" s="118" t="s">
        <v>1270</v>
      </c>
      <c r="D1605" s="119"/>
      <c r="E1605" s="120">
        <v>69298666</v>
      </c>
      <c r="F1605" s="117"/>
      <c r="G1605" s="107" t="s">
        <v>6</v>
      </c>
      <c r="H1605" s="133">
        <v>46085</v>
      </c>
      <c r="I1605" s="128">
        <v>0.43055555555555558</v>
      </c>
      <c r="J1605" s="117"/>
      <c r="K1605" s="117"/>
      <c r="L1605"/>
    </row>
    <row r="1606" spans="1:12">
      <c r="A1606" s="116" t="s">
        <v>1186</v>
      </c>
      <c r="B1606" s="117" t="s">
        <v>4775</v>
      </c>
      <c r="C1606" s="118" t="s">
        <v>1271</v>
      </c>
      <c r="D1606" s="119"/>
      <c r="E1606" s="120">
        <v>62429583</v>
      </c>
      <c r="F1606" s="117"/>
      <c r="G1606" s="107" t="s">
        <v>9</v>
      </c>
      <c r="H1606" s="133">
        <v>46085</v>
      </c>
      <c r="I1606" s="128"/>
      <c r="J1606" s="117"/>
      <c r="K1606" s="117"/>
      <c r="L1606"/>
    </row>
    <row r="1607" spans="1:12">
      <c r="A1607" s="116" t="s">
        <v>1186</v>
      </c>
      <c r="B1607" s="117" t="s">
        <v>4775</v>
      </c>
      <c r="C1607" s="118" t="s">
        <v>1272</v>
      </c>
      <c r="D1607" s="119"/>
      <c r="E1607" s="120">
        <v>67983126</v>
      </c>
      <c r="F1607" s="117"/>
      <c r="G1607" s="107" t="s">
        <v>8</v>
      </c>
      <c r="H1607" s="133">
        <v>46085</v>
      </c>
      <c r="I1607" s="128">
        <v>0.43263888888888891</v>
      </c>
      <c r="J1607" s="117"/>
      <c r="K1607" s="117"/>
      <c r="L1607"/>
    </row>
    <row r="1608" spans="1:12">
      <c r="A1608" s="116" t="s">
        <v>1186</v>
      </c>
      <c r="B1608" s="117" t="s">
        <v>4775</v>
      </c>
      <c r="C1608" s="118" t="s">
        <v>1273</v>
      </c>
      <c r="D1608" s="119"/>
      <c r="E1608" s="120">
        <v>69417160</v>
      </c>
      <c r="F1608" s="117"/>
      <c r="G1608" s="107" t="s">
        <v>9</v>
      </c>
      <c r="H1608" s="133">
        <v>46085</v>
      </c>
      <c r="I1608" s="128">
        <v>0.43402777777777779</v>
      </c>
      <c r="J1608" s="117"/>
      <c r="K1608" s="117"/>
      <c r="L1608"/>
    </row>
    <row r="1609" spans="1:12">
      <c r="A1609" s="116" t="s">
        <v>1186</v>
      </c>
      <c r="B1609" s="117" t="s">
        <v>4775</v>
      </c>
      <c r="C1609" s="118" t="s">
        <v>1274</v>
      </c>
      <c r="D1609" s="119"/>
      <c r="E1609" s="120">
        <v>66266516</v>
      </c>
      <c r="F1609" s="117"/>
      <c r="G1609" s="107" t="s">
        <v>2</v>
      </c>
      <c r="H1609" s="133">
        <v>46085</v>
      </c>
      <c r="I1609" s="128">
        <v>0.43472222222222223</v>
      </c>
      <c r="J1609" s="117"/>
      <c r="K1609" s="117"/>
      <c r="L1609"/>
    </row>
    <row r="1610" spans="1:12">
      <c r="A1610" s="116" t="s">
        <v>1186</v>
      </c>
      <c r="B1610" s="117" t="s">
        <v>4781</v>
      </c>
      <c r="C1610" s="118" t="s">
        <v>1275</v>
      </c>
      <c r="D1610" s="119"/>
      <c r="E1610" s="120">
        <v>69874830</v>
      </c>
      <c r="F1610" s="117"/>
      <c r="G1610" s="107" t="s">
        <v>2</v>
      </c>
      <c r="H1610" s="133">
        <v>46084</v>
      </c>
      <c r="I1610" s="128">
        <v>0.61597222222222225</v>
      </c>
      <c r="J1610" s="117"/>
      <c r="K1610" s="117"/>
      <c r="L1610"/>
    </row>
    <row r="1611" spans="1:12">
      <c r="A1611" s="116" t="s">
        <v>1186</v>
      </c>
      <c r="B1611" s="117" t="s">
        <v>4782</v>
      </c>
      <c r="C1611" s="118" t="s">
        <v>1276</v>
      </c>
      <c r="D1611" s="119"/>
      <c r="E1611" s="120">
        <v>68128891</v>
      </c>
      <c r="F1611" s="117"/>
      <c r="G1611" s="107" t="s">
        <v>6</v>
      </c>
      <c r="H1611" s="133">
        <v>46084</v>
      </c>
      <c r="I1611" s="128">
        <v>0.6166666666666667</v>
      </c>
      <c r="J1611" s="117"/>
      <c r="K1611" s="117"/>
      <c r="L1611"/>
    </row>
    <row r="1612" spans="1:12">
      <c r="A1612" s="116" t="s">
        <v>1186</v>
      </c>
      <c r="B1612" s="117" t="s">
        <v>4782</v>
      </c>
      <c r="C1612" s="118" t="s">
        <v>1277</v>
      </c>
      <c r="D1612" s="119"/>
      <c r="E1612" s="120">
        <v>63950234</v>
      </c>
      <c r="F1612" s="117"/>
      <c r="G1612" s="107" t="s">
        <v>6</v>
      </c>
      <c r="H1612" s="133">
        <v>46084</v>
      </c>
      <c r="I1612" s="128">
        <v>0.61736111111111114</v>
      </c>
      <c r="J1612" s="117"/>
      <c r="K1612" s="117"/>
      <c r="L1612"/>
    </row>
    <row r="1613" spans="1:12">
      <c r="A1613" s="116" t="s">
        <v>1186</v>
      </c>
      <c r="B1613" s="117" t="s">
        <v>4782</v>
      </c>
      <c r="C1613" s="118" t="s">
        <v>1278</v>
      </c>
      <c r="D1613" s="119"/>
      <c r="E1613" s="120">
        <v>65249395</v>
      </c>
      <c r="F1613" s="117"/>
      <c r="G1613" s="107" t="s">
        <v>6</v>
      </c>
      <c r="H1613" s="133">
        <v>46084</v>
      </c>
      <c r="I1613" s="128">
        <v>0.61805555555555558</v>
      </c>
      <c r="J1613" s="117"/>
      <c r="K1613" s="117"/>
      <c r="L1613"/>
    </row>
    <row r="1614" spans="1:12">
      <c r="A1614" s="116" t="s">
        <v>1186</v>
      </c>
      <c r="B1614" s="117" t="s">
        <v>4782</v>
      </c>
      <c r="C1614" s="118" t="s">
        <v>1279</v>
      </c>
      <c r="D1614" s="119"/>
      <c r="E1614" s="120">
        <v>67344173</v>
      </c>
      <c r="F1614" s="117"/>
      <c r="G1614" s="107" t="s">
        <v>3</v>
      </c>
      <c r="H1614" s="133">
        <v>46084</v>
      </c>
      <c r="I1614" s="128">
        <v>0.61944444444444446</v>
      </c>
      <c r="J1614" s="117"/>
      <c r="K1614" s="117"/>
      <c r="L1614"/>
    </row>
    <row r="1615" spans="1:12">
      <c r="A1615" s="116" t="s">
        <v>1186</v>
      </c>
      <c r="B1615" s="117" t="s">
        <v>4782</v>
      </c>
      <c r="C1615" s="118" t="s">
        <v>1280</v>
      </c>
      <c r="D1615" s="119"/>
      <c r="E1615" s="120">
        <v>7204860</v>
      </c>
      <c r="F1615" s="117"/>
      <c r="G1615" s="107" t="s">
        <v>6</v>
      </c>
      <c r="H1615" s="133">
        <v>46084</v>
      </c>
      <c r="I1615" s="128">
        <v>0.11944444444444445</v>
      </c>
      <c r="J1615" s="117"/>
      <c r="K1615" s="117"/>
      <c r="L1615"/>
    </row>
    <row r="1616" spans="1:12">
      <c r="A1616" s="116" t="s">
        <v>1186</v>
      </c>
      <c r="B1616" s="117" t="s">
        <v>4782</v>
      </c>
      <c r="C1616" s="118" t="s">
        <v>1281</v>
      </c>
      <c r="D1616" s="119"/>
      <c r="E1616" s="120">
        <v>7769144</v>
      </c>
      <c r="F1616" s="117"/>
      <c r="G1616" s="107" t="s">
        <v>6</v>
      </c>
      <c r="H1616" s="133">
        <v>46084</v>
      </c>
      <c r="I1616" s="128">
        <v>0.62013888888888891</v>
      </c>
      <c r="J1616" s="117"/>
      <c r="K1616" s="117"/>
      <c r="L1616"/>
    </row>
    <row r="1617" spans="1:12">
      <c r="A1617" s="116" t="s">
        <v>1186</v>
      </c>
      <c r="B1617" s="117" t="s">
        <v>4782</v>
      </c>
      <c r="C1617" s="118" t="s">
        <v>1282</v>
      </c>
      <c r="D1617" s="119"/>
      <c r="E1617" s="120">
        <v>67976494</v>
      </c>
      <c r="F1617" s="117"/>
      <c r="G1617" s="107" t="s">
        <v>4</v>
      </c>
      <c r="H1617" s="133">
        <v>46084</v>
      </c>
      <c r="I1617" s="128">
        <v>0.62013888888888891</v>
      </c>
      <c r="J1617" s="117"/>
      <c r="K1617" s="117"/>
      <c r="L1617"/>
    </row>
    <row r="1618" spans="1:12">
      <c r="A1618" s="116" t="s">
        <v>1186</v>
      </c>
      <c r="B1618" s="117" t="s">
        <v>4782</v>
      </c>
      <c r="C1618" s="118" t="s">
        <v>1283</v>
      </c>
      <c r="D1618" s="119"/>
      <c r="E1618" s="120">
        <v>67562176</v>
      </c>
      <c r="F1618" s="117"/>
      <c r="G1618" s="107" t="s">
        <v>2</v>
      </c>
      <c r="H1618" s="133">
        <v>46084</v>
      </c>
      <c r="I1618" s="128">
        <v>0.62083333333333335</v>
      </c>
      <c r="J1618" s="117"/>
      <c r="K1618" s="117"/>
      <c r="L1618"/>
    </row>
    <row r="1619" spans="1:12">
      <c r="A1619" s="116" t="s">
        <v>1186</v>
      </c>
      <c r="B1619" s="117" t="s">
        <v>4782</v>
      </c>
      <c r="C1619" s="118" t="s">
        <v>1284</v>
      </c>
      <c r="D1619" s="119"/>
      <c r="E1619" s="120">
        <v>67056397</v>
      </c>
      <c r="F1619" s="117"/>
      <c r="G1619" s="107" t="s">
        <v>2</v>
      </c>
      <c r="H1619" s="133">
        <v>46084</v>
      </c>
      <c r="I1619" s="128">
        <v>0.62152777777777779</v>
      </c>
      <c r="J1619" s="117"/>
      <c r="K1619" s="117"/>
      <c r="L1619"/>
    </row>
    <row r="1620" spans="1:12">
      <c r="A1620" s="116" t="s">
        <v>1186</v>
      </c>
      <c r="B1620" s="117" t="s">
        <v>4782</v>
      </c>
      <c r="C1620" s="118" t="s">
        <v>1285</v>
      </c>
      <c r="D1620" s="119"/>
      <c r="E1620" s="120">
        <v>66086201</v>
      </c>
      <c r="F1620" s="117"/>
      <c r="G1620" s="107" t="s">
        <v>1</v>
      </c>
      <c r="H1620" s="133">
        <v>46084</v>
      </c>
      <c r="I1620" s="128">
        <v>0.62152777777777779</v>
      </c>
      <c r="J1620" s="117"/>
      <c r="K1620" s="117"/>
      <c r="L1620"/>
    </row>
    <row r="1621" spans="1:12">
      <c r="A1621" s="116" t="s">
        <v>1186</v>
      </c>
      <c r="B1621" s="117" t="s">
        <v>4782</v>
      </c>
      <c r="C1621" s="118" t="s">
        <v>1286</v>
      </c>
      <c r="D1621" s="119"/>
      <c r="E1621" s="120">
        <v>62809724</v>
      </c>
      <c r="F1621" s="117"/>
      <c r="G1621" s="107" t="s">
        <v>6</v>
      </c>
      <c r="H1621" s="133">
        <v>46084</v>
      </c>
      <c r="I1621" s="128">
        <v>0.62222222222222223</v>
      </c>
      <c r="J1621" s="117"/>
      <c r="K1621" s="117"/>
      <c r="L1621"/>
    </row>
    <row r="1622" spans="1:12">
      <c r="A1622" s="116" t="s">
        <v>1186</v>
      </c>
      <c r="B1622" s="117" t="s">
        <v>4782</v>
      </c>
      <c r="C1622" s="118" t="s">
        <v>1287</v>
      </c>
      <c r="D1622" s="119"/>
      <c r="E1622" s="120">
        <v>65742409</v>
      </c>
      <c r="F1622" s="117"/>
      <c r="G1622" s="107" t="s">
        <v>1</v>
      </c>
      <c r="H1622" s="133">
        <v>46084</v>
      </c>
      <c r="I1622" s="128">
        <v>0.62361111111111112</v>
      </c>
      <c r="J1622" s="117"/>
      <c r="K1622" s="117"/>
      <c r="L1622"/>
    </row>
    <row r="1623" spans="1:12">
      <c r="A1623" s="116" t="s">
        <v>1186</v>
      </c>
      <c r="B1623" s="117" t="s">
        <v>4782</v>
      </c>
      <c r="C1623" s="118" t="s">
        <v>1288</v>
      </c>
      <c r="D1623" s="119"/>
      <c r="E1623" s="120">
        <v>68958965</v>
      </c>
      <c r="F1623" s="117"/>
      <c r="G1623" s="107" t="s">
        <v>1</v>
      </c>
      <c r="H1623" s="133">
        <v>46084</v>
      </c>
      <c r="I1623" s="128">
        <v>0.625</v>
      </c>
      <c r="J1623" s="117"/>
      <c r="K1623" s="117"/>
      <c r="L1623"/>
    </row>
    <row r="1624" spans="1:12">
      <c r="A1624" s="116" t="s">
        <v>1186</v>
      </c>
      <c r="B1624" s="117" t="s">
        <v>4782</v>
      </c>
      <c r="C1624" s="118" t="s">
        <v>1289</v>
      </c>
      <c r="D1624" s="119"/>
      <c r="E1624" s="120">
        <v>65383565</v>
      </c>
      <c r="F1624" s="117"/>
      <c r="G1624" s="107" t="s">
        <v>6</v>
      </c>
      <c r="H1624" s="133">
        <v>46084</v>
      </c>
      <c r="I1624" s="128">
        <v>0.625</v>
      </c>
      <c r="J1624" s="117"/>
      <c r="K1624" s="117"/>
      <c r="L1624"/>
    </row>
    <row r="1625" spans="1:12">
      <c r="A1625" s="116" t="s">
        <v>1186</v>
      </c>
      <c r="B1625" s="117" t="s">
        <v>4782</v>
      </c>
      <c r="C1625" s="118" t="s">
        <v>1290</v>
      </c>
      <c r="D1625" s="119"/>
      <c r="E1625" s="120">
        <v>62760742</v>
      </c>
      <c r="F1625" s="117"/>
      <c r="G1625" s="107" t="s">
        <v>1</v>
      </c>
      <c r="H1625" s="133">
        <v>46084</v>
      </c>
      <c r="I1625" s="128">
        <v>0.62638888888888888</v>
      </c>
      <c r="J1625" s="117"/>
      <c r="K1625" s="117"/>
      <c r="L1625"/>
    </row>
    <row r="1626" spans="1:12">
      <c r="A1626" s="116" t="s">
        <v>1186</v>
      </c>
      <c r="B1626" s="117" t="s">
        <v>4782</v>
      </c>
      <c r="C1626" s="118" t="s">
        <v>1291</v>
      </c>
      <c r="D1626" s="119"/>
      <c r="E1626" s="120">
        <v>64815678</v>
      </c>
      <c r="F1626" s="117"/>
      <c r="G1626" s="107" t="s">
        <v>1</v>
      </c>
      <c r="H1626" s="133">
        <v>46084</v>
      </c>
      <c r="I1626" s="128">
        <v>0.62708333333333333</v>
      </c>
      <c r="J1626" s="117"/>
      <c r="K1626" s="117"/>
      <c r="L1626"/>
    </row>
    <row r="1627" spans="1:12">
      <c r="A1627" s="116" t="s">
        <v>1186</v>
      </c>
      <c r="B1627" s="117" t="s">
        <v>4782</v>
      </c>
      <c r="C1627" s="118" t="s">
        <v>1292</v>
      </c>
      <c r="D1627" s="119"/>
      <c r="E1627" s="120">
        <v>62449989</v>
      </c>
      <c r="F1627" s="117"/>
      <c r="G1627" s="107" t="s">
        <v>6</v>
      </c>
      <c r="H1627" s="133">
        <v>46084</v>
      </c>
      <c r="I1627" s="128">
        <v>0.62777777777777777</v>
      </c>
      <c r="J1627" s="117"/>
      <c r="K1627" s="117"/>
      <c r="L1627"/>
    </row>
    <row r="1628" spans="1:12">
      <c r="A1628" s="116" t="s">
        <v>1186</v>
      </c>
      <c r="B1628" s="117" t="s">
        <v>4782</v>
      </c>
      <c r="C1628" s="118" t="s">
        <v>1293</v>
      </c>
      <c r="D1628" s="119"/>
      <c r="E1628" s="120">
        <v>7772217</v>
      </c>
      <c r="F1628" s="117"/>
      <c r="G1628" s="107" t="s">
        <v>6</v>
      </c>
      <c r="H1628" s="133">
        <v>46084</v>
      </c>
      <c r="I1628" s="128">
        <v>0.62777777777777777</v>
      </c>
      <c r="J1628" s="117"/>
      <c r="K1628" s="117"/>
      <c r="L1628"/>
    </row>
    <row r="1629" spans="1:12">
      <c r="A1629" s="116" t="s">
        <v>1186</v>
      </c>
      <c r="B1629" s="117" t="s">
        <v>4782</v>
      </c>
      <c r="C1629" s="118" t="s">
        <v>1294</v>
      </c>
      <c r="D1629" s="119"/>
      <c r="E1629" s="120">
        <v>64392206</v>
      </c>
      <c r="F1629" s="117"/>
      <c r="G1629" s="107" t="s">
        <v>1</v>
      </c>
      <c r="H1629" s="133">
        <v>46084</v>
      </c>
      <c r="I1629" s="128">
        <v>0.62847222222222221</v>
      </c>
      <c r="J1629" s="117"/>
      <c r="K1629" s="117"/>
      <c r="L1629"/>
    </row>
    <row r="1630" spans="1:12">
      <c r="A1630" s="116" t="s">
        <v>1186</v>
      </c>
      <c r="B1630" s="117" t="s">
        <v>4782</v>
      </c>
      <c r="C1630" s="118" t="s">
        <v>1295</v>
      </c>
      <c r="D1630" s="119"/>
      <c r="E1630" s="120">
        <v>66956690</v>
      </c>
      <c r="F1630" s="117"/>
      <c r="G1630" s="107" t="s">
        <v>6</v>
      </c>
      <c r="H1630" s="133">
        <v>46084</v>
      </c>
      <c r="I1630" s="128">
        <v>0.62916666666666665</v>
      </c>
      <c r="J1630" s="117"/>
      <c r="K1630" s="117"/>
      <c r="L1630"/>
    </row>
    <row r="1631" spans="1:12">
      <c r="A1631" s="116" t="s">
        <v>1186</v>
      </c>
      <c r="B1631" s="117" t="s">
        <v>4782</v>
      </c>
      <c r="C1631" s="118" t="s">
        <v>1296</v>
      </c>
      <c r="D1631" s="119"/>
      <c r="E1631" s="120">
        <v>68126280</v>
      </c>
      <c r="F1631" s="117"/>
      <c r="G1631" s="107" t="s">
        <v>6</v>
      </c>
      <c r="H1631" s="133">
        <v>46084</v>
      </c>
      <c r="I1631" s="128">
        <v>0.62986111111111109</v>
      </c>
      <c r="J1631" s="117"/>
      <c r="K1631" s="117"/>
      <c r="L1631"/>
    </row>
    <row r="1632" spans="1:12">
      <c r="A1632" s="116" t="s">
        <v>1186</v>
      </c>
      <c r="B1632" s="117" t="s">
        <v>4782</v>
      </c>
      <c r="C1632" s="118" t="s">
        <v>1297</v>
      </c>
      <c r="D1632" s="119"/>
      <c r="E1632" s="120">
        <v>63140536</v>
      </c>
      <c r="F1632" s="117"/>
      <c r="G1632" s="107" t="s">
        <v>3</v>
      </c>
      <c r="H1632" s="133">
        <v>46084</v>
      </c>
      <c r="I1632" s="128">
        <v>0.63055555555555554</v>
      </c>
      <c r="J1632" s="117" t="s">
        <v>4783</v>
      </c>
      <c r="K1632" s="117"/>
      <c r="L1632"/>
    </row>
    <row r="1633" spans="1:12">
      <c r="A1633" s="116" t="s">
        <v>1186</v>
      </c>
      <c r="B1633" s="117" t="s">
        <v>4782</v>
      </c>
      <c r="C1633" s="118" t="s">
        <v>1298</v>
      </c>
      <c r="D1633" s="119"/>
      <c r="E1633" s="120">
        <v>68936276</v>
      </c>
      <c r="F1633" s="117"/>
      <c r="G1633" s="107" t="s">
        <v>4</v>
      </c>
      <c r="H1633" s="133">
        <v>46084</v>
      </c>
      <c r="I1633" s="128">
        <v>0.63124999999999998</v>
      </c>
      <c r="J1633" s="117"/>
      <c r="K1633" s="117"/>
      <c r="L1633"/>
    </row>
    <row r="1634" spans="1:12">
      <c r="A1634" s="116" t="s">
        <v>1186</v>
      </c>
      <c r="B1634" s="117" t="s">
        <v>4782</v>
      </c>
      <c r="C1634" s="118" t="s">
        <v>1299</v>
      </c>
      <c r="D1634" s="119"/>
      <c r="E1634" s="120">
        <v>61944940</v>
      </c>
      <c r="F1634" s="117"/>
      <c r="G1634" s="107" t="s">
        <v>2</v>
      </c>
      <c r="H1634" s="133">
        <v>46084</v>
      </c>
      <c r="I1634" s="128">
        <v>0.63124999999999998</v>
      </c>
      <c r="J1634" s="117"/>
      <c r="K1634" s="117"/>
      <c r="L1634"/>
    </row>
    <row r="1635" spans="1:12">
      <c r="A1635" s="116" t="s">
        <v>1186</v>
      </c>
      <c r="B1635" s="117" t="s">
        <v>4782</v>
      </c>
      <c r="C1635" s="118" t="s">
        <v>1300</v>
      </c>
      <c r="D1635" s="119"/>
      <c r="E1635" s="120">
        <v>65838791</v>
      </c>
      <c r="F1635" s="117"/>
      <c r="G1635" s="107" t="s">
        <v>6</v>
      </c>
      <c r="H1635" s="133">
        <v>46085</v>
      </c>
      <c r="I1635" s="128">
        <v>0.36944444444444446</v>
      </c>
      <c r="J1635" s="117"/>
      <c r="K1635" s="117"/>
      <c r="L1635"/>
    </row>
    <row r="1636" spans="1:12">
      <c r="A1636" s="116" t="s">
        <v>1186</v>
      </c>
      <c r="B1636" s="117" t="s">
        <v>4782</v>
      </c>
      <c r="C1636" s="118" t="s">
        <v>1301</v>
      </c>
      <c r="D1636" s="119"/>
      <c r="E1636" s="120">
        <v>63484885</v>
      </c>
      <c r="F1636" s="117"/>
      <c r="G1636" s="107" t="s">
        <v>2</v>
      </c>
      <c r="H1636" s="133">
        <v>46085</v>
      </c>
      <c r="I1636" s="128">
        <v>0.37013888888888891</v>
      </c>
      <c r="J1636" s="117"/>
      <c r="K1636" s="117"/>
      <c r="L1636"/>
    </row>
    <row r="1637" spans="1:12">
      <c r="A1637" s="116" t="s">
        <v>1186</v>
      </c>
      <c r="B1637" s="117" t="s">
        <v>4782</v>
      </c>
      <c r="C1637" s="118" t="s">
        <v>1302</v>
      </c>
      <c r="D1637" s="119"/>
      <c r="E1637" s="120">
        <v>68518266</v>
      </c>
      <c r="F1637" s="117"/>
      <c r="G1637" s="107" t="s">
        <v>6</v>
      </c>
      <c r="H1637" s="133">
        <v>46085</v>
      </c>
      <c r="I1637" s="128">
        <v>0.37083333333333335</v>
      </c>
      <c r="J1637" s="117"/>
      <c r="K1637" s="117"/>
      <c r="L1637"/>
    </row>
    <row r="1638" spans="1:12">
      <c r="A1638" s="116" t="s">
        <v>1186</v>
      </c>
      <c r="B1638" s="117" t="s">
        <v>4782</v>
      </c>
      <c r="C1638" s="118" t="s">
        <v>1303</v>
      </c>
      <c r="D1638" s="119"/>
      <c r="E1638" s="120">
        <v>69727298</v>
      </c>
      <c r="F1638" s="117"/>
      <c r="G1638" s="107" t="s">
        <v>2</v>
      </c>
      <c r="H1638" s="133">
        <v>46085</v>
      </c>
      <c r="I1638" s="128">
        <v>0.37152777777777779</v>
      </c>
      <c r="J1638" s="117"/>
      <c r="K1638" s="117"/>
      <c r="L1638"/>
    </row>
    <row r="1639" spans="1:12">
      <c r="A1639" s="116" t="s">
        <v>1186</v>
      </c>
      <c r="B1639" s="117" t="s">
        <v>4782</v>
      </c>
      <c r="C1639" s="118" t="s">
        <v>1304</v>
      </c>
      <c r="D1639" s="119"/>
      <c r="E1639" s="120">
        <v>64541860</v>
      </c>
      <c r="F1639" s="117"/>
      <c r="G1639" s="107" t="s">
        <v>1</v>
      </c>
      <c r="H1639" s="133">
        <v>46085</v>
      </c>
      <c r="I1639" s="128">
        <v>0.37361111111111112</v>
      </c>
      <c r="J1639" s="117"/>
      <c r="K1639" s="117"/>
      <c r="L1639"/>
    </row>
    <row r="1640" spans="1:12">
      <c r="A1640" s="116" t="s">
        <v>1186</v>
      </c>
      <c r="B1640" s="117" t="s">
        <v>4782</v>
      </c>
      <c r="C1640" s="118" t="s">
        <v>1305</v>
      </c>
      <c r="D1640" s="119"/>
      <c r="E1640" s="120">
        <v>68310274</v>
      </c>
      <c r="F1640" s="117"/>
      <c r="G1640" s="107" t="s">
        <v>1</v>
      </c>
      <c r="H1640" s="133">
        <v>46085</v>
      </c>
      <c r="I1640" s="128">
        <v>0.37430555555555556</v>
      </c>
      <c r="J1640" s="117"/>
      <c r="K1640" s="117"/>
      <c r="L1640"/>
    </row>
    <row r="1641" spans="1:12">
      <c r="A1641" s="116" t="s">
        <v>1186</v>
      </c>
      <c r="B1641" s="117" t="s">
        <v>4782</v>
      </c>
      <c r="C1641" s="118" t="s">
        <v>1306</v>
      </c>
      <c r="D1641" s="119"/>
      <c r="E1641" s="120">
        <v>67985177</v>
      </c>
      <c r="F1641" s="117"/>
      <c r="G1641" s="107" t="s">
        <v>6</v>
      </c>
      <c r="H1641" s="133">
        <v>46085</v>
      </c>
      <c r="I1641" s="128">
        <v>0.375</v>
      </c>
      <c r="J1641" s="117"/>
      <c r="K1641" s="117"/>
      <c r="L1641"/>
    </row>
    <row r="1642" spans="1:12">
      <c r="A1642" s="116" t="s">
        <v>1186</v>
      </c>
      <c r="B1642" s="117" t="s">
        <v>4782</v>
      </c>
      <c r="C1642" s="118" t="s">
        <v>1307</v>
      </c>
      <c r="D1642" s="119"/>
      <c r="E1642" s="120">
        <v>64313799</v>
      </c>
      <c r="F1642" s="117"/>
      <c r="G1642" s="107" t="s">
        <v>1</v>
      </c>
      <c r="H1642" s="133">
        <v>46085</v>
      </c>
      <c r="I1642" s="128">
        <v>0.375</v>
      </c>
      <c r="J1642" s="117"/>
      <c r="K1642" s="117"/>
      <c r="L1642"/>
    </row>
    <row r="1643" spans="1:12">
      <c r="A1643" s="116" t="s">
        <v>1186</v>
      </c>
      <c r="B1643" s="117" t="s">
        <v>4782</v>
      </c>
      <c r="C1643" s="118" t="s">
        <v>1308</v>
      </c>
      <c r="D1643" s="119"/>
      <c r="E1643" s="120">
        <v>63611560</v>
      </c>
      <c r="F1643" s="117"/>
      <c r="G1643" s="107" t="s">
        <v>2</v>
      </c>
      <c r="H1643" s="133">
        <v>46085</v>
      </c>
      <c r="I1643" s="128">
        <v>0.37569444444444444</v>
      </c>
      <c r="J1643" s="117"/>
      <c r="K1643" s="117"/>
      <c r="L1643"/>
    </row>
    <row r="1644" spans="1:12">
      <c r="A1644" s="116" t="s">
        <v>1186</v>
      </c>
      <c r="B1644" s="117" t="s">
        <v>4782</v>
      </c>
      <c r="C1644" s="118" t="s">
        <v>1309</v>
      </c>
      <c r="D1644" s="119"/>
      <c r="E1644" s="120">
        <v>7305927</v>
      </c>
      <c r="F1644" s="117"/>
      <c r="G1644" s="107" t="s">
        <v>4</v>
      </c>
      <c r="H1644" s="133">
        <v>46085</v>
      </c>
      <c r="I1644" s="128">
        <v>0.37569444444444444</v>
      </c>
      <c r="J1644" s="117"/>
      <c r="K1644" s="117"/>
      <c r="L1644"/>
    </row>
    <row r="1645" spans="1:12">
      <c r="A1645" s="116" t="s">
        <v>1186</v>
      </c>
      <c r="B1645" s="117" t="s">
        <v>4782</v>
      </c>
      <c r="C1645" s="118" t="s">
        <v>1310</v>
      </c>
      <c r="D1645" s="119"/>
      <c r="E1645" s="120">
        <v>7790084</v>
      </c>
      <c r="F1645" s="117"/>
      <c r="G1645" s="107" t="s">
        <v>4</v>
      </c>
      <c r="H1645" s="133">
        <v>46085</v>
      </c>
      <c r="I1645" s="128">
        <v>0.37569444444444444</v>
      </c>
      <c r="J1645" s="117"/>
      <c r="K1645" s="117"/>
      <c r="L1645"/>
    </row>
    <row r="1646" spans="1:12">
      <c r="A1646" s="116" t="s">
        <v>1186</v>
      </c>
      <c r="B1646" s="117" t="s">
        <v>4782</v>
      </c>
      <c r="C1646" s="118" t="s">
        <v>1311</v>
      </c>
      <c r="D1646" s="119"/>
      <c r="E1646" s="120">
        <v>63962181</v>
      </c>
      <c r="F1646" s="117"/>
      <c r="G1646" s="107" t="s">
        <v>2</v>
      </c>
      <c r="H1646" s="133">
        <v>46085</v>
      </c>
      <c r="I1646" s="128">
        <v>0.37569444444444444</v>
      </c>
      <c r="J1646" s="117"/>
      <c r="K1646" s="117"/>
      <c r="L1646"/>
    </row>
    <row r="1647" spans="1:12">
      <c r="A1647" s="116" t="s">
        <v>1186</v>
      </c>
      <c r="B1647" s="117" t="s">
        <v>4782</v>
      </c>
      <c r="C1647" s="118" t="s">
        <v>1312</v>
      </c>
      <c r="D1647" s="119"/>
      <c r="E1647" s="120">
        <v>66433141</v>
      </c>
      <c r="F1647" s="117"/>
      <c r="G1647" s="107" t="s">
        <v>1</v>
      </c>
      <c r="H1647" s="133">
        <v>46085</v>
      </c>
      <c r="I1647" s="128">
        <v>0.37638888888888888</v>
      </c>
      <c r="J1647" s="117"/>
      <c r="K1647" s="117"/>
      <c r="L1647"/>
    </row>
    <row r="1648" spans="1:12">
      <c r="A1648" s="116" t="s">
        <v>1186</v>
      </c>
      <c r="B1648" s="117" t="s">
        <v>4782</v>
      </c>
      <c r="C1648" s="118" t="s">
        <v>1313</v>
      </c>
      <c r="D1648" s="119"/>
      <c r="E1648" s="120">
        <v>63610046</v>
      </c>
      <c r="F1648" s="117"/>
      <c r="G1648" s="107" t="s">
        <v>1</v>
      </c>
      <c r="H1648" s="133">
        <v>46085</v>
      </c>
      <c r="I1648" s="128">
        <v>0.37708333333333333</v>
      </c>
      <c r="J1648" s="117"/>
      <c r="K1648" s="117"/>
      <c r="L1648"/>
    </row>
    <row r="1649" spans="1:12">
      <c r="A1649" s="116" t="s">
        <v>1186</v>
      </c>
      <c r="B1649" s="117" t="s">
        <v>4782</v>
      </c>
      <c r="C1649" s="118" t="s">
        <v>1314</v>
      </c>
      <c r="D1649" s="119"/>
      <c r="E1649" s="120">
        <v>69010234</v>
      </c>
      <c r="F1649" s="117"/>
      <c r="G1649" s="107" t="s">
        <v>6</v>
      </c>
      <c r="H1649" s="133">
        <v>46085</v>
      </c>
      <c r="I1649" s="128">
        <v>0.37777777777777777</v>
      </c>
      <c r="J1649" s="117"/>
      <c r="K1649" s="117"/>
      <c r="L1649"/>
    </row>
    <row r="1650" spans="1:12">
      <c r="A1650" s="116" t="s">
        <v>1186</v>
      </c>
      <c r="B1650" s="117" t="s">
        <v>4782</v>
      </c>
      <c r="C1650" s="118" t="s">
        <v>1315</v>
      </c>
      <c r="D1650" s="119"/>
      <c r="E1650" s="120">
        <v>68971667</v>
      </c>
      <c r="F1650" s="117"/>
      <c r="G1650" s="107" t="s">
        <v>1</v>
      </c>
      <c r="H1650" s="133">
        <v>46085</v>
      </c>
      <c r="I1650" s="128">
        <v>0.37847222222222221</v>
      </c>
      <c r="J1650" s="117"/>
      <c r="K1650" s="117"/>
      <c r="L1650"/>
    </row>
    <row r="1651" spans="1:12">
      <c r="A1651" s="116" t="s">
        <v>1186</v>
      </c>
      <c r="B1651" s="117" t="s">
        <v>4782</v>
      </c>
      <c r="C1651" s="118" t="s">
        <v>1316</v>
      </c>
      <c r="D1651" s="119"/>
      <c r="E1651" s="120">
        <v>66235402</v>
      </c>
      <c r="F1651" s="117"/>
      <c r="G1651" s="107" t="s">
        <v>6</v>
      </c>
      <c r="H1651" s="133">
        <v>46085</v>
      </c>
      <c r="I1651" s="128">
        <v>0.37847222222222221</v>
      </c>
      <c r="J1651" s="117"/>
      <c r="K1651" s="117"/>
      <c r="L1651"/>
    </row>
    <row r="1652" spans="1:12">
      <c r="A1652" s="116" t="s">
        <v>1186</v>
      </c>
      <c r="B1652" s="117" t="s">
        <v>4782</v>
      </c>
      <c r="C1652" s="118" t="s">
        <v>1317</v>
      </c>
      <c r="D1652" s="119"/>
      <c r="E1652" s="120">
        <v>64722030</v>
      </c>
      <c r="F1652" s="117"/>
      <c r="G1652" s="107" t="s">
        <v>4</v>
      </c>
      <c r="H1652" s="133">
        <v>46085</v>
      </c>
      <c r="I1652" s="128">
        <v>0.37916666666666665</v>
      </c>
      <c r="J1652" s="117"/>
      <c r="K1652" s="117"/>
      <c r="L1652"/>
    </row>
    <row r="1653" spans="1:12">
      <c r="A1653" s="116" t="s">
        <v>1186</v>
      </c>
      <c r="B1653" s="117" t="s">
        <v>4782</v>
      </c>
      <c r="C1653" s="118" t="s">
        <v>1318</v>
      </c>
      <c r="D1653" s="119"/>
      <c r="E1653" s="120">
        <v>62391984</v>
      </c>
      <c r="F1653" s="117"/>
      <c r="G1653" s="107" t="s">
        <v>1</v>
      </c>
      <c r="H1653" s="133">
        <v>46085</v>
      </c>
      <c r="I1653" s="128">
        <v>0.37986111111111109</v>
      </c>
      <c r="J1653" s="117"/>
      <c r="K1653" s="117"/>
      <c r="L1653"/>
    </row>
    <row r="1654" spans="1:12">
      <c r="A1654" s="116" t="s">
        <v>1186</v>
      </c>
      <c r="B1654" s="117" t="s">
        <v>4782</v>
      </c>
      <c r="C1654" s="118" t="s">
        <v>1319</v>
      </c>
      <c r="D1654" s="119"/>
      <c r="E1654" s="120">
        <v>62259030</v>
      </c>
      <c r="F1654" s="117"/>
      <c r="G1654" s="107" t="s">
        <v>1</v>
      </c>
      <c r="H1654" s="133">
        <v>46085</v>
      </c>
      <c r="I1654" s="128">
        <v>0.38124999999999998</v>
      </c>
      <c r="J1654" s="117"/>
      <c r="K1654" s="117"/>
      <c r="L1654"/>
    </row>
    <row r="1655" spans="1:12">
      <c r="A1655" s="116" t="s">
        <v>1186</v>
      </c>
      <c r="B1655" s="117" t="s">
        <v>4782</v>
      </c>
      <c r="C1655" s="118" t="s">
        <v>1320</v>
      </c>
      <c r="D1655" s="119"/>
      <c r="E1655" s="120">
        <v>68997027</v>
      </c>
      <c r="F1655" s="117"/>
      <c r="G1655" s="107" t="s">
        <v>9</v>
      </c>
      <c r="H1655" s="133">
        <v>46085</v>
      </c>
      <c r="I1655" s="128">
        <v>0.38263888888888886</v>
      </c>
      <c r="J1655" s="117"/>
      <c r="K1655" s="117"/>
      <c r="L1655"/>
    </row>
    <row r="1656" spans="1:12">
      <c r="A1656" s="116" t="s">
        <v>1186</v>
      </c>
      <c r="B1656" s="117" t="s">
        <v>4782</v>
      </c>
      <c r="C1656" s="118" t="s">
        <v>1321</v>
      </c>
      <c r="D1656" s="119"/>
      <c r="E1656" s="120">
        <v>68168604</v>
      </c>
      <c r="F1656" s="117"/>
      <c r="G1656" s="107" t="s">
        <v>6</v>
      </c>
      <c r="H1656" s="133">
        <v>46085</v>
      </c>
      <c r="I1656" s="128">
        <v>0.38263888888888886</v>
      </c>
      <c r="J1656" s="117"/>
      <c r="K1656" s="117"/>
      <c r="L1656"/>
    </row>
    <row r="1657" spans="1:12">
      <c r="A1657" s="116" t="s">
        <v>1186</v>
      </c>
      <c r="B1657" s="117" t="s">
        <v>4782</v>
      </c>
      <c r="C1657" s="118" t="s">
        <v>1322</v>
      </c>
      <c r="D1657" s="119"/>
      <c r="E1657" s="120">
        <v>7790229</v>
      </c>
      <c r="F1657" s="117"/>
      <c r="G1657" s="107" t="s">
        <v>9</v>
      </c>
      <c r="H1657" s="133">
        <v>46085</v>
      </c>
      <c r="I1657" s="128">
        <v>0.38333333333333336</v>
      </c>
      <c r="J1657" s="117"/>
      <c r="K1657" s="117"/>
      <c r="L1657"/>
    </row>
    <row r="1658" spans="1:12">
      <c r="A1658" s="116" t="s">
        <v>1186</v>
      </c>
      <c r="B1658" s="117" t="s">
        <v>4782</v>
      </c>
      <c r="C1658" s="118" t="s">
        <v>1323</v>
      </c>
      <c r="D1658" s="119"/>
      <c r="E1658" s="120">
        <v>69686010</v>
      </c>
      <c r="F1658" s="117"/>
      <c r="G1658" s="107" t="s">
        <v>6</v>
      </c>
      <c r="H1658" s="133">
        <v>46085</v>
      </c>
      <c r="I1658" s="128">
        <v>0.3840277777777778</v>
      </c>
      <c r="J1658" s="117"/>
      <c r="K1658" s="117"/>
      <c r="L1658"/>
    </row>
    <row r="1659" spans="1:12">
      <c r="A1659" s="116" t="s">
        <v>1186</v>
      </c>
      <c r="B1659" s="117" t="s">
        <v>4782</v>
      </c>
      <c r="C1659" s="118" t="s">
        <v>1324</v>
      </c>
      <c r="D1659" s="119"/>
      <c r="E1659" s="120">
        <v>7760372</v>
      </c>
      <c r="F1659" s="117"/>
      <c r="G1659" s="107" t="s">
        <v>3</v>
      </c>
      <c r="H1659" s="133">
        <v>46085</v>
      </c>
      <c r="I1659" s="128">
        <v>0.38472222222222224</v>
      </c>
      <c r="J1659" s="117"/>
      <c r="K1659" s="117"/>
      <c r="L1659"/>
    </row>
    <row r="1660" spans="1:12">
      <c r="A1660" s="116" t="s">
        <v>1186</v>
      </c>
      <c r="B1660" s="117" t="s">
        <v>4782</v>
      </c>
      <c r="C1660" s="118" t="s">
        <v>1325</v>
      </c>
      <c r="D1660" s="119"/>
      <c r="E1660" s="120">
        <v>64806407</v>
      </c>
      <c r="F1660" s="117"/>
      <c r="G1660" s="107" t="s">
        <v>9</v>
      </c>
      <c r="H1660" s="133">
        <v>46085</v>
      </c>
      <c r="I1660" s="128">
        <v>0.44374999999999998</v>
      </c>
      <c r="J1660" s="117"/>
      <c r="K1660" s="117"/>
      <c r="L1660"/>
    </row>
    <row r="1661" spans="1:12">
      <c r="A1661" s="116" t="s">
        <v>1186</v>
      </c>
      <c r="B1661" s="117" t="s">
        <v>4782</v>
      </c>
      <c r="C1661" s="118" t="s">
        <v>1326</v>
      </c>
      <c r="D1661" s="119"/>
      <c r="E1661" s="120">
        <v>66485434</v>
      </c>
      <c r="F1661" s="117"/>
      <c r="G1661" s="107" t="s">
        <v>2</v>
      </c>
      <c r="H1661" s="133">
        <v>46085</v>
      </c>
      <c r="I1661" s="128">
        <v>0.44374999999999998</v>
      </c>
      <c r="J1661" s="117"/>
      <c r="K1661" s="117"/>
      <c r="L1661"/>
    </row>
    <row r="1662" spans="1:12">
      <c r="A1662" s="116" t="s">
        <v>1186</v>
      </c>
      <c r="B1662" s="117" t="s">
        <v>4782</v>
      </c>
      <c r="C1662" s="118" t="s">
        <v>1327</v>
      </c>
      <c r="D1662" s="119"/>
      <c r="E1662" s="120">
        <v>63422701</v>
      </c>
      <c r="F1662" s="117"/>
      <c r="G1662" s="107" t="s">
        <v>1</v>
      </c>
      <c r="H1662" s="133">
        <v>46085</v>
      </c>
      <c r="I1662" s="128">
        <v>0.44513888888888886</v>
      </c>
      <c r="J1662" s="117"/>
      <c r="K1662" s="117"/>
      <c r="L1662"/>
    </row>
    <row r="1663" spans="1:12">
      <c r="A1663" s="116" t="s">
        <v>1186</v>
      </c>
      <c r="B1663" s="117" t="s">
        <v>4782</v>
      </c>
      <c r="C1663" s="118" t="s">
        <v>1328</v>
      </c>
      <c r="D1663" s="119"/>
      <c r="E1663" s="120">
        <v>68269112</v>
      </c>
      <c r="F1663" s="117"/>
      <c r="G1663" s="107" t="s">
        <v>1</v>
      </c>
      <c r="H1663" s="133">
        <v>46085</v>
      </c>
      <c r="I1663" s="128">
        <v>0.4465277777777778</v>
      </c>
      <c r="J1663" s="117"/>
      <c r="K1663" s="117"/>
      <c r="L1663"/>
    </row>
    <row r="1664" spans="1:12">
      <c r="A1664" s="116" t="s">
        <v>1186</v>
      </c>
      <c r="B1664" s="117" t="s">
        <v>4782</v>
      </c>
      <c r="C1664" s="118" t="s">
        <v>1329</v>
      </c>
      <c r="D1664" s="119"/>
      <c r="E1664" s="120">
        <v>64263827</v>
      </c>
      <c r="F1664" s="117"/>
      <c r="G1664" s="107" t="s">
        <v>6</v>
      </c>
      <c r="H1664" s="133">
        <v>46085</v>
      </c>
      <c r="I1664" s="128">
        <v>0.44722222222222224</v>
      </c>
      <c r="J1664" s="117"/>
      <c r="K1664" s="117"/>
      <c r="L1664"/>
    </row>
    <row r="1665" spans="1:12">
      <c r="A1665" s="116" t="s">
        <v>1186</v>
      </c>
      <c r="B1665" s="117" t="s">
        <v>4782</v>
      </c>
      <c r="C1665" s="118" t="s">
        <v>1330</v>
      </c>
      <c r="D1665" s="119"/>
      <c r="E1665" s="120">
        <v>69792876</v>
      </c>
      <c r="F1665" s="117"/>
      <c r="G1665" s="107" t="s">
        <v>1</v>
      </c>
      <c r="H1665" s="133">
        <v>46085</v>
      </c>
      <c r="I1665" s="128">
        <v>0.44861111111111113</v>
      </c>
      <c r="J1665" s="117"/>
      <c r="K1665" s="117"/>
      <c r="L1665"/>
    </row>
    <row r="1666" spans="1:12">
      <c r="A1666" s="116" t="s">
        <v>1186</v>
      </c>
      <c r="B1666" s="117" t="s">
        <v>4782</v>
      </c>
      <c r="C1666" s="118" t="s">
        <v>1331</v>
      </c>
      <c r="D1666" s="119"/>
      <c r="E1666" s="120">
        <v>62831989</v>
      </c>
      <c r="F1666" s="117"/>
      <c r="G1666" s="107" t="s">
        <v>6</v>
      </c>
      <c r="H1666" s="133">
        <v>46085</v>
      </c>
      <c r="I1666" s="128">
        <v>0.44861111111111113</v>
      </c>
      <c r="J1666" s="117"/>
      <c r="K1666" s="117"/>
      <c r="L1666"/>
    </row>
    <row r="1667" spans="1:12">
      <c r="A1667" s="116" t="s">
        <v>1186</v>
      </c>
      <c r="B1667" s="117" t="s">
        <v>4782</v>
      </c>
      <c r="C1667" s="118" t="s">
        <v>1332</v>
      </c>
      <c r="D1667" s="119"/>
      <c r="E1667" s="120">
        <v>63230951</v>
      </c>
      <c r="F1667" s="117"/>
      <c r="G1667" s="107" t="s">
        <v>1</v>
      </c>
      <c r="H1667" s="133">
        <v>46085</v>
      </c>
      <c r="I1667" s="128">
        <v>0.45</v>
      </c>
      <c r="J1667" s="117"/>
      <c r="K1667" s="117"/>
      <c r="L1667"/>
    </row>
    <row r="1668" spans="1:12">
      <c r="A1668" s="116" t="s">
        <v>1186</v>
      </c>
      <c r="B1668" s="117" t="s">
        <v>4782</v>
      </c>
      <c r="C1668" s="118" t="s">
        <v>1333</v>
      </c>
      <c r="D1668" s="119"/>
      <c r="E1668" s="120">
        <v>63309703</v>
      </c>
      <c r="F1668" s="117"/>
      <c r="G1668" s="107" t="s">
        <v>1</v>
      </c>
      <c r="H1668" s="133">
        <v>46085</v>
      </c>
      <c r="I1668" s="128">
        <v>0.45069444444444445</v>
      </c>
      <c r="J1668" s="117"/>
      <c r="K1668" s="117"/>
      <c r="L1668"/>
    </row>
    <row r="1669" spans="1:12">
      <c r="A1669" s="116" t="s">
        <v>1186</v>
      </c>
      <c r="B1669" s="117" t="s">
        <v>4782</v>
      </c>
      <c r="C1669" s="118" t="s">
        <v>1334</v>
      </c>
      <c r="D1669" s="119"/>
      <c r="E1669" s="120">
        <v>63970518</v>
      </c>
      <c r="F1669" s="117"/>
      <c r="G1669" s="107" t="s">
        <v>1</v>
      </c>
      <c r="H1669" s="133">
        <v>46085</v>
      </c>
      <c r="I1669" s="128">
        <v>0.45208333333333334</v>
      </c>
      <c r="J1669" s="117"/>
      <c r="K1669" s="117"/>
      <c r="L1669"/>
    </row>
    <row r="1670" spans="1:12">
      <c r="A1670" s="116" t="s">
        <v>1186</v>
      </c>
      <c r="B1670" s="117" t="s">
        <v>4782</v>
      </c>
      <c r="C1670" s="118" t="s">
        <v>1335</v>
      </c>
      <c r="D1670" s="119"/>
      <c r="E1670" s="120">
        <v>69059192</v>
      </c>
      <c r="F1670" s="117"/>
      <c r="G1670" s="107" t="s">
        <v>6</v>
      </c>
      <c r="H1670" s="133">
        <v>46085</v>
      </c>
      <c r="I1670" s="128">
        <v>0.45208333333333334</v>
      </c>
      <c r="J1670" s="117"/>
      <c r="K1670" s="117"/>
      <c r="L1670"/>
    </row>
    <row r="1671" spans="1:12">
      <c r="A1671" s="116" t="s">
        <v>1186</v>
      </c>
      <c r="B1671" s="117" t="s">
        <v>4782</v>
      </c>
      <c r="C1671" s="118" t="s">
        <v>1336</v>
      </c>
      <c r="D1671" s="119"/>
      <c r="E1671" s="120">
        <v>66921695</v>
      </c>
      <c r="F1671" s="117"/>
      <c r="G1671" s="107" t="s">
        <v>2</v>
      </c>
      <c r="H1671" s="133">
        <v>46085</v>
      </c>
      <c r="I1671" s="128">
        <v>0.45277777777777778</v>
      </c>
      <c r="J1671" s="117"/>
      <c r="K1671" s="117"/>
      <c r="L1671"/>
    </row>
    <row r="1672" spans="1:12">
      <c r="A1672" s="116" t="s">
        <v>1186</v>
      </c>
      <c r="B1672" s="117" t="s">
        <v>4782</v>
      </c>
      <c r="C1672" s="118" t="s">
        <v>1337</v>
      </c>
      <c r="D1672" s="119"/>
      <c r="E1672" s="120">
        <v>64592002</v>
      </c>
      <c r="F1672" s="117"/>
      <c r="G1672" s="107" t="s">
        <v>2</v>
      </c>
      <c r="H1672" s="133">
        <v>46085</v>
      </c>
      <c r="I1672" s="128">
        <v>0.45277777777777778</v>
      </c>
      <c r="J1672" s="117"/>
      <c r="K1672" s="117"/>
      <c r="L1672"/>
    </row>
    <row r="1673" spans="1:12">
      <c r="A1673" s="116" t="s">
        <v>1186</v>
      </c>
      <c r="B1673" s="117" t="s">
        <v>4782</v>
      </c>
      <c r="C1673" s="118" t="s">
        <v>1338</v>
      </c>
      <c r="D1673" s="119"/>
      <c r="E1673" s="120">
        <v>66575566</v>
      </c>
      <c r="F1673" s="117"/>
      <c r="G1673" s="107" t="s">
        <v>6</v>
      </c>
      <c r="H1673" s="133">
        <v>46085</v>
      </c>
      <c r="I1673" s="128">
        <v>0.45347222222222222</v>
      </c>
      <c r="J1673" s="117"/>
      <c r="K1673" s="117"/>
      <c r="L1673"/>
    </row>
    <row r="1674" spans="1:12">
      <c r="A1674" s="116" t="s">
        <v>1186</v>
      </c>
      <c r="B1674" s="117" t="s">
        <v>4782</v>
      </c>
      <c r="C1674" s="118" t="s">
        <v>1339</v>
      </c>
      <c r="D1674" s="119"/>
      <c r="E1674" s="120">
        <v>65921417</v>
      </c>
      <c r="F1674" s="117"/>
      <c r="G1674" s="107" t="s">
        <v>1</v>
      </c>
      <c r="H1674" s="133">
        <v>46085</v>
      </c>
      <c r="I1674" s="128">
        <v>0.45416666666666666</v>
      </c>
      <c r="J1674" s="117"/>
      <c r="K1674" s="117"/>
      <c r="L1674"/>
    </row>
    <row r="1675" spans="1:12">
      <c r="A1675" s="116" t="s">
        <v>1186</v>
      </c>
      <c r="B1675" s="117" t="s">
        <v>4782</v>
      </c>
      <c r="C1675" s="118" t="s">
        <v>1340</v>
      </c>
      <c r="D1675" s="119"/>
      <c r="E1675" s="120">
        <v>65756981</v>
      </c>
      <c r="F1675" s="117"/>
      <c r="G1675" s="107" t="s">
        <v>2</v>
      </c>
      <c r="H1675" s="133">
        <v>46085</v>
      </c>
      <c r="I1675" s="128">
        <v>0.45416666666666666</v>
      </c>
      <c r="J1675" s="117"/>
      <c r="K1675" s="117"/>
      <c r="L1675"/>
    </row>
    <row r="1676" spans="1:12">
      <c r="A1676" s="116" t="s">
        <v>1186</v>
      </c>
      <c r="B1676" s="117" t="s">
        <v>4782</v>
      </c>
      <c r="C1676" s="118" t="s">
        <v>1341</v>
      </c>
      <c r="D1676" s="119"/>
      <c r="E1676" s="120">
        <v>63438310</v>
      </c>
      <c r="F1676" s="117"/>
      <c r="G1676" s="107" t="s">
        <v>6</v>
      </c>
      <c r="H1676" s="133">
        <v>46085</v>
      </c>
      <c r="I1676" s="128">
        <v>0.4548611111111111</v>
      </c>
      <c r="J1676" s="117"/>
      <c r="K1676" s="117"/>
      <c r="L1676"/>
    </row>
    <row r="1677" spans="1:12">
      <c r="A1677" s="116" t="s">
        <v>1186</v>
      </c>
      <c r="B1677" s="117" t="s">
        <v>4782</v>
      </c>
      <c r="C1677" s="118" t="s">
        <v>1342</v>
      </c>
      <c r="D1677" s="119"/>
      <c r="E1677" s="120">
        <v>62672717</v>
      </c>
      <c r="F1677" s="117"/>
      <c r="G1677" s="107" t="s">
        <v>9</v>
      </c>
      <c r="H1677" s="133">
        <v>46085</v>
      </c>
      <c r="I1677" s="128">
        <v>0.45555555555555555</v>
      </c>
      <c r="J1677" s="117"/>
      <c r="K1677" s="117"/>
      <c r="L1677"/>
    </row>
    <row r="1678" spans="1:12">
      <c r="A1678" s="116" t="s">
        <v>1186</v>
      </c>
      <c r="B1678" s="117" t="s">
        <v>4782</v>
      </c>
      <c r="C1678" s="118" t="s">
        <v>1343</v>
      </c>
      <c r="D1678" s="119"/>
      <c r="E1678" s="120">
        <v>65631594</v>
      </c>
      <c r="F1678" s="117"/>
      <c r="G1678" s="107" t="s">
        <v>6</v>
      </c>
      <c r="H1678" s="133">
        <v>46085</v>
      </c>
      <c r="I1678" s="128">
        <v>0.45624999999999999</v>
      </c>
      <c r="J1678" s="117"/>
      <c r="K1678" s="117"/>
      <c r="L1678"/>
    </row>
    <row r="1679" spans="1:12">
      <c r="A1679" s="116" t="s">
        <v>1186</v>
      </c>
      <c r="B1679" s="117" t="s">
        <v>4782</v>
      </c>
      <c r="C1679" s="118" t="s">
        <v>1344</v>
      </c>
      <c r="D1679" s="119"/>
      <c r="E1679" s="120">
        <v>64420201</v>
      </c>
      <c r="F1679" s="117"/>
      <c r="G1679" s="107" t="s">
        <v>1</v>
      </c>
      <c r="H1679" s="133">
        <v>46085</v>
      </c>
      <c r="I1679" s="128">
        <v>0.45694444444444443</v>
      </c>
      <c r="J1679" s="117"/>
      <c r="K1679" s="117"/>
      <c r="L1679"/>
    </row>
    <row r="1680" spans="1:12">
      <c r="A1680" s="116" t="s">
        <v>1186</v>
      </c>
      <c r="B1680" s="117" t="s">
        <v>4782</v>
      </c>
      <c r="C1680" s="118" t="s">
        <v>1345</v>
      </c>
      <c r="D1680" s="119"/>
      <c r="E1680" s="120">
        <v>65640187</v>
      </c>
      <c r="F1680" s="117"/>
      <c r="G1680" s="107" t="s">
        <v>6</v>
      </c>
      <c r="H1680" s="133">
        <v>46085</v>
      </c>
      <c r="I1680" s="128">
        <v>0.45833333333333331</v>
      </c>
      <c r="J1680" s="117"/>
      <c r="K1680" s="117"/>
      <c r="L1680"/>
    </row>
    <row r="1681" spans="1:12">
      <c r="A1681" s="116" t="s">
        <v>1186</v>
      </c>
      <c r="B1681" s="117" t="s">
        <v>4782</v>
      </c>
      <c r="C1681" s="118" t="s">
        <v>1346</v>
      </c>
      <c r="D1681" s="119"/>
      <c r="E1681" s="120">
        <v>67029942</v>
      </c>
      <c r="F1681" s="117"/>
      <c r="G1681" s="107" t="s">
        <v>6</v>
      </c>
      <c r="H1681" s="133">
        <v>46085</v>
      </c>
      <c r="I1681" s="128">
        <v>0.45902777777777776</v>
      </c>
      <c r="J1681" s="117"/>
      <c r="K1681" s="117"/>
      <c r="L1681"/>
    </row>
    <row r="1682" spans="1:12">
      <c r="A1682" s="116" t="s">
        <v>1186</v>
      </c>
      <c r="B1682" s="117" t="s">
        <v>4782</v>
      </c>
      <c r="C1682" s="118" t="s">
        <v>1347</v>
      </c>
      <c r="D1682" s="119"/>
      <c r="E1682" s="120">
        <v>69794522</v>
      </c>
      <c r="F1682" s="117"/>
      <c r="G1682" s="107" t="s">
        <v>1</v>
      </c>
      <c r="H1682" s="133">
        <v>46085</v>
      </c>
      <c r="I1682" s="128">
        <v>0.4597222222222222</v>
      </c>
      <c r="J1682" s="117"/>
      <c r="K1682" s="117"/>
      <c r="L1682"/>
    </row>
    <row r="1683" spans="1:12">
      <c r="A1683" s="116" t="s">
        <v>1186</v>
      </c>
      <c r="B1683" s="117" t="s">
        <v>4782</v>
      </c>
      <c r="C1683" s="118" t="s">
        <v>1348</v>
      </c>
      <c r="D1683" s="119"/>
      <c r="E1683" s="120">
        <v>64100210</v>
      </c>
      <c r="F1683" s="117"/>
      <c r="G1683" s="107" t="s">
        <v>6</v>
      </c>
      <c r="H1683" s="133">
        <v>46085</v>
      </c>
      <c r="I1683" s="128">
        <v>0.46111111111111114</v>
      </c>
      <c r="J1683" s="117"/>
      <c r="K1683" s="117"/>
      <c r="L1683"/>
    </row>
    <row r="1684" spans="1:12">
      <c r="A1684" s="116" t="s">
        <v>1186</v>
      </c>
      <c r="B1684" s="117" t="s">
        <v>4782</v>
      </c>
      <c r="C1684" s="118" t="s">
        <v>1349</v>
      </c>
      <c r="D1684" s="119"/>
      <c r="E1684" s="120">
        <v>7705979</v>
      </c>
      <c r="F1684" s="117"/>
      <c r="G1684" s="107" t="s">
        <v>8</v>
      </c>
      <c r="H1684" s="133">
        <v>46085</v>
      </c>
      <c r="I1684" s="128">
        <v>0.46111111111111114</v>
      </c>
      <c r="J1684" s="117"/>
      <c r="K1684" s="117"/>
      <c r="L1684"/>
    </row>
    <row r="1685" spans="1:12">
      <c r="A1685" s="116" t="s">
        <v>1186</v>
      </c>
      <c r="B1685" s="117" t="s">
        <v>4782</v>
      </c>
      <c r="C1685" s="118" t="s">
        <v>1350</v>
      </c>
      <c r="D1685" s="119"/>
      <c r="E1685" s="120">
        <v>64136433</v>
      </c>
      <c r="F1685" s="117"/>
      <c r="G1685" s="107" t="s">
        <v>6</v>
      </c>
      <c r="H1685" s="133">
        <v>46085</v>
      </c>
      <c r="I1685" s="128">
        <v>0.60347222222222219</v>
      </c>
      <c r="J1685" s="117"/>
      <c r="K1685" s="117"/>
      <c r="L1685"/>
    </row>
    <row r="1686" spans="1:12">
      <c r="A1686" s="116" t="s">
        <v>1186</v>
      </c>
      <c r="B1686" s="117" t="s">
        <v>4782</v>
      </c>
      <c r="C1686" s="118" t="s">
        <v>1351</v>
      </c>
      <c r="D1686" s="119"/>
      <c r="E1686" s="120">
        <v>69187146</v>
      </c>
      <c r="F1686" s="117"/>
      <c r="G1686" s="107" t="s">
        <v>1</v>
      </c>
      <c r="H1686" s="133">
        <v>46085</v>
      </c>
      <c r="I1686" s="128">
        <v>0.60416666666666663</v>
      </c>
      <c r="J1686" s="117"/>
      <c r="K1686" s="117"/>
      <c r="L1686"/>
    </row>
    <row r="1687" spans="1:12">
      <c r="A1687" s="116" t="s">
        <v>1186</v>
      </c>
      <c r="B1687" s="117" t="s">
        <v>4782</v>
      </c>
      <c r="C1687" s="118" t="s">
        <v>1352</v>
      </c>
      <c r="D1687" s="119"/>
      <c r="E1687" s="120">
        <v>63630473</v>
      </c>
      <c r="F1687" s="117"/>
      <c r="G1687" s="107" t="s">
        <v>1</v>
      </c>
      <c r="H1687" s="133">
        <v>46085</v>
      </c>
      <c r="I1687" s="128">
        <v>0.60555555555555551</v>
      </c>
      <c r="J1687" s="117"/>
      <c r="K1687" s="117"/>
      <c r="L1687"/>
    </row>
    <row r="1688" spans="1:12">
      <c r="A1688" s="116" t="s">
        <v>1186</v>
      </c>
      <c r="B1688" s="117" t="s">
        <v>4782</v>
      </c>
      <c r="C1688" s="118" t="s">
        <v>1353</v>
      </c>
      <c r="D1688" s="119"/>
      <c r="E1688" s="120">
        <v>61799773</v>
      </c>
      <c r="F1688" s="117"/>
      <c r="G1688" s="107" t="s">
        <v>1</v>
      </c>
      <c r="H1688" s="133">
        <v>46085</v>
      </c>
      <c r="I1688" s="128">
        <v>0.61319444444444449</v>
      </c>
      <c r="J1688" s="117"/>
      <c r="K1688" s="117"/>
      <c r="L1688"/>
    </row>
    <row r="1689" spans="1:12">
      <c r="A1689" s="95" t="s">
        <v>1186</v>
      </c>
      <c r="B1689" t="s">
        <v>4782</v>
      </c>
      <c r="C1689" s="87" t="s">
        <v>1354</v>
      </c>
      <c r="D1689" s="88"/>
      <c r="E1689" s="89">
        <v>62856562</v>
      </c>
      <c r="F1689"/>
      <c r="G1689" s="17" t="s">
        <v>1</v>
      </c>
      <c r="H1689" s="132">
        <v>46085</v>
      </c>
      <c r="I1689" s="127">
        <v>0.61388888888888893</v>
      </c>
      <c r="J1689"/>
      <c r="K1689"/>
      <c r="L1689"/>
    </row>
    <row r="1690" spans="1:12">
      <c r="A1690" s="95" t="s">
        <v>1186</v>
      </c>
      <c r="B1690" t="s">
        <v>4782</v>
      </c>
      <c r="C1690" s="87" t="s">
        <v>1355</v>
      </c>
      <c r="D1690" s="88"/>
      <c r="E1690" s="89">
        <v>69936266</v>
      </c>
      <c r="F1690"/>
      <c r="G1690" s="17" t="s">
        <v>1</v>
      </c>
      <c r="H1690" s="132">
        <v>46085</v>
      </c>
      <c r="I1690" s="127">
        <v>0.61458333333333337</v>
      </c>
      <c r="J1690"/>
      <c r="K1690"/>
      <c r="L1690"/>
    </row>
    <row r="1691" spans="1:12">
      <c r="A1691" s="95" t="s">
        <v>1186</v>
      </c>
      <c r="B1691" t="s">
        <v>4782</v>
      </c>
      <c r="C1691" s="87" t="s">
        <v>1356</v>
      </c>
      <c r="D1691" s="88"/>
      <c r="E1691" s="89">
        <v>67998439</v>
      </c>
      <c r="F1691"/>
      <c r="G1691" s="17" t="s">
        <v>2</v>
      </c>
      <c r="H1691" s="132">
        <v>46085</v>
      </c>
      <c r="I1691" s="127">
        <v>0.61527777777777781</v>
      </c>
      <c r="J1691"/>
      <c r="K1691"/>
      <c r="L1691"/>
    </row>
    <row r="1692" spans="1:12">
      <c r="A1692" s="95" t="s">
        <v>1186</v>
      </c>
      <c r="B1692" t="s">
        <v>4782</v>
      </c>
      <c r="C1692" s="87" t="s">
        <v>1357</v>
      </c>
      <c r="D1692" s="88"/>
      <c r="E1692" s="89">
        <v>67501091</v>
      </c>
      <c r="F1692"/>
      <c r="G1692" s="17" t="s">
        <v>6</v>
      </c>
      <c r="H1692" s="132">
        <v>46085</v>
      </c>
      <c r="I1692" s="127">
        <v>0.61527777777777781</v>
      </c>
      <c r="J1692"/>
      <c r="K1692"/>
      <c r="L1692"/>
    </row>
    <row r="1693" spans="1:12">
      <c r="A1693" s="95" t="s">
        <v>1186</v>
      </c>
      <c r="B1693" t="s">
        <v>4782</v>
      </c>
      <c r="C1693" s="87" t="s">
        <v>1358</v>
      </c>
      <c r="D1693" s="88"/>
      <c r="E1693" s="89">
        <v>64286442</v>
      </c>
      <c r="F1693"/>
      <c r="G1693" s="17" t="s">
        <v>2</v>
      </c>
      <c r="H1693" s="132">
        <v>46085</v>
      </c>
      <c r="I1693" s="127">
        <v>0.61388888888888893</v>
      </c>
      <c r="J1693"/>
      <c r="K1693"/>
      <c r="L1693"/>
    </row>
    <row r="1694" spans="1:12">
      <c r="A1694" s="95" t="s">
        <v>1186</v>
      </c>
      <c r="B1694" t="s">
        <v>4782</v>
      </c>
      <c r="C1694" s="87" t="s">
        <v>1359</v>
      </c>
      <c r="D1694" s="88"/>
      <c r="E1694" s="89">
        <v>65250771</v>
      </c>
      <c r="F1694"/>
      <c r="G1694" s="17" t="s">
        <v>1</v>
      </c>
      <c r="H1694" s="132">
        <v>46085</v>
      </c>
      <c r="I1694" s="127">
        <v>0.61388888888888893</v>
      </c>
      <c r="J1694"/>
      <c r="K1694"/>
      <c r="L1694"/>
    </row>
    <row r="1695" spans="1:12">
      <c r="A1695" s="95" t="s">
        <v>1186</v>
      </c>
      <c r="B1695" t="s">
        <v>4782</v>
      </c>
      <c r="C1695" s="87" t="s">
        <v>1360</v>
      </c>
      <c r="D1695" s="88"/>
      <c r="E1695" s="89">
        <v>68807631</v>
      </c>
      <c r="F1695"/>
      <c r="G1695" s="17" t="s">
        <v>6</v>
      </c>
      <c r="H1695" s="132">
        <v>46085</v>
      </c>
      <c r="I1695" s="127">
        <v>0.61458333333333337</v>
      </c>
      <c r="J1695"/>
      <c r="K1695"/>
      <c r="L1695"/>
    </row>
    <row r="1696" spans="1:12">
      <c r="A1696" s="95" t="s">
        <v>1186</v>
      </c>
      <c r="B1696" t="s">
        <v>4782</v>
      </c>
      <c r="C1696" s="87" t="s">
        <v>1361</v>
      </c>
      <c r="D1696" s="88"/>
      <c r="E1696" s="89">
        <v>66553549</v>
      </c>
      <c r="F1696"/>
      <c r="G1696" s="17" t="s">
        <v>1</v>
      </c>
      <c r="H1696" s="132">
        <v>46085</v>
      </c>
      <c r="I1696" s="127">
        <v>0.61527777777777781</v>
      </c>
      <c r="J1696"/>
      <c r="K1696"/>
      <c r="L1696"/>
    </row>
    <row r="1697" spans="1:12">
      <c r="A1697" s="95" t="s">
        <v>1186</v>
      </c>
      <c r="B1697" t="s">
        <v>4782</v>
      </c>
      <c r="C1697" s="87" t="s">
        <v>1362</v>
      </c>
      <c r="D1697" s="88"/>
      <c r="E1697" s="89">
        <v>68996419</v>
      </c>
      <c r="F1697"/>
      <c r="G1697" s="17" t="s">
        <v>2</v>
      </c>
      <c r="H1697" s="132">
        <v>46085</v>
      </c>
      <c r="I1697" s="127">
        <v>0.6166666666666667</v>
      </c>
      <c r="J1697"/>
      <c r="K1697"/>
      <c r="L1697"/>
    </row>
    <row r="1698" spans="1:12">
      <c r="A1698" s="95" t="s">
        <v>1186</v>
      </c>
      <c r="B1698" t="s">
        <v>4782</v>
      </c>
      <c r="C1698" s="87" t="s">
        <v>1363</v>
      </c>
      <c r="D1698" s="88"/>
      <c r="E1698" s="89">
        <v>62070001</v>
      </c>
      <c r="F1698"/>
      <c r="G1698" s="17" t="s">
        <v>1</v>
      </c>
      <c r="H1698" s="132">
        <v>46085</v>
      </c>
      <c r="I1698" s="127">
        <v>0.61736111111111114</v>
      </c>
      <c r="J1698"/>
      <c r="K1698"/>
      <c r="L1698"/>
    </row>
    <row r="1699" spans="1:12">
      <c r="A1699" s="95" t="s">
        <v>1186</v>
      </c>
      <c r="B1699" t="s">
        <v>4781</v>
      </c>
      <c r="C1699" s="87" t="s">
        <v>1364</v>
      </c>
      <c r="D1699" s="88"/>
      <c r="E1699" s="89">
        <v>62638487</v>
      </c>
      <c r="F1699"/>
      <c r="G1699" s="17" t="s">
        <v>1</v>
      </c>
      <c r="H1699" s="132">
        <v>46085</v>
      </c>
      <c r="I1699" s="127">
        <v>0.61805555555555558</v>
      </c>
      <c r="J1699"/>
      <c r="K1699"/>
      <c r="L1699"/>
    </row>
    <row r="1700" spans="1:12">
      <c r="A1700" s="95" t="s">
        <v>1186</v>
      </c>
      <c r="B1700" t="s">
        <v>4784</v>
      </c>
      <c r="C1700" s="87" t="s">
        <v>1365</v>
      </c>
      <c r="D1700" s="88"/>
      <c r="E1700" s="89">
        <v>67400104</v>
      </c>
      <c r="F1700"/>
      <c r="H1700" s="132"/>
      <c r="J1700"/>
      <c r="K1700"/>
      <c r="L1700"/>
    </row>
    <row r="1701" spans="1:12">
      <c r="A1701" s="95" t="s">
        <v>1186</v>
      </c>
      <c r="B1701" t="s">
        <v>4784</v>
      </c>
      <c r="C1701" s="87" t="s">
        <v>1366</v>
      </c>
      <c r="D1701" s="88"/>
      <c r="E1701" s="89">
        <v>61232063</v>
      </c>
      <c r="F1701"/>
      <c r="G1701" s="17" t="s">
        <v>9</v>
      </c>
      <c r="H1701" s="132">
        <v>46090</v>
      </c>
      <c r="I1701" s="127">
        <v>0.40625</v>
      </c>
      <c r="J1701"/>
      <c r="K1701"/>
      <c r="L1701"/>
    </row>
    <row r="1702" spans="1:12">
      <c r="A1702" s="95" t="s">
        <v>1186</v>
      </c>
      <c r="B1702" t="s">
        <v>4784</v>
      </c>
      <c r="C1702" s="87" t="s">
        <v>1367</v>
      </c>
      <c r="D1702" s="88"/>
      <c r="E1702" s="89">
        <v>69351750</v>
      </c>
      <c r="F1702"/>
      <c r="G1702" s="17" t="s">
        <v>1</v>
      </c>
      <c r="H1702" s="132">
        <v>46090</v>
      </c>
      <c r="I1702" s="127">
        <v>0.40763888888888888</v>
      </c>
      <c r="J1702"/>
      <c r="K1702"/>
      <c r="L1702"/>
    </row>
    <row r="1703" spans="1:12">
      <c r="A1703" s="95" t="s">
        <v>1186</v>
      </c>
      <c r="B1703" t="s">
        <v>4784</v>
      </c>
      <c r="C1703" s="87" t="s">
        <v>1368</v>
      </c>
      <c r="D1703" s="88"/>
      <c r="E1703" s="89">
        <v>64233606</v>
      </c>
      <c r="F1703"/>
      <c r="G1703" s="17" t="s">
        <v>6</v>
      </c>
      <c r="H1703" s="132">
        <v>46090</v>
      </c>
      <c r="I1703" s="127">
        <v>0.40833333333333333</v>
      </c>
      <c r="J1703"/>
      <c r="K1703"/>
      <c r="L1703"/>
    </row>
    <row r="1704" spans="1:12">
      <c r="A1704" s="95" t="s">
        <v>1186</v>
      </c>
      <c r="B1704" t="s">
        <v>4784</v>
      </c>
      <c r="C1704" s="87" t="s">
        <v>1369</v>
      </c>
      <c r="D1704" s="88"/>
      <c r="E1704" s="89">
        <v>64073683</v>
      </c>
      <c r="F1704"/>
      <c r="G1704" s="17" t="s">
        <v>2</v>
      </c>
      <c r="H1704" s="132">
        <v>46090</v>
      </c>
      <c r="I1704" s="127">
        <v>0.40902777777777777</v>
      </c>
      <c r="J1704"/>
      <c r="K1704"/>
      <c r="L1704"/>
    </row>
    <row r="1705" spans="1:12">
      <c r="A1705" s="95" t="s">
        <v>1186</v>
      </c>
      <c r="B1705" t="s">
        <v>4784</v>
      </c>
      <c r="C1705" s="87" t="s">
        <v>1370</v>
      </c>
      <c r="D1705" s="88"/>
      <c r="E1705" s="89">
        <v>65603129</v>
      </c>
      <c r="F1705"/>
      <c r="G1705" s="17" t="s">
        <v>6</v>
      </c>
      <c r="H1705" s="132">
        <v>46090</v>
      </c>
      <c r="I1705" s="127">
        <v>0.41041666666666665</v>
      </c>
      <c r="J1705"/>
      <c r="K1705"/>
      <c r="L1705"/>
    </row>
    <row r="1706" spans="1:12">
      <c r="A1706" s="95" t="s">
        <v>1186</v>
      </c>
      <c r="B1706" t="s">
        <v>4784</v>
      </c>
      <c r="C1706" s="87" t="s">
        <v>1371</v>
      </c>
      <c r="D1706" s="88"/>
      <c r="E1706" s="89">
        <v>64739320</v>
      </c>
      <c r="F1706"/>
      <c r="G1706" s="17" t="s">
        <v>9</v>
      </c>
      <c r="H1706" s="132">
        <v>46090</v>
      </c>
      <c r="I1706" s="127">
        <v>0.41111111111111109</v>
      </c>
      <c r="J1706"/>
      <c r="K1706"/>
      <c r="L1706"/>
    </row>
    <row r="1707" spans="1:12">
      <c r="A1707" s="95" t="s">
        <v>1186</v>
      </c>
      <c r="B1707" t="s">
        <v>4784</v>
      </c>
      <c r="C1707" s="87" t="s">
        <v>1372</v>
      </c>
      <c r="D1707" s="88"/>
      <c r="E1707" s="89">
        <v>7229221</v>
      </c>
      <c r="F1707"/>
      <c r="G1707" s="17" t="s">
        <v>9</v>
      </c>
      <c r="H1707" s="132">
        <v>46090</v>
      </c>
      <c r="I1707" s="127">
        <v>0.41180555555555554</v>
      </c>
      <c r="J1707"/>
      <c r="K1707"/>
      <c r="L1707"/>
    </row>
    <row r="1708" spans="1:12">
      <c r="A1708" s="95" t="s">
        <v>1186</v>
      </c>
      <c r="B1708" t="s">
        <v>4784</v>
      </c>
      <c r="C1708" s="87" t="s">
        <v>1373</v>
      </c>
      <c r="D1708" s="88"/>
      <c r="E1708" s="89">
        <v>65327209</v>
      </c>
      <c r="F1708"/>
      <c r="G1708" s="17" t="s">
        <v>2</v>
      </c>
      <c r="H1708" s="132">
        <v>46090</v>
      </c>
      <c r="I1708" s="127">
        <v>0.41249999999999998</v>
      </c>
      <c r="J1708"/>
      <c r="K1708"/>
      <c r="L1708"/>
    </row>
    <row r="1709" spans="1:12">
      <c r="A1709" s="95" t="s">
        <v>1186</v>
      </c>
      <c r="B1709" t="s">
        <v>4784</v>
      </c>
      <c r="C1709" s="87" t="s">
        <v>1374</v>
      </c>
      <c r="D1709" s="88"/>
      <c r="E1709" s="89">
        <v>65415456</v>
      </c>
      <c r="F1709"/>
      <c r="G1709" s="17" t="s">
        <v>6</v>
      </c>
      <c r="H1709" s="132">
        <v>46090</v>
      </c>
      <c r="I1709" s="127">
        <v>0.41319444444444442</v>
      </c>
      <c r="J1709"/>
      <c r="K1709"/>
      <c r="L1709"/>
    </row>
    <row r="1710" spans="1:12">
      <c r="A1710" s="95" t="s">
        <v>1186</v>
      </c>
      <c r="B1710" t="s">
        <v>4784</v>
      </c>
      <c r="C1710" s="87" t="s">
        <v>1375</v>
      </c>
      <c r="D1710" s="88"/>
      <c r="E1710" s="89">
        <v>65800019</v>
      </c>
      <c r="F1710"/>
      <c r="G1710" s="17" t="s">
        <v>6</v>
      </c>
      <c r="H1710" s="132">
        <v>46090</v>
      </c>
      <c r="I1710" s="127">
        <v>0.41388888888888886</v>
      </c>
      <c r="J1710"/>
      <c r="K1710"/>
      <c r="L1710"/>
    </row>
    <row r="1711" spans="1:12">
      <c r="A1711" s="95" t="s">
        <v>1186</v>
      </c>
      <c r="B1711" t="s">
        <v>4784</v>
      </c>
      <c r="C1711" s="87" t="s">
        <v>1376</v>
      </c>
      <c r="D1711" s="88"/>
      <c r="E1711" s="89">
        <v>64593088</v>
      </c>
      <c r="F1711"/>
      <c r="G1711" s="17" t="s">
        <v>2</v>
      </c>
      <c r="H1711" s="132">
        <v>46090</v>
      </c>
      <c r="I1711" s="127">
        <v>0.41458333333333336</v>
      </c>
      <c r="J1711"/>
      <c r="K1711"/>
      <c r="L1711"/>
    </row>
    <row r="1712" spans="1:12">
      <c r="A1712" s="95" t="s">
        <v>1186</v>
      </c>
      <c r="B1712" t="s">
        <v>4784</v>
      </c>
      <c r="C1712" s="87" t="s">
        <v>1377</v>
      </c>
      <c r="D1712" s="88"/>
      <c r="E1712" s="89">
        <v>68147371</v>
      </c>
      <c r="F1712"/>
      <c r="G1712" s="17" t="s">
        <v>2</v>
      </c>
      <c r="H1712" s="132">
        <v>46090</v>
      </c>
      <c r="I1712" s="127">
        <v>0.4152777777777778</v>
      </c>
      <c r="J1712"/>
      <c r="K1712"/>
      <c r="L1712"/>
    </row>
    <row r="1713" spans="1:12">
      <c r="A1713" s="95" t="s">
        <v>1186</v>
      </c>
      <c r="B1713" t="s">
        <v>4784</v>
      </c>
      <c r="C1713" s="87" t="s">
        <v>1378</v>
      </c>
      <c r="D1713" s="88"/>
      <c r="E1713" s="89">
        <v>64036781</v>
      </c>
      <c r="F1713"/>
      <c r="G1713" s="17" t="s">
        <v>1</v>
      </c>
      <c r="H1713" s="132">
        <v>46090</v>
      </c>
      <c r="I1713" s="127">
        <v>0.41597222222222224</v>
      </c>
      <c r="J1713"/>
      <c r="K1713"/>
      <c r="L1713"/>
    </row>
    <row r="1714" spans="1:12">
      <c r="A1714" s="95" t="s">
        <v>1186</v>
      </c>
      <c r="B1714" t="s">
        <v>4784</v>
      </c>
      <c r="C1714" s="87" t="s">
        <v>1379</v>
      </c>
      <c r="D1714" s="88"/>
      <c r="E1714" s="89">
        <v>66365588</v>
      </c>
      <c r="F1714"/>
      <c r="G1714" s="17" t="s">
        <v>6</v>
      </c>
      <c r="H1714" s="132">
        <v>46090</v>
      </c>
      <c r="I1714" s="127">
        <v>0.41736111111111113</v>
      </c>
      <c r="J1714"/>
      <c r="K1714"/>
      <c r="L1714"/>
    </row>
    <row r="1715" spans="1:12">
      <c r="A1715" s="95" t="s">
        <v>1186</v>
      </c>
      <c r="B1715" t="s">
        <v>4784</v>
      </c>
      <c r="C1715" s="87" t="s">
        <v>1380</v>
      </c>
      <c r="D1715" s="88"/>
      <c r="E1715" s="89">
        <v>65938056</v>
      </c>
      <c r="F1715"/>
      <c r="G1715" s="17" t="s">
        <v>2</v>
      </c>
      <c r="H1715" s="132">
        <v>46090</v>
      </c>
      <c r="I1715" s="127">
        <v>0.41805555555555557</v>
      </c>
      <c r="J1715"/>
      <c r="K1715"/>
      <c r="L1715"/>
    </row>
    <row r="1716" spans="1:12">
      <c r="A1716" s="95" t="s">
        <v>1186</v>
      </c>
      <c r="B1716" t="s">
        <v>4784</v>
      </c>
      <c r="C1716" s="87" t="s">
        <v>1381</v>
      </c>
      <c r="D1716" s="88"/>
      <c r="E1716" s="89">
        <v>7201976</v>
      </c>
      <c r="F1716"/>
      <c r="G1716" s="17" t="s">
        <v>9</v>
      </c>
      <c r="H1716" s="132">
        <v>46090</v>
      </c>
      <c r="I1716" s="127">
        <v>0.41875000000000001</v>
      </c>
      <c r="J1716"/>
      <c r="K1716"/>
      <c r="L1716"/>
    </row>
    <row r="1717" spans="1:12">
      <c r="A1717" s="95" t="s">
        <v>1186</v>
      </c>
      <c r="B1717" t="s">
        <v>4784</v>
      </c>
      <c r="C1717" s="87" t="s">
        <v>1382</v>
      </c>
      <c r="D1717" s="88"/>
      <c r="E1717" s="89">
        <v>64452132</v>
      </c>
      <c r="F1717"/>
      <c r="G1717" s="17" t="s">
        <v>2</v>
      </c>
      <c r="H1717" s="132">
        <v>46090</v>
      </c>
      <c r="I1717" s="127">
        <v>0.4201388888888889</v>
      </c>
      <c r="J1717"/>
      <c r="K1717"/>
      <c r="L1717"/>
    </row>
    <row r="1718" spans="1:12">
      <c r="A1718" s="95" t="s">
        <v>1186</v>
      </c>
      <c r="B1718" t="s">
        <v>4784</v>
      </c>
      <c r="C1718" s="87" t="s">
        <v>1383</v>
      </c>
      <c r="D1718" s="88"/>
      <c r="E1718" s="89">
        <v>64730268</v>
      </c>
      <c r="F1718"/>
      <c r="G1718" s="17" t="s">
        <v>1</v>
      </c>
      <c r="H1718" s="132">
        <v>46090</v>
      </c>
      <c r="I1718" s="127">
        <v>0.42708333333333331</v>
      </c>
      <c r="J1718"/>
      <c r="K1718"/>
      <c r="L1718"/>
    </row>
    <row r="1719" spans="1:12">
      <c r="A1719" s="95" t="s">
        <v>1186</v>
      </c>
      <c r="B1719" t="s">
        <v>4784</v>
      </c>
      <c r="C1719" s="87" t="s">
        <v>1384</v>
      </c>
      <c r="D1719" s="88"/>
      <c r="E1719" s="89">
        <v>61118477</v>
      </c>
      <c r="F1719"/>
      <c r="G1719" s="17" t="s">
        <v>6</v>
      </c>
      <c r="H1719" s="132">
        <v>46090</v>
      </c>
      <c r="I1719" s="127">
        <v>0.4284722222222222</v>
      </c>
      <c r="J1719"/>
      <c r="K1719"/>
      <c r="L1719"/>
    </row>
    <row r="1720" spans="1:12">
      <c r="A1720" s="95" t="s">
        <v>1186</v>
      </c>
      <c r="B1720" t="s">
        <v>4784</v>
      </c>
      <c r="C1720" s="87" t="s">
        <v>1385</v>
      </c>
      <c r="D1720" s="88"/>
      <c r="E1720" s="89">
        <v>69391307</v>
      </c>
      <c r="F1720"/>
      <c r="G1720" s="17" t="s">
        <v>6</v>
      </c>
      <c r="H1720" s="132">
        <v>46090</v>
      </c>
      <c r="I1720" s="127">
        <v>0.42916666666666664</v>
      </c>
      <c r="J1720"/>
      <c r="K1720"/>
      <c r="L1720"/>
    </row>
    <row r="1721" spans="1:12">
      <c r="A1721" s="95" t="s">
        <v>1186</v>
      </c>
      <c r="B1721" t="s">
        <v>4784</v>
      </c>
      <c r="C1721" s="87" t="s">
        <v>1386</v>
      </c>
      <c r="D1721" s="88"/>
      <c r="E1721" s="89">
        <v>63813387</v>
      </c>
      <c r="F1721"/>
      <c r="G1721" s="17" t="s">
        <v>1</v>
      </c>
      <c r="H1721" s="132">
        <v>46090</v>
      </c>
      <c r="I1721" s="127">
        <v>0.42986111111111114</v>
      </c>
      <c r="J1721"/>
      <c r="K1721"/>
      <c r="L1721"/>
    </row>
    <row r="1722" spans="1:12">
      <c r="A1722" s="95" t="s">
        <v>1186</v>
      </c>
      <c r="B1722" t="s">
        <v>4784</v>
      </c>
      <c r="C1722" s="87" t="s">
        <v>1387</v>
      </c>
      <c r="D1722" s="88"/>
      <c r="E1722" s="89">
        <v>67738116</v>
      </c>
      <c r="F1722"/>
      <c r="G1722" s="17" t="s">
        <v>3</v>
      </c>
      <c r="H1722" s="132">
        <v>46090</v>
      </c>
      <c r="I1722" s="127">
        <v>0.43055555555555558</v>
      </c>
      <c r="J1722"/>
      <c r="K1722"/>
      <c r="L1722"/>
    </row>
    <row r="1723" spans="1:12">
      <c r="A1723" s="95" t="s">
        <v>1186</v>
      </c>
      <c r="B1723" t="s">
        <v>4784</v>
      </c>
      <c r="C1723" s="87" t="s">
        <v>1388</v>
      </c>
      <c r="D1723" s="88"/>
      <c r="E1723" s="89">
        <v>7756958</v>
      </c>
      <c r="F1723"/>
      <c r="G1723" s="17" t="s">
        <v>1</v>
      </c>
      <c r="H1723" s="132">
        <v>46090</v>
      </c>
      <c r="I1723" s="127">
        <v>9.5138888888888884E-2</v>
      </c>
      <c r="J1723"/>
      <c r="K1723"/>
      <c r="L1723"/>
    </row>
    <row r="1724" spans="1:12">
      <c r="A1724" s="95" t="s">
        <v>1186</v>
      </c>
      <c r="B1724" t="s">
        <v>4784</v>
      </c>
      <c r="C1724" s="87" t="s">
        <v>1389</v>
      </c>
      <c r="D1724" s="88"/>
      <c r="E1724" s="89">
        <v>68069059</v>
      </c>
      <c r="F1724"/>
      <c r="G1724" s="17" t="s">
        <v>9</v>
      </c>
      <c r="H1724" s="132">
        <v>46090</v>
      </c>
      <c r="I1724" s="127">
        <v>9.6527777777777782E-2</v>
      </c>
      <c r="J1724"/>
      <c r="K1724"/>
      <c r="L1724"/>
    </row>
    <row r="1725" spans="1:12">
      <c r="A1725" s="95" t="s">
        <v>1186</v>
      </c>
      <c r="B1725" t="s">
        <v>4784</v>
      </c>
      <c r="C1725" s="87" t="s">
        <v>1390</v>
      </c>
      <c r="D1725" s="88"/>
      <c r="E1725" s="89">
        <v>65891769</v>
      </c>
      <c r="F1725"/>
      <c r="G1725" s="17" t="s">
        <v>2</v>
      </c>
      <c r="H1725" s="132">
        <v>46090</v>
      </c>
      <c r="I1725" s="127">
        <v>9.7222222222222224E-2</v>
      </c>
      <c r="J1725"/>
      <c r="K1725"/>
      <c r="L1725"/>
    </row>
    <row r="1726" spans="1:12">
      <c r="A1726" s="95" t="s">
        <v>1186</v>
      </c>
      <c r="B1726" t="s">
        <v>4784</v>
      </c>
      <c r="C1726" s="87" t="s">
        <v>1391</v>
      </c>
      <c r="D1726" s="88"/>
      <c r="E1726" s="89">
        <v>67436007</v>
      </c>
      <c r="F1726"/>
      <c r="G1726" s="17" t="s">
        <v>9</v>
      </c>
      <c r="H1726" s="132">
        <v>46090</v>
      </c>
      <c r="I1726" s="127">
        <v>9.7916666666666666E-2</v>
      </c>
      <c r="J1726"/>
      <c r="K1726"/>
      <c r="L1726"/>
    </row>
    <row r="1727" spans="1:12">
      <c r="A1727" s="95" t="s">
        <v>1186</v>
      </c>
      <c r="B1727" t="s">
        <v>4784</v>
      </c>
      <c r="C1727" s="87" t="s">
        <v>1392</v>
      </c>
      <c r="D1727" s="88"/>
      <c r="E1727" s="89">
        <v>7746037</v>
      </c>
      <c r="F1727"/>
      <c r="G1727" s="17" t="s">
        <v>2</v>
      </c>
      <c r="H1727" s="132">
        <v>46090</v>
      </c>
      <c r="I1727" s="127">
        <v>9.8611111111111108E-2</v>
      </c>
      <c r="J1727"/>
      <c r="K1727"/>
      <c r="L1727"/>
    </row>
    <row r="1728" spans="1:12">
      <c r="A1728" s="95" t="s">
        <v>1186</v>
      </c>
      <c r="B1728" t="s">
        <v>4784</v>
      </c>
      <c r="C1728" s="87" t="s">
        <v>1393</v>
      </c>
      <c r="D1728" s="88"/>
      <c r="E1728" s="89">
        <v>66559028</v>
      </c>
      <c r="F1728"/>
      <c r="G1728" s="17" t="s">
        <v>1</v>
      </c>
      <c r="H1728" s="132">
        <v>46090</v>
      </c>
      <c r="I1728" s="127">
        <v>0.1</v>
      </c>
      <c r="J1728"/>
      <c r="K1728"/>
      <c r="L1728"/>
    </row>
    <row r="1729" spans="1:12">
      <c r="A1729" s="95" t="s">
        <v>1186</v>
      </c>
      <c r="B1729" t="s">
        <v>4784</v>
      </c>
      <c r="C1729" s="87" t="s">
        <v>1394</v>
      </c>
      <c r="D1729" s="88"/>
      <c r="E1729" s="89">
        <v>65253055</v>
      </c>
      <c r="F1729"/>
      <c r="G1729" s="17" t="s">
        <v>6</v>
      </c>
      <c r="H1729" s="132">
        <v>46090</v>
      </c>
      <c r="I1729" s="127">
        <v>0.10486111111111111</v>
      </c>
      <c r="J1729"/>
      <c r="K1729"/>
      <c r="L1729"/>
    </row>
    <row r="1730" spans="1:12">
      <c r="A1730" s="95" t="s">
        <v>1186</v>
      </c>
      <c r="B1730" t="s">
        <v>4784</v>
      </c>
      <c r="C1730" s="87" t="s">
        <v>1395</v>
      </c>
      <c r="D1730" s="88"/>
      <c r="E1730" s="89">
        <v>67242338</v>
      </c>
      <c r="F1730"/>
      <c r="G1730" s="17" t="s">
        <v>2</v>
      </c>
      <c r="H1730" s="132">
        <v>46090</v>
      </c>
      <c r="I1730" s="127">
        <v>0.10555555555555556</v>
      </c>
      <c r="J1730"/>
      <c r="K1730"/>
      <c r="L1730"/>
    </row>
    <row r="1731" spans="1:12">
      <c r="A1731" s="95" t="s">
        <v>1186</v>
      </c>
      <c r="B1731" t="s">
        <v>4784</v>
      </c>
      <c r="C1731" s="87" t="s">
        <v>1396</v>
      </c>
      <c r="D1731" s="88"/>
      <c r="E1731" s="89">
        <v>65921190</v>
      </c>
      <c r="F1731"/>
      <c r="G1731" s="17" t="s">
        <v>6</v>
      </c>
      <c r="H1731" s="132">
        <v>46090</v>
      </c>
      <c r="I1731" s="127">
        <v>0.10625</v>
      </c>
      <c r="J1731"/>
      <c r="K1731"/>
      <c r="L1731"/>
    </row>
    <row r="1732" spans="1:12">
      <c r="A1732" s="95" t="s">
        <v>1186</v>
      </c>
      <c r="B1732" t="s">
        <v>4784</v>
      </c>
      <c r="C1732" s="87" t="s">
        <v>1397</v>
      </c>
      <c r="D1732" s="88"/>
      <c r="E1732" s="89">
        <v>69134871</v>
      </c>
      <c r="F1732"/>
      <c r="G1732" s="17" t="s">
        <v>3</v>
      </c>
      <c r="H1732" s="132">
        <v>46090</v>
      </c>
      <c r="I1732" s="127">
        <v>0.1076388888888889</v>
      </c>
      <c r="J1732"/>
      <c r="K1732"/>
      <c r="L1732"/>
    </row>
    <row r="1733" spans="1:12">
      <c r="A1733" s="95" t="s">
        <v>1186</v>
      </c>
      <c r="B1733" t="s">
        <v>4784</v>
      </c>
      <c r="C1733" s="87" t="s">
        <v>1398</v>
      </c>
      <c r="D1733" s="88"/>
      <c r="E1733" s="89">
        <v>68117229</v>
      </c>
      <c r="F1733"/>
      <c r="G1733" s="17" t="s">
        <v>6</v>
      </c>
      <c r="H1733" s="132">
        <v>46090</v>
      </c>
      <c r="I1733" s="127">
        <v>0.10833333333333334</v>
      </c>
      <c r="J1733"/>
      <c r="K1733"/>
      <c r="L1733"/>
    </row>
    <row r="1734" spans="1:12">
      <c r="A1734" s="95" t="s">
        <v>1186</v>
      </c>
      <c r="B1734" t="s">
        <v>4784</v>
      </c>
      <c r="C1734" s="87" t="s">
        <v>1399</v>
      </c>
      <c r="D1734" s="88"/>
      <c r="E1734" s="89">
        <v>68591580</v>
      </c>
      <c r="F1734"/>
      <c r="G1734" s="17" t="s">
        <v>2</v>
      </c>
      <c r="H1734" s="132">
        <v>46090</v>
      </c>
      <c r="I1734" s="127">
        <v>0.10902777777777778</v>
      </c>
      <c r="J1734"/>
      <c r="K1734"/>
      <c r="L1734"/>
    </row>
    <row r="1735" spans="1:12">
      <c r="A1735" s="95" t="s">
        <v>1186</v>
      </c>
      <c r="B1735" t="s">
        <v>4784</v>
      </c>
      <c r="C1735" s="87" t="s">
        <v>1400</v>
      </c>
      <c r="D1735" s="88"/>
      <c r="E1735" s="89">
        <v>67283843</v>
      </c>
      <c r="F1735"/>
      <c r="H1735" s="132"/>
      <c r="J1735"/>
      <c r="K1735"/>
      <c r="L1735"/>
    </row>
    <row r="1736" spans="1:12">
      <c r="A1736" s="95" t="s">
        <v>1186</v>
      </c>
      <c r="B1736" t="s">
        <v>4784</v>
      </c>
      <c r="C1736" s="87" t="s">
        <v>1401</v>
      </c>
      <c r="D1736" s="88"/>
      <c r="E1736" s="89">
        <v>69929176</v>
      </c>
      <c r="F1736"/>
      <c r="H1736" s="132"/>
      <c r="J1736"/>
      <c r="K1736"/>
      <c r="L1736"/>
    </row>
    <row r="1737" spans="1:12">
      <c r="A1737" s="95" t="s">
        <v>1186</v>
      </c>
      <c r="B1737" t="s">
        <v>4784</v>
      </c>
      <c r="C1737" s="87" t="s">
        <v>1402</v>
      </c>
      <c r="D1737" s="88"/>
      <c r="E1737" s="89">
        <v>69669411</v>
      </c>
      <c r="F1737"/>
      <c r="H1737" s="132"/>
      <c r="J1737"/>
      <c r="K1737"/>
      <c r="L1737"/>
    </row>
    <row r="1738" spans="1:12">
      <c r="A1738" s="95" t="s">
        <v>1186</v>
      </c>
      <c r="B1738" t="s">
        <v>4784</v>
      </c>
      <c r="C1738" s="87" t="s">
        <v>1403</v>
      </c>
      <c r="D1738" s="88"/>
      <c r="E1738" s="89">
        <v>7750126</v>
      </c>
      <c r="F1738"/>
      <c r="H1738" s="132"/>
      <c r="J1738"/>
      <c r="K1738"/>
      <c r="L1738"/>
    </row>
    <row r="1739" spans="1:12">
      <c r="A1739" s="95" t="s">
        <v>1186</v>
      </c>
      <c r="B1739" t="s">
        <v>4784</v>
      </c>
      <c r="C1739" s="87" t="s">
        <v>1404</v>
      </c>
      <c r="D1739" s="88"/>
      <c r="E1739" s="89">
        <v>67814193</v>
      </c>
      <c r="F1739"/>
      <c r="H1739" s="132"/>
      <c r="J1739"/>
      <c r="K1739"/>
      <c r="L1739"/>
    </row>
    <row r="1740" spans="1:12">
      <c r="A1740" s="95" t="s">
        <v>1186</v>
      </c>
      <c r="B1740" t="s">
        <v>4784</v>
      </c>
      <c r="C1740" s="87" t="s">
        <v>1405</v>
      </c>
      <c r="D1740" s="88"/>
      <c r="E1740" s="89">
        <v>65108331</v>
      </c>
      <c r="F1740"/>
      <c r="H1740" s="132"/>
      <c r="J1740"/>
      <c r="K1740"/>
      <c r="L1740"/>
    </row>
    <row r="1741" spans="1:12">
      <c r="A1741" s="95" t="s">
        <v>1186</v>
      </c>
      <c r="B1741" t="s">
        <v>4784</v>
      </c>
      <c r="C1741" s="87" t="s">
        <v>1406</v>
      </c>
      <c r="D1741" s="88"/>
      <c r="E1741" s="89">
        <v>65109883</v>
      </c>
      <c r="F1741"/>
      <c r="H1741" s="132"/>
      <c r="J1741"/>
      <c r="K1741"/>
      <c r="L1741"/>
    </row>
    <row r="1742" spans="1:12">
      <c r="A1742" s="95" t="s">
        <v>1186</v>
      </c>
      <c r="B1742" t="s">
        <v>4784</v>
      </c>
      <c r="C1742" s="87" t="s">
        <v>1407</v>
      </c>
      <c r="D1742" s="88"/>
      <c r="E1742" s="89">
        <v>69364266</v>
      </c>
      <c r="F1742"/>
      <c r="H1742" s="132"/>
      <c r="J1742"/>
      <c r="K1742"/>
      <c r="L1742"/>
    </row>
    <row r="1743" spans="1:12">
      <c r="A1743" s="95" t="s">
        <v>1186</v>
      </c>
      <c r="B1743" t="s">
        <v>4784</v>
      </c>
      <c r="C1743" s="87" t="s">
        <v>1408</v>
      </c>
      <c r="D1743" s="88"/>
      <c r="E1743" s="89">
        <v>64521769</v>
      </c>
      <c r="F1743"/>
      <c r="H1743" s="132"/>
      <c r="J1743"/>
      <c r="K1743"/>
      <c r="L1743"/>
    </row>
    <row r="1744" spans="1:12">
      <c r="A1744" s="95" t="s">
        <v>1186</v>
      </c>
      <c r="B1744" t="s">
        <v>4784</v>
      </c>
      <c r="C1744" s="87" t="s">
        <v>1409</v>
      </c>
      <c r="D1744" s="88"/>
      <c r="E1744" s="89">
        <v>65175274</v>
      </c>
      <c r="F1744"/>
      <c r="H1744" s="132"/>
      <c r="J1744"/>
      <c r="K1744"/>
      <c r="L1744"/>
    </row>
    <row r="1745" spans="1:12">
      <c r="A1745" s="95" t="s">
        <v>1186</v>
      </c>
      <c r="B1745" t="s">
        <v>4784</v>
      </c>
      <c r="C1745" s="87" t="s">
        <v>1410</v>
      </c>
      <c r="D1745" s="88"/>
      <c r="E1745" s="89">
        <v>64740182</v>
      </c>
      <c r="F1745"/>
      <c r="H1745" s="132"/>
      <c r="J1745"/>
      <c r="K1745"/>
      <c r="L1745"/>
    </row>
    <row r="1746" spans="1:12">
      <c r="A1746" s="95" t="s">
        <v>1186</v>
      </c>
      <c r="B1746" t="s">
        <v>4784</v>
      </c>
      <c r="C1746" s="87" t="s">
        <v>1411</v>
      </c>
      <c r="D1746" s="88"/>
      <c r="E1746" s="89">
        <v>62813179</v>
      </c>
      <c r="F1746"/>
      <c r="H1746" s="132"/>
      <c r="J1746"/>
      <c r="K1746"/>
      <c r="L1746"/>
    </row>
    <row r="1747" spans="1:12">
      <c r="A1747" s="95" t="s">
        <v>1186</v>
      </c>
      <c r="B1747" t="s">
        <v>4784</v>
      </c>
      <c r="C1747" s="87" t="s">
        <v>1412</v>
      </c>
      <c r="D1747" s="88"/>
      <c r="E1747" s="89">
        <v>65320700</v>
      </c>
      <c r="F1747"/>
      <c r="H1747" s="132"/>
      <c r="J1747"/>
      <c r="K1747"/>
      <c r="L1747"/>
    </row>
    <row r="1748" spans="1:12">
      <c r="A1748" s="95" t="s">
        <v>1186</v>
      </c>
      <c r="B1748" t="s">
        <v>4784</v>
      </c>
      <c r="C1748" s="87" t="s">
        <v>1413</v>
      </c>
      <c r="D1748" s="88"/>
      <c r="E1748" s="89">
        <v>66839251</v>
      </c>
      <c r="F1748"/>
      <c r="H1748" s="132"/>
      <c r="J1748"/>
      <c r="K1748"/>
      <c r="L1748"/>
    </row>
    <row r="1749" spans="1:12">
      <c r="A1749" s="95" t="s">
        <v>1186</v>
      </c>
      <c r="B1749" t="s">
        <v>4784</v>
      </c>
      <c r="C1749" s="87" t="s">
        <v>1414</v>
      </c>
      <c r="D1749" s="88"/>
      <c r="E1749" s="89">
        <v>60137454</v>
      </c>
      <c r="F1749"/>
      <c r="H1749" s="132"/>
      <c r="J1749"/>
      <c r="K1749"/>
      <c r="L1749"/>
    </row>
    <row r="1750" spans="1:12">
      <c r="A1750" s="95" t="s">
        <v>1186</v>
      </c>
      <c r="B1750" t="s">
        <v>4784</v>
      </c>
      <c r="C1750" s="87" t="s">
        <v>1415</v>
      </c>
      <c r="D1750" s="88"/>
      <c r="E1750" s="89">
        <v>68423108</v>
      </c>
      <c r="F1750"/>
      <c r="H1750" s="132"/>
      <c r="J1750"/>
      <c r="K1750"/>
      <c r="L1750"/>
    </row>
    <row r="1751" spans="1:12">
      <c r="A1751" s="95" t="s">
        <v>1186</v>
      </c>
      <c r="B1751" t="s">
        <v>4784</v>
      </c>
      <c r="C1751" s="87" t="s">
        <v>1416</v>
      </c>
      <c r="D1751" s="88"/>
      <c r="E1751" s="89">
        <v>63114735</v>
      </c>
      <c r="F1751"/>
      <c r="H1751" s="132"/>
      <c r="J1751"/>
      <c r="K1751"/>
      <c r="L1751"/>
    </row>
    <row r="1752" spans="1:12">
      <c r="A1752" s="95" t="s">
        <v>1186</v>
      </c>
      <c r="B1752" t="s">
        <v>4784</v>
      </c>
      <c r="C1752" s="87" t="s">
        <v>1417</v>
      </c>
      <c r="D1752" s="88"/>
      <c r="E1752" s="89">
        <v>66363613</v>
      </c>
      <c r="F1752"/>
      <c r="H1752" s="132"/>
      <c r="J1752"/>
      <c r="K1752"/>
      <c r="L1752"/>
    </row>
    <row r="1753" spans="1:12">
      <c r="A1753" s="95" t="s">
        <v>1186</v>
      </c>
      <c r="B1753" t="s">
        <v>4784</v>
      </c>
      <c r="C1753" s="87" t="s">
        <v>1418</v>
      </c>
      <c r="D1753" s="88"/>
      <c r="E1753" s="89">
        <v>7718660</v>
      </c>
      <c r="F1753"/>
      <c r="H1753" s="132"/>
      <c r="J1753"/>
      <c r="K1753"/>
      <c r="L1753"/>
    </row>
    <row r="1754" spans="1:12">
      <c r="A1754" s="95" t="s">
        <v>1186</v>
      </c>
      <c r="B1754" t="s">
        <v>4784</v>
      </c>
      <c r="C1754" s="87" t="s">
        <v>1419</v>
      </c>
      <c r="D1754" s="88"/>
      <c r="E1754" s="89">
        <v>63188562</v>
      </c>
      <c r="F1754"/>
      <c r="H1754" s="132"/>
      <c r="J1754"/>
      <c r="K1754"/>
      <c r="L1754"/>
    </row>
    <row r="1755" spans="1:12">
      <c r="A1755" s="95" t="s">
        <v>1186</v>
      </c>
      <c r="B1755" t="s">
        <v>4784</v>
      </c>
      <c r="C1755" s="87" t="s">
        <v>1420</v>
      </c>
      <c r="D1755" s="88"/>
      <c r="E1755" s="89">
        <v>64449271</v>
      </c>
      <c r="F1755"/>
      <c r="H1755" s="132"/>
      <c r="J1755"/>
      <c r="K1755"/>
      <c r="L1755"/>
    </row>
    <row r="1756" spans="1:12">
      <c r="A1756" s="95" t="s">
        <v>1186</v>
      </c>
      <c r="B1756" t="s">
        <v>4784</v>
      </c>
      <c r="C1756" s="87" t="s">
        <v>1421</v>
      </c>
      <c r="D1756" s="88"/>
      <c r="E1756" s="89">
        <v>65302344</v>
      </c>
      <c r="F1756"/>
      <c r="H1756" s="132"/>
      <c r="J1756"/>
      <c r="K1756"/>
      <c r="L1756"/>
    </row>
    <row r="1757" spans="1:12">
      <c r="A1757" s="95" t="s">
        <v>1186</v>
      </c>
      <c r="B1757" t="s">
        <v>4784</v>
      </c>
      <c r="C1757" s="87" t="s">
        <v>1422</v>
      </c>
      <c r="D1757" s="88"/>
      <c r="E1757" s="89">
        <v>65846126</v>
      </c>
      <c r="F1757"/>
      <c r="H1757" s="132"/>
      <c r="J1757"/>
      <c r="K1757"/>
      <c r="L1757"/>
    </row>
    <row r="1758" spans="1:12">
      <c r="A1758" s="95" t="s">
        <v>1186</v>
      </c>
      <c r="B1758" t="s">
        <v>4784</v>
      </c>
      <c r="C1758" s="87" t="s">
        <v>1423</v>
      </c>
      <c r="D1758" s="88"/>
      <c r="E1758" s="89">
        <v>68709356</v>
      </c>
      <c r="F1758"/>
      <c r="H1758" s="132"/>
      <c r="J1758"/>
      <c r="K1758"/>
      <c r="L1758"/>
    </row>
    <row r="1759" spans="1:12">
      <c r="A1759" s="95" t="s">
        <v>1186</v>
      </c>
      <c r="B1759" t="s">
        <v>4784</v>
      </c>
      <c r="C1759" s="87" t="s">
        <v>1424</v>
      </c>
      <c r="D1759" s="88"/>
      <c r="E1759" s="89">
        <v>69775807</v>
      </c>
      <c r="F1759"/>
      <c r="H1759" s="132"/>
      <c r="J1759"/>
      <c r="K1759"/>
      <c r="L1759"/>
    </row>
    <row r="1760" spans="1:12">
      <c r="A1760" s="95" t="s">
        <v>1186</v>
      </c>
      <c r="B1760" t="s">
        <v>4784</v>
      </c>
      <c r="C1760" s="87" t="s">
        <v>1425</v>
      </c>
      <c r="D1760" s="88"/>
      <c r="E1760" s="89">
        <v>64734615</v>
      </c>
      <c r="F1760"/>
      <c r="H1760" s="132"/>
      <c r="J1760"/>
      <c r="K1760"/>
      <c r="L1760"/>
    </row>
    <row r="1761" spans="1:12">
      <c r="A1761" s="95" t="s">
        <v>1186</v>
      </c>
      <c r="B1761" t="s">
        <v>4784</v>
      </c>
      <c r="C1761" s="87" t="s">
        <v>1426</v>
      </c>
      <c r="D1761" s="88"/>
      <c r="E1761" s="89">
        <v>68966084</v>
      </c>
      <c r="F1761"/>
      <c r="H1761" s="132"/>
      <c r="J1761"/>
      <c r="K1761"/>
      <c r="L1761"/>
    </row>
    <row r="1762" spans="1:12">
      <c r="A1762" s="95" t="s">
        <v>1186</v>
      </c>
      <c r="B1762" t="s">
        <v>4784</v>
      </c>
      <c r="C1762" s="87" t="s">
        <v>1427</v>
      </c>
      <c r="D1762" s="88"/>
      <c r="E1762" s="89">
        <v>66895809</v>
      </c>
      <c r="F1762"/>
      <c r="H1762" s="132"/>
      <c r="J1762"/>
      <c r="K1762"/>
      <c r="L1762"/>
    </row>
    <row r="1763" spans="1:12">
      <c r="A1763" s="95" t="s">
        <v>1186</v>
      </c>
      <c r="B1763" t="s">
        <v>4784</v>
      </c>
      <c r="C1763" s="87" t="s">
        <v>1428</v>
      </c>
      <c r="D1763" s="88"/>
      <c r="E1763" s="89">
        <v>68827733</v>
      </c>
      <c r="F1763"/>
      <c r="H1763" s="132"/>
      <c r="J1763"/>
      <c r="K1763"/>
      <c r="L1763"/>
    </row>
    <row r="1764" spans="1:12">
      <c r="A1764" s="95" t="s">
        <v>1186</v>
      </c>
      <c r="B1764" t="s">
        <v>4784</v>
      </c>
      <c r="C1764" s="87" t="s">
        <v>1429</v>
      </c>
      <c r="D1764" s="88"/>
      <c r="E1764" s="89">
        <v>64651631</v>
      </c>
      <c r="F1764"/>
      <c r="H1764" s="132"/>
      <c r="J1764"/>
      <c r="K1764"/>
      <c r="L1764"/>
    </row>
    <row r="1765" spans="1:12">
      <c r="A1765" s="95" t="s">
        <v>1186</v>
      </c>
      <c r="B1765" t="s">
        <v>4784</v>
      </c>
      <c r="C1765" s="87" t="s">
        <v>1430</v>
      </c>
      <c r="D1765" s="88"/>
      <c r="E1765" s="89">
        <v>66906055</v>
      </c>
      <c r="F1765"/>
      <c r="H1765" s="132"/>
      <c r="J1765"/>
      <c r="K1765"/>
      <c r="L1765"/>
    </row>
    <row r="1766" spans="1:12">
      <c r="A1766" s="95" t="s">
        <v>1186</v>
      </c>
      <c r="B1766" t="s">
        <v>4784</v>
      </c>
      <c r="C1766" s="87" t="s">
        <v>1431</v>
      </c>
      <c r="D1766" s="88"/>
      <c r="E1766" s="89">
        <v>66889000</v>
      </c>
      <c r="F1766"/>
      <c r="H1766" s="132"/>
      <c r="J1766"/>
      <c r="K1766"/>
      <c r="L1766"/>
    </row>
    <row r="1767" spans="1:12">
      <c r="A1767" s="95" t="s">
        <v>1186</v>
      </c>
      <c r="B1767" t="s">
        <v>4784</v>
      </c>
      <c r="C1767" s="87" t="s">
        <v>1432</v>
      </c>
      <c r="D1767" s="88"/>
      <c r="E1767" s="89">
        <v>3981129</v>
      </c>
      <c r="F1767"/>
      <c r="H1767" s="132"/>
      <c r="J1767"/>
      <c r="K1767"/>
      <c r="L1767"/>
    </row>
    <row r="1768" spans="1:12">
      <c r="A1768" s="95" t="s">
        <v>1186</v>
      </c>
      <c r="B1768" t="s">
        <v>4784</v>
      </c>
      <c r="C1768" s="87" t="s">
        <v>1433</v>
      </c>
      <c r="D1768" s="88"/>
      <c r="E1768" s="89">
        <v>66144601</v>
      </c>
      <c r="F1768"/>
      <c r="H1768" s="132"/>
      <c r="J1768"/>
      <c r="K1768"/>
      <c r="L1768"/>
    </row>
    <row r="1769" spans="1:12">
      <c r="A1769" s="95" t="s">
        <v>1186</v>
      </c>
      <c r="B1769" t="s">
        <v>4784</v>
      </c>
      <c r="C1769" s="87" t="s">
        <v>1434</v>
      </c>
      <c r="D1769" s="88"/>
      <c r="E1769" s="89">
        <v>63868375</v>
      </c>
      <c r="F1769"/>
      <c r="H1769" s="132"/>
      <c r="J1769"/>
      <c r="K1769"/>
      <c r="L1769"/>
    </row>
    <row r="1770" spans="1:12">
      <c r="A1770" s="95" t="s">
        <v>1186</v>
      </c>
      <c r="B1770" t="s">
        <v>4784</v>
      </c>
      <c r="C1770" s="87" t="s">
        <v>1435</v>
      </c>
      <c r="D1770" s="88"/>
      <c r="E1770" s="89">
        <v>69118423</v>
      </c>
      <c r="F1770"/>
      <c r="H1770" s="132"/>
      <c r="J1770"/>
      <c r="K1770"/>
      <c r="L1770"/>
    </row>
    <row r="1771" spans="1:12">
      <c r="A1771" s="95" t="s">
        <v>1186</v>
      </c>
      <c r="B1771" t="s">
        <v>4784</v>
      </c>
      <c r="C1771" s="87" t="s">
        <v>1436</v>
      </c>
      <c r="D1771" s="88"/>
      <c r="E1771" s="89">
        <v>7750239</v>
      </c>
      <c r="F1771"/>
      <c r="H1771" s="132"/>
      <c r="J1771"/>
      <c r="K1771"/>
      <c r="L1771"/>
    </row>
    <row r="1772" spans="1:12">
      <c r="A1772" s="95" t="s">
        <v>1186</v>
      </c>
      <c r="B1772" t="s">
        <v>4784</v>
      </c>
      <c r="C1772" s="87" t="s">
        <v>1437</v>
      </c>
      <c r="D1772" s="88"/>
      <c r="E1772" s="89">
        <v>7748830</v>
      </c>
      <c r="F1772"/>
      <c r="H1772" s="132"/>
      <c r="J1772"/>
      <c r="K1772"/>
      <c r="L1772"/>
    </row>
    <row r="1773" spans="1:12">
      <c r="A1773" s="95" t="s">
        <v>1186</v>
      </c>
      <c r="B1773" t="s">
        <v>4784</v>
      </c>
      <c r="C1773" s="87" t="s">
        <v>1438</v>
      </c>
      <c r="D1773" s="88"/>
      <c r="E1773" s="89">
        <v>63636356</v>
      </c>
      <c r="F1773"/>
      <c r="H1773" s="132"/>
      <c r="J1773"/>
      <c r="K1773"/>
      <c r="L1773"/>
    </row>
    <row r="1774" spans="1:12">
      <c r="A1774" s="95" t="s">
        <v>1186</v>
      </c>
      <c r="B1774" t="s">
        <v>4784</v>
      </c>
      <c r="C1774" s="87" t="s">
        <v>1439</v>
      </c>
      <c r="D1774" s="88"/>
      <c r="E1774" s="89">
        <v>63621397</v>
      </c>
      <c r="F1774"/>
      <c r="H1774" s="132"/>
      <c r="J1774"/>
      <c r="K1774"/>
      <c r="L1774"/>
    </row>
    <row r="1775" spans="1:12">
      <c r="A1775" s="95" t="s">
        <v>1186</v>
      </c>
      <c r="B1775" t="s">
        <v>4784</v>
      </c>
      <c r="C1775" s="87" t="s">
        <v>1440</v>
      </c>
      <c r="D1775" s="88"/>
      <c r="E1775" s="89">
        <v>7305182</v>
      </c>
      <c r="F1775"/>
      <c r="H1775" s="132"/>
      <c r="J1775"/>
      <c r="K1775"/>
      <c r="L1775"/>
    </row>
    <row r="1776" spans="1:12">
      <c r="A1776" s="95" t="s">
        <v>1186</v>
      </c>
      <c r="B1776" t="s">
        <v>4784</v>
      </c>
      <c r="C1776" s="87" t="s">
        <v>1441</v>
      </c>
      <c r="D1776" s="88"/>
      <c r="E1776" s="89">
        <v>65107547</v>
      </c>
      <c r="F1776"/>
      <c r="H1776" s="132"/>
      <c r="J1776"/>
      <c r="K1776"/>
      <c r="L1776"/>
    </row>
    <row r="1777" spans="1:12">
      <c r="A1777" s="95" t="s">
        <v>1186</v>
      </c>
      <c r="B1777" t="s">
        <v>4784</v>
      </c>
      <c r="C1777" s="87" t="s">
        <v>1442</v>
      </c>
      <c r="D1777" s="88"/>
      <c r="E1777" s="89">
        <v>64516293</v>
      </c>
      <c r="F1777"/>
      <c r="H1777" s="132"/>
      <c r="J1777"/>
      <c r="K1777"/>
      <c r="L1777"/>
    </row>
    <row r="1778" spans="1:12">
      <c r="A1778" s="95" t="s">
        <v>1186</v>
      </c>
      <c r="B1778" t="s">
        <v>4784</v>
      </c>
      <c r="C1778" s="87" t="s">
        <v>1443</v>
      </c>
      <c r="D1778" s="88"/>
      <c r="E1778" s="89">
        <v>7755223</v>
      </c>
      <c r="F1778"/>
      <c r="H1778" s="132"/>
      <c r="J1778"/>
      <c r="K1778"/>
      <c r="L1778"/>
    </row>
    <row r="1779" spans="1:12">
      <c r="A1779" s="95" t="s">
        <v>1186</v>
      </c>
      <c r="B1779" t="s">
        <v>4784</v>
      </c>
      <c r="C1779" s="87" t="s">
        <v>1444</v>
      </c>
      <c r="D1779" s="88"/>
      <c r="E1779" s="89">
        <v>65666728</v>
      </c>
      <c r="F1779"/>
      <c r="H1779" s="132"/>
      <c r="J1779"/>
      <c r="K1779"/>
      <c r="L1779"/>
    </row>
    <row r="1780" spans="1:12">
      <c r="A1780" s="95" t="s">
        <v>1186</v>
      </c>
      <c r="B1780" t="s">
        <v>4784</v>
      </c>
      <c r="C1780" s="87" t="s">
        <v>1445</v>
      </c>
      <c r="D1780" s="88"/>
      <c r="E1780" s="89">
        <v>63079476</v>
      </c>
      <c r="F1780"/>
      <c r="H1780" s="132"/>
      <c r="J1780"/>
      <c r="K1780"/>
      <c r="L1780"/>
    </row>
    <row r="1781" spans="1:12">
      <c r="A1781" s="95" t="s">
        <v>1186</v>
      </c>
      <c r="B1781" t="s">
        <v>4784</v>
      </c>
      <c r="C1781" s="87" t="s">
        <v>1446</v>
      </c>
      <c r="D1781" s="88"/>
      <c r="E1781" s="89">
        <v>64741936</v>
      </c>
      <c r="F1781"/>
      <c r="H1781" s="132"/>
      <c r="J1781"/>
      <c r="K1781"/>
      <c r="L1781"/>
    </row>
    <row r="1782" spans="1:12">
      <c r="A1782" s="95" t="s">
        <v>1186</v>
      </c>
      <c r="B1782" t="s">
        <v>4784</v>
      </c>
      <c r="C1782" s="87" t="s">
        <v>1447</v>
      </c>
      <c r="D1782" s="88"/>
      <c r="E1782" s="89">
        <v>69409363</v>
      </c>
      <c r="F1782"/>
      <c r="H1782" s="132"/>
      <c r="J1782"/>
      <c r="K1782"/>
      <c r="L1782"/>
    </row>
    <row r="1783" spans="1:12">
      <c r="A1783" s="95" t="s">
        <v>1186</v>
      </c>
      <c r="B1783" t="s">
        <v>4784</v>
      </c>
      <c r="C1783" s="87" t="s">
        <v>1448</v>
      </c>
      <c r="D1783" s="88"/>
      <c r="E1783" s="89">
        <v>66589766</v>
      </c>
      <c r="F1783"/>
      <c r="H1783" s="132"/>
      <c r="J1783"/>
      <c r="K1783"/>
      <c r="L1783"/>
    </row>
    <row r="1784" spans="1:12">
      <c r="A1784" s="95" t="s">
        <v>1186</v>
      </c>
      <c r="B1784" t="s">
        <v>4784</v>
      </c>
      <c r="C1784" s="87" t="s">
        <v>1449</v>
      </c>
      <c r="D1784" s="88"/>
      <c r="E1784" s="89">
        <v>64187301</v>
      </c>
      <c r="F1784"/>
      <c r="H1784" s="132"/>
      <c r="J1784"/>
      <c r="K1784"/>
      <c r="L1784"/>
    </row>
    <row r="1785" spans="1:12">
      <c r="A1785" s="95" t="s">
        <v>1186</v>
      </c>
      <c r="B1785" t="s">
        <v>4784</v>
      </c>
      <c r="C1785" s="87" t="s">
        <v>1450</v>
      </c>
      <c r="D1785" s="88"/>
      <c r="E1785" s="89">
        <v>7744074</v>
      </c>
      <c r="F1785"/>
      <c r="H1785" s="132"/>
      <c r="J1785"/>
      <c r="K1785"/>
      <c r="L1785"/>
    </row>
    <row r="1786" spans="1:12">
      <c r="A1786" s="95" t="s">
        <v>1186</v>
      </c>
      <c r="B1786" t="s">
        <v>4784</v>
      </c>
      <c r="C1786" s="87" t="s">
        <v>1451</v>
      </c>
      <c r="D1786" s="88"/>
      <c r="E1786" s="89">
        <v>64304360</v>
      </c>
      <c r="F1786"/>
      <c r="H1786" s="132"/>
      <c r="J1786"/>
      <c r="K1786"/>
      <c r="L1786"/>
    </row>
    <row r="1787" spans="1:12">
      <c r="A1787" s="95" t="s">
        <v>1186</v>
      </c>
      <c r="B1787" t="s">
        <v>4784</v>
      </c>
      <c r="C1787" s="87" t="s">
        <v>1452</v>
      </c>
      <c r="D1787" s="88"/>
      <c r="E1787" s="89">
        <v>63877647</v>
      </c>
      <c r="F1787"/>
      <c r="H1787" s="132"/>
      <c r="J1787"/>
      <c r="K1787"/>
      <c r="L1787"/>
    </row>
    <row r="1788" spans="1:12">
      <c r="A1788" s="95" t="s">
        <v>1186</v>
      </c>
      <c r="B1788" t="s">
        <v>4784</v>
      </c>
      <c r="C1788" s="87" t="s">
        <v>1453</v>
      </c>
      <c r="D1788" s="88"/>
      <c r="E1788" s="89">
        <v>66204106</v>
      </c>
      <c r="F1788"/>
      <c r="H1788" s="132"/>
      <c r="J1788"/>
      <c r="K1788"/>
      <c r="L1788"/>
    </row>
    <row r="1789" spans="1:12">
      <c r="A1789" s="95" t="s">
        <v>1186</v>
      </c>
      <c r="B1789" t="s">
        <v>4784</v>
      </c>
      <c r="C1789" s="87" t="s">
        <v>1454</v>
      </c>
      <c r="D1789" s="88"/>
      <c r="E1789" s="89">
        <v>67485259</v>
      </c>
      <c r="F1789"/>
      <c r="H1789" s="132"/>
      <c r="J1789"/>
      <c r="K1789"/>
      <c r="L1789"/>
    </row>
    <row r="1790" spans="1:12">
      <c r="A1790" s="95" t="s">
        <v>1186</v>
      </c>
      <c r="B1790" t="s">
        <v>4785</v>
      </c>
      <c r="C1790" s="87" t="s">
        <v>1455</v>
      </c>
      <c r="D1790" s="88"/>
      <c r="E1790" s="89">
        <v>68979565</v>
      </c>
      <c r="F1790"/>
      <c r="G1790" s="17" t="s">
        <v>2</v>
      </c>
      <c r="H1790" s="132"/>
      <c r="I1790" s="127">
        <v>0.35416666666666669</v>
      </c>
      <c r="J1790"/>
      <c r="K1790"/>
      <c r="L1790"/>
    </row>
    <row r="1791" spans="1:12">
      <c r="A1791" s="95" t="s">
        <v>1186</v>
      </c>
      <c r="B1791" t="s">
        <v>4785</v>
      </c>
      <c r="C1791" s="87" t="s">
        <v>1456</v>
      </c>
      <c r="D1791" s="88"/>
      <c r="E1791" s="89">
        <v>65610768</v>
      </c>
      <c r="F1791"/>
      <c r="G1791" s="17" t="s">
        <v>9</v>
      </c>
      <c r="H1791" s="132"/>
      <c r="I1791" s="127">
        <v>0.35416666666666669</v>
      </c>
      <c r="J1791"/>
      <c r="K1791"/>
      <c r="L1791"/>
    </row>
    <row r="1792" spans="1:12">
      <c r="A1792" s="95" t="s">
        <v>1186</v>
      </c>
      <c r="B1792" t="s">
        <v>4785</v>
      </c>
      <c r="C1792" s="87" t="s">
        <v>1457</v>
      </c>
      <c r="D1792" s="88"/>
      <c r="E1792" s="89">
        <v>67365167</v>
      </c>
      <c r="F1792"/>
      <c r="G1792" s="17" t="s">
        <v>1</v>
      </c>
      <c r="H1792" s="132"/>
      <c r="I1792" s="127">
        <v>0.3576388888888889</v>
      </c>
      <c r="J1792"/>
      <c r="K1792"/>
      <c r="L1792"/>
    </row>
    <row r="1793" spans="1:12">
      <c r="A1793" s="95" t="s">
        <v>1186</v>
      </c>
      <c r="B1793" t="s">
        <v>4785</v>
      </c>
      <c r="C1793" s="87" t="s">
        <v>1458</v>
      </c>
      <c r="D1793" s="88"/>
      <c r="E1793" s="89">
        <v>64441845</v>
      </c>
      <c r="F1793"/>
      <c r="G1793" s="17" t="s">
        <v>9</v>
      </c>
      <c r="H1793" s="132"/>
      <c r="I1793" s="127">
        <v>0.35833333333333334</v>
      </c>
      <c r="J1793"/>
      <c r="K1793"/>
      <c r="L1793"/>
    </row>
    <row r="1794" spans="1:12">
      <c r="A1794" s="95" t="s">
        <v>1186</v>
      </c>
      <c r="B1794" t="s">
        <v>4785</v>
      </c>
      <c r="C1794" s="87" t="s">
        <v>1459</v>
      </c>
      <c r="D1794" s="88"/>
      <c r="E1794" s="89">
        <v>66739908</v>
      </c>
      <c r="F1794"/>
      <c r="G1794" s="17" t="s">
        <v>9</v>
      </c>
      <c r="H1794" s="132"/>
      <c r="I1794" s="127">
        <v>0.35833333333333334</v>
      </c>
      <c r="J1794"/>
      <c r="K1794"/>
      <c r="L1794"/>
    </row>
    <row r="1795" spans="1:12">
      <c r="A1795" s="95" t="s">
        <v>1186</v>
      </c>
      <c r="B1795" t="s">
        <v>4785</v>
      </c>
      <c r="C1795" s="87" t="s">
        <v>1460</v>
      </c>
      <c r="D1795" s="88"/>
      <c r="E1795" s="89">
        <v>7876134</v>
      </c>
      <c r="F1795"/>
      <c r="G1795" s="17" t="s">
        <v>9</v>
      </c>
      <c r="H1795" s="132"/>
      <c r="I1795" s="127">
        <v>0.35833333333333334</v>
      </c>
      <c r="J1795"/>
      <c r="K1795"/>
      <c r="L1795"/>
    </row>
    <row r="1796" spans="1:12">
      <c r="A1796" s="95" t="s">
        <v>1186</v>
      </c>
      <c r="B1796" t="s">
        <v>4785</v>
      </c>
      <c r="C1796" s="87" t="s">
        <v>1461</v>
      </c>
      <c r="D1796" s="88"/>
      <c r="E1796" s="89">
        <v>7304276</v>
      </c>
      <c r="F1796"/>
      <c r="G1796" s="17" t="s">
        <v>1</v>
      </c>
      <c r="H1796" s="132"/>
      <c r="I1796" s="127">
        <v>0.35972222222222222</v>
      </c>
      <c r="J1796"/>
      <c r="K1796"/>
      <c r="L1796"/>
    </row>
    <row r="1797" spans="1:12">
      <c r="A1797" s="95" t="s">
        <v>1186</v>
      </c>
      <c r="B1797" t="s">
        <v>4785</v>
      </c>
      <c r="C1797" s="87" t="s">
        <v>1462</v>
      </c>
      <c r="D1797" s="88"/>
      <c r="E1797" s="89">
        <v>62451420</v>
      </c>
      <c r="F1797"/>
      <c r="G1797" s="17" t="s">
        <v>1</v>
      </c>
      <c r="H1797" s="132"/>
      <c r="I1797" s="127">
        <v>0.3611111111111111</v>
      </c>
      <c r="J1797"/>
      <c r="K1797"/>
      <c r="L1797"/>
    </row>
    <row r="1798" spans="1:12">
      <c r="A1798" s="95" t="s">
        <v>1186</v>
      </c>
      <c r="B1798" t="s">
        <v>4785</v>
      </c>
      <c r="C1798" s="87" t="s">
        <v>1463</v>
      </c>
      <c r="D1798" s="88"/>
      <c r="E1798" s="89">
        <v>7751862</v>
      </c>
      <c r="F1798"/>
      <c r="G1798" s="17" t="s">
        <v>3</v>
      </c>
      <c r="H1798" s="132"/>
      <c r="I1798" s="127">
        <v>0.36249999999999999</v>
      </c>
      <c r="J1798"/>
      <c r="K1798"/>
      <c r="L1798"/>
    </row>
    <row r="1799" spans="1:12">
      <c r="A1799" s="95" t="s">
        <v>1186</v>
      </c>
      <c r="B1799" t="s">
        <v>4785</v>
      </c>
      <c r="C1799" s="87" t="s">
        <v>1464</v>
      </c>
      <c r="D1799" s="88"/>
      <c r="E1799" s="89">
        <v>7305765</v>
      </c>
      <c r="F1799"/>
      <c r="G1799" s="17" t="s">
        <v>6</v>
      </c>
      <c r="H1799" s="132"/>
      <c r="I1799" s="127">
        <v>0.36249999999999999</v>
      </c>
      <c r="J1799"/>
      <c r="K1799"/>
      <c r="L1799"/>
    </row>
    <row r="1800" spans="1:12">
      <c r="A1800" s="95" t="s">
        <v>1186</v>
      </c>
      <c r="B1800" t="s">
        <v>4785</v>
      </c>
      <c r="C1800" s="87" t="s">
        <v>1465</v>
      </c>
      <c r="D1800" s="88"/>
      <c r="E1800" s="89">
        <v>62010889</v>
      </c>
      <c r="F1800"/>
      <c r="G1800" s="17" t="s">
        <v>3</v>
      </c>
      <c r="H1800" s="132"/>
      <c r="I1800" s="127">
        <v>0.36249999999999999</v>
      </c>
      <c r="J1800"/>
      <c r="K1800"/>
      <c r="L1800"/>
    </row>
    <row r="1801" spans="1:12">
      <c r="A1801" s="95" t="s">
        <v>1186</v>
      </c>
      <c r="B1801" t="s">
        <v>4785</v>
      </c>
      <c r="C1801" s="87" t="s">
        <v>1466</v>
      </c>
      <c r="D1801" s="88"/>
      <c r="E1801" s="89">
        <v>69490703</v>
      </c>
      <c r="F1801"/>
      <c r="G1801" s="17" t="s">
        <v>3</v>
      </c>
      <c r="H1801" s="132"/>
      <c r="I1801" s="127">
        <v>0.36249999999999999</v>
      </c>
      <c r="J1801"/>
      <c r="K1801"/>
      <c r="L1801"/>
    </row>
    <row r="1802" spans="1:12">
      <c r="A1802" s="95" t="s">
        <v>1186</v>
      </c>
      <c r="B1802" t="s">
        <v>4785</v>
      </c>
      <c r="C1802" s="87" t="s">
        <v>1467</v>
      </c>
      <c r="D1802" s="88"/>
      <c r="E1802" s="89">
        <v>65176256</v>
      </c>
      <c r="F1802"/>
      <c r="G1802" s="17" t="s">
        <v>3</v>
      </c>
      <c r="H1802" s="132"/>
      <c r="I1802" s="127">
        <v>0.36249999999999999</v>
      </c>
      <c r="J1802"/>
      <c r="K1802"/>
      <c r="L1802"/>
    </row>
    <row r="1803" spans="1:12">
      <c r="A1803" s="95" t="s">
        <v>1186</v>
      </c>
      <c r="B1803" t="s">
        <v>4785</v>
      </c>
      <c r="C1803" s="87" t="s">
        <v>1468</v>
      </c>
      <c r="D1803" s="88"/>
      <c r="E1803" s="89">
        <v>7260609</v>
      </c>
      <c r="F1803"/>
      <c r="G1803" s="17" t="s">
        <v>3</v>
      </c>
      <c r="H1803" s="132"/>
      <c r="I1803" s="127">
        <v>0.36249999999999999</v>
      </c>
      <c r="J1803"/>
      <c r="K1803"/>
      <c r="L1803"/>
    </row>
    <row r="1804" spans="1:12">
      <c r="A1804" s="95" t="s">
        <v>1186</v>
      </c>
      <c r="B1804" t="s">
        <v>4785</v>
      </c>
      <c r="C1804" s="87" t="s">
        <v>1469</v>
      </c>
      <c r="D1804" s="88"/>
      <c r="E1804" s="89">
        <v>64278226</v>
      </c>
      <c r="F1804"/>
      <c r="G1804" s="17" t="s">
        <v>3</v>
      </c>
      <c r="H1804" s="132"/>
      <c r="I1804" s="127">
        <v>0.36249999999999999</v>
      </c>
      <c r="J1804"/>
      <c r="K1804"/>
      <c r="L1804"/>
    </row>
    <row r="1805" spans="1:12">
      <c r="A1805" s="95" t="s">
        <v>1186</v>
      </c>
      <c r="B1805" t="s">
        <v>4785</v>
      </c>
      <c r="C1805" s="87" t="s">
        <v>1470</v>
      </c>
      <c r="D1805" s="88"/>
      <c r="E1805" s="89">
        <v>62119825</v>
      </c>
      <c r="F1805"/>
      <c r="G1805" s="17" t="s">
        <v>3</v>
      </c>
      <c r="H1805" s="132"/>
      <c r="I1805" s="127">
        <v>0.36249999999999999</v>
      </c>
      <c r="J1805"/>
      <c r="K1805"/>
      <c r="L1805"/>
    </row>
    <row r="1806" spans="1:12">
      <c r="A1806" s="95" t="s">
        <v>1186</v>
      </c>
      <c r="B1806" t="s">
        <v>4785</v>
      </c>
      <c r="C1806" s="87" t="s">
        <v>1471</v>
      </c>
      <c r="D1806" s="88"/>
      <c r="E1806" s="89">
        <v>7744501</v>
      </c>
      <c r="F1806"/>
      <c r="G1806" s="17" t="s">
        <v>6</v>
      </c>
      <c r="H1806" s="132"/>
      <c r="I1806" s="127">
        <v>0.36458333333333331</v>
      </c>
      <c r="J1806"/>
      <c r="K1806"/>
      <c r="L1806"/>
    </row>
    <row r="1807" spans="1:12">
      <c r="A1807" s="95" t="s">
        <v>1186</v>
      </c>
      <c r="B1807" t="s">
        <v>4785</v>
      </c>
      <c r="C1807" s="87" t="s">
        <v>1472</v>
      </c>
      <c r="D1807" s="88"/>
      <c r="E1807" s="89">
        <v>7885763</v>
      </c>
      <c r="F1807"/>
      <c r="G1807" s="17" t="s">
        <v>9</v>
      </c>
      <c r="H1807" s="132"/>
      <c r="I1807" s="127">
        <v>0.36527777777777776</v>
      </c>
      <c r="J1807"/>
      <c r="K1807"/>
      <c r="L1807"/>
    </row>
    <row r="1808" spans="1:12">
      <c r="A1808" s="95" t="s">
        <v>1186</v>
      </c>
      <c r="B1808" t="s">
        <v>4785</v>
      </c>
      <c r="C1808" s="87" t="s">
        <v>1473</v>
      </c>
      <c r="D1808" s="88"/>
      <c r="E1808" s="89">
        <v>7746319</v>
      </c>
      <c r="F1808"/>
      <c r="G1808" s="17" t="s">
        <v>9</v>
      </c>
      <c r="H1808" s="132"/>
      <c r="I1808" s="127">
        <v>0.36527777777777776</v>
      </c>
      <c r="J1808"/>
      <c r="K1808"/>
      <c r="L1808"/>
    </row>
    <row r="1809" spans="1:12">
      <c r="A1809" s="95" t="s">
        <v>1186</v>
      </c>
      <c r="B1809" t="s">
        <v>4785</v>
      </c>
      <c r="C1809" s="87" t="s">
        <v>1474</v>
      </c>
      <c r="D1809" s="88"/>
      <c r="E1809" s="89">
        <v>66792122</v>
      </c>
      <c r="F1809"/>
      <c r="G1809" s="17" t="s">
        <v>3</v>
      </c>
      <c r="H1809" s="132"/>
      <c r="I1809" s="127">
        <v>0.36666666666666664</v>
      </c>
      <c r="J1809"/>
      <c r="K1809"/>
      <c r="L1809"/>
    </row>
    <row r="1810" spans="1:12">
      <c r="A1810" s="95" t="s">
        <v>1186</v>
      </c>
      <c r="B1810" t="s">
        <v>4785</v>
      </c>
      <c r="C1810" s="87" t="s">
        <v>1475</v>
      </c>
      <c r="D1810" s="88"/>
      <c r="E1810" s="89">
        <v>66703139</v>
      </c>
      <c r="F1810"/>
      <c r="G1810" s="17" t="s">
        <v>3</v>
      </c>
      <c r="H1810" s="132"/>
      <c r="I1810" s="127">
        <v>0.36666666666666664</v>
      </c>
      <c r="J1810"/>
      <c r="K1810"/>
      <c r="L1810"/>
    </row>
    <row r="1811" spans="1:12">
      <c r="A1811" s="95" t="s">
        <v>1186</v>
      </c>
      <c r="B1811" t="s">
        <v>4785</v>
      </c>
      <c r="C1811" s="87" t="s">
        <v>1476</v>
      </c>
      <c r="D1811" s="88"/>
      <c r="E1811" s="89">
        <v>66209679</v>
      </c>
      <c r="F1811"/>
      <c r="G1811" s="17" t="s">
        <v>1</v>
      </c>
      <c r="H1811" s="132"/>
      <c r="I1811" s="127">
        <v>0.36944444444444446</v>
      </c>
      <c r="J1811"/>
      <c r="K1811"/>
      <c r="L1811"/>
    </row>
    <row r="1812" spans="1:12">
      <c r="A1812" s="95" t="s">
        <v>1186</v>
      </c>
      <c r="B1812" t="s">
        <v>4785</v>
      </c>
      <c r="C1812" s="87" t="s">
        <v>1477</v>
      </c>
      <c r="D1812" s="88"/>
      <c r="E1812" s="89">
        <v>64582169</v>
      </c>
      <c r="F1812"/>
      <c r="G1812" s="17" t="s">
        <v>1</v>
      </c>
      <c r="H1812" s="132"/>
      <c r="I1812" s="127">
        <v>0.37222222222222223</v>
      </c>
      <c r="J1812"/>
      <c r="K1812"/>
      <c r="L1812"/>
    </row>
    <row r="1813" spans="1:12">
      <c r="A1813" s="95" t="s">
        <v>1186</v>
      </c>
      <c r="B1813" t="s">
        <v>4785</v>
      </c>
      <c r="C1813" s="87" t="s">
        <v>1478</v>
      </c>
      <c r="D1813" s="88"/>
      <c r="E1813" s="89">
        <v>60497778</v>
      </c>
      <c r="F1813"/>
      <c r="G1813" s="17" t="s">
        <v>9</v>
      </c>
      <c r="H1813" s="132"/>
      <c r="I1813" s="127">
        <v>0.37916666666666665</v>
      </c>
      <c r="J1813"/>
      <c r="K1813"/>
      <c r="L1813"/>
    </row>
    <row r="1814" spans="1:12">
      <c r="A1814" s="95" t="s">
        <v>1186</v>
      </c>
      <c r="B1814" t="s">
        <v>4785</v>
      </c>
      <c r="C1814" s="87" t="s">
        <v>1479</v>
      </c>
      <c r="D1814" s="88"/>
      <c r="E1814" s="89">
        <v>68501085</v>
      </c>
      <c r="F1814"/>
      <c r="G1814" s="17" t="s">
        <v>6</v>
      </c>
      <c r="H1814" s="132"/>
      <c r="I1814" s="127">
        <v>0.38055555555555554</v>
      </c>
      <c r="J1814"/>
      <c r="K1814"/>
      <c r="L1814"/>
    </row>
    <row r="1815" spans="1:12">
      <c r="A1815" s="95" t="s">
        <v>1186</v>
      </c>
      <c r="B1815" t="s">
        <v>4785</v>
      </c>
      <c r="C1815" s="87" t="s">
        <v>1480</v>
      </c>
      <c r="D1815" s="88"/>
      <c r="E1815" s="89">
        <v>66385304</v>
      </c>
      <c r="F1815"/>
      <c r="G1815" s="17" t="s">
        <v>1</v>
      </c>
      <c r="H1815" s="132"/>
      <c r="I1815" s="127">
        <v>0.38333333333333336</v>
      </c>
      <c r="J1815"/>
      <c r="K1815"/>
      <c r="L1815"/>
    </row>
    <row r="1816" spans="1:12">
      <c r="A1816" s="95" t="s">
        <v>1186</v>
      </c>
      <c r="B1816" t="s">
        <v>4785</v>
      </c>
      <c r="C1816" s="87" t="s">
        <v>1481</v>
      </c>
      <c r="D1816" s="88"/>
      <c r="E1816" s="89">
        <v>69583842</v>
      </c>
      <c r="F1816"/>
      <c r="G1816" s="17" t="s">
        <v>1</v>
      </c>
      <c r="H1816" s="132"/>
      <c r="I1816" s="127">
        <v>0.38541666666666669</v>
      </c>
      <c r="J1816"/>
      <c r="K1816"/>
      <c r="L1816"/>
    </row>
    <row r="1817" spans="1:12">
      <c r="A1817" s="95" t="s">
        <v>1186</v>
      </c>
      <c r="B1817" t="s">
        <v>4785</v>
      </c>
      <c r="C1817" s="87" t="s">
        <v>1482</v>
      </c>
      <c r="D1817" s="88"/>
      <c r="E1817" s="89">
        <v>68119963</v>
      </c>
      <c r="F1817"/>
      <c r="G1817" s="17" t="s">
        <v>6</v>
      </c>
      <c r="H1817" s="132"/>
      <c r="I1817" s="127">
        <v>0.38541666666666669</v>
      </c>
      <c r="J1817"/>
      <c r="K1817"/>
      <c r="L1817"/>
    </row>
    <row r="1818" spans="1:12">
      <c r="A1818" s="95" t="s">
        <v>1186</v>
      </c>
      <c r="B1818" t="s">
        <v>4785</v>
      </c>
      <c r="C1818" s="87" t="s">
        <v>1483</v>
      </c>
      <c r="D1818" s="88"/>
      <c r="E1818" s="89">
        <v>7749156</v>
      </c>
      <c r="F1818"/>
      <c r="G1818" s="17" t="s">
        <v>9</v>
      </c>
      <c r="H1818" s="132"/>
      <c r="I1818" s="127">
        <v>0.38611111111111113</v>
      </c>
      <c r="J1818"/>
      <c r="K1818"/>
      <c r="L1818"/>
    </row>
    <row r="1819" spans="1:12">
      <c r="A1819" s="95" t="s">
        <v>1186</v>
      </c>
      <c r="B1819" t="s">
        <v>4785</v>
      </c>
      <c r="C1819" s="87" t="s">
        <v>1484</v>
      </c>
      <c r="D1819" s="88"/>
      <c r="E1819" s="89">
        <v>69078750</v>
      </c>
      <c r="F1819"/>
      <c r="G1819" s="17" t="s">
        <v>3</v>
      </c>
      <c r="H1819" s="132"/>
      <c r="I1819" s="127">
        <v>0.38750000000000001</v>
      </c>
      <c r="J1819"/>
      <c r="K1819"/>
      <c r="L1819"/>
    </row>
    <row r="1820" spans="1:12">
      <c r="A1820" s="95" t="s">
        <v>1186</v>
      </c>
      <c r="B1820" t="s">
        <v>4785</v>
      </c>
      <c r="C1820" s="87" t="s">
        <v>1485</v>
      </c>
      <c r="D1820" s="88"/>
      <c r="E1820" s="89">
        <v>69629423</v>
      </c>
      <c r="F1820"/>
      <c r="G1820" s="17" t="s">
        <v>1</v>
      </c>
      <c r="H1820" s="132"/>
      <c r="I1820" s="127">
        <v>0.39027777777777778</v>
      </c>
      <c r="J1820"/>
      <c r="K1820"/>
      <c r="L1820"/>
    </row>
    <row r="1821" spans="1:12">
      <c r="A1821" s="95" t="s">
        <v>1186</v>
      </c>
      <c r="B1821" t="s">
        <v>4785</v>
      </c>
      <c r="C1821" s="87" t="s">
        <v>1486</v>
      </c>
      <c r="D1821" s="88"/>
      <c r="E1821" s="89">
        <v>66255117</v>
      </c>
      <c r="F1821"/>
      <c r="G1821" s="17" t="s">
        <v>3</v>
      </c>
      <c r="H1821" s="132"/>
      <c r="I1821" s="127">
        <v>0.39097222222222222</v>
      </c>
      <c r="J1821"/>
      <c r="K1821"/>
      <c r="L1821"/>
    </row>
    <row r="1822" spans="1:12">
      <c r="A1822" s="95" t="s">
        <v>1186</v>
      </c>
      <c r="B1822" t="s">
        <v>4785</v>
      </c>
      <c r="C1822" s="87" t="s">
        <v>1487</v>
      </c>
      <c r="D1822" s="88"/>
      <c r="E1822" s="89">
        <v>65297197</v>
      </c>
      <c r="F1822"/>
      <c r="G1822" s="17" t="s">
        <v>1</v>
      </c>
      <c r="H1822" s="132"/>
      <c r="I1822" s="127">
        <v>0.3923611111111111</v>
      </c>
      <c r="J1822"/>
      <c r="K1822"/>
      <c r="L1822"/>
    </row>
    <row r="1823" spans="1:12">
      <c r="A1823" s="95" t="s">
        <v>1186</v>
      </c>
      <c r="B1823" t="s">
        <v>4785</v>
      </c>
      <c r="C1823" s="87" t="s">
        <v>1488</v>
      </c>
      <c r="D1823" s="88"/>
      <c r="E1823" s="89">
        <v>69440467</v>
      </c>
      <c r="F1823"/>
      <c r="G1823" s="17" t="s">
        <v>1</v>
      </c>
      <c r="H1823" s="132"/>
      <c r="I1823" s="127">
        <v>0.39444444444444443</v>
      </c>
      <c r="J1823"/>
      <c r="K1823"/>
      <c r="L1823"/>
    </row>
    <row r="1824" spans="1:12">
      <c r="A1824" s="95" t="s">
        <v>1186</v>
      </c>
      <c r="B1824" t="s">
        <v>4785</v>
      </c>
      <c r="C1824" s="87" t="s">
        <v>1489</v>
      </c>
      <c r="D1824" s="88"/>
      <c r="E1824" s="89">
        <v>7201815</v>
      </c>
      <c r="F1824"/>
      <c r="G1824" s="17" t="s">
        <v>2</v>
      </c>
      <c r="H1824" s="132"/>
      <c r="I1824" s="127">
        <v>0.39513888888888887</v>
      </c>
      <c r="J1824"/>
      <c r="K1824"/>
      <c r="L1824"/>
    </row>
    <row r="1825" spans="1:12">
      <c r="A1825" s="95" t="s">
        <v>1186</v>
      </c>
      <c r="B1825" t="s">
        <v>4785</v>
      </c>
      <c r="C1825" s="87" t="s">
        <v>1490</v>
      </c>
      <c r="D1825" s="88"/>
      <c r="E1825" s="89">
        <v>64002828</v>
      </c>
      <c r="F1825"/>
      <c r="G1825" s="17" t="s">
        <v>4</v>
      </c>
      <c r="H1825" s="132"/>
      <c r="I1825" s="127">
        <v>0.39791666666666664</v>
      </c>
      <c r="J1825"/>
      <c r="K1825"/>
      <c r="L1825"/>
    </row>
    <row r="1826" spans="1:12">
      <c r="A1826" s="95" t="s">
        <v>1186</v>
      </c>
      <c r="B1826" t="s">
        <v>4785</v>
      </c>
      <c r="C1826" s="87" t="s">
        <v>1491</v>
      </c>
      <c r="D1826" s="88"/>
      <c r="E1826" s="89">
        <v>62803017</v>
      </c>
      <c r="F1826"/>
      <c r="G1826" s="17" t="s">
        <v>1</v>
      </c>
      <c r="H1826" s="132"/>
      <c r="I1826" s="127">
        <v>0.39930555555555558</v>
      </c>
      <c r="J1826"/>
      <c r="K1826"/>
      <c r="L1826"/>
    </row>
    <row r="1827" spans="1:12">
      <c r="A1827" s="95" t="s">
        <v>1186</v>
      </c>
      <c r="B1827" t="s">
        <v>4785</v>
      </c>
      <c r="C1827" s="87" t="s">
        <v>1492</v>
      </c>
      <c r="D1827" s="88"/>
      <c r="E1827" s="89">
        <v>66550952</v>
      </c>
      <c r="F1827"/>
      <c r="G1827" s="17" t="s">
        <v>1</v>
      </c>
      <c r="H1827" s="132"/>
      <c r="I1827" s="127">
        <v>0.40138888888888891</v>
      </c>
      <c r="J1827"/>
      <c r="K1827"/>
      <c r="L1827"/>
    </row>
    <row r="1828" spans="1:12">
      <c r="A1828" s="95" t="s">
        <v>1186</v>
      </c>
      <c r="B1828" t="s">
        <v>4785</v>
      </c>
      <c r="C1828" s="87" t="s">
        <v>1493</v>
      </c>
      <c r="D1828" s="88"/>
      <c r="E1828" s="89">
        <v>64110241</v>
      </c>
      <c r="F1828"/>
      <c r="G1828" s="17" t="s">
        <v>1</v>
      </c>
      <c r="H1828" s="132"/>
      <c r="I1828" s="127">
        <v>0.40486111111111112</v>
      </c>
      <c r="J1828"/>
      <c r="K1828"/>
      <c r="L1828"/>
    </row>
    <row r="1829" spans="1:12">
      <c r="A1829" s="95" t="s">
        <v>1186</v>
      </c>
      <c r="B1829" t="s">
        <v>4785</v>
      </c>
      <c r="C1829" s="87" t="s">
        <v>1494</v>
      </c>
      <c r="D1829" s="88"/>
      <c r="E1829" s="89">
        <v>66757833</v>
      </c>
      <c r="F1829"/>
      <c r="G1829" s="17" t="s">
        <v>1</v>
      </c>
      <c r="H1829" s="132"/>
      <c r="I1829" s="127">
        <v>0.40625</v>
      </c>
      <c r="J1829"/>
      <c r="K1829"/>
      <c r="L1829"/>
    </row>
    <row r="1830" spans="1:12">
      <c r="A1830" s="95" t="s">
        <v>1186</v>
      </c>
      <c r="B1830" t="s">
        <v>4785</v>
      </c>
      <c r="C1830" s="87" t="s">
        <v>1495</v>
      </c>
      <c r="D1830" s="88"/>
      <c r="E1830" s="89">
        <v>65237893</v>
      </c>
      <c r="F1830"/>
      <c r="G1830" s="17" t="s">
        <v>1</v>
      </c>
      <c r="H1830" s="132"/>
      <c r="I1830" s="127">
        <v>0.41111111111111109</v>
      </c>
      <c r="J1830"/>
      <c r="K1830"/>
      <c r="L1830"/>
    </row>
    <row r="1831" spans="1:12">
      <c r="A1831" s="95" t="s">
        <v>1186</v>
      </c>
      <c r="B1831" t="s">
        <v>4785</v>
      </c>
      <c r="C1831" s="87" t="s">
        <v>1496</v>
      </c>
      <c r="D1831" s="88"/>
      <c r="E1831" s="89">
        <v>7201893</v>
      </c>
      <c r="F1831"/>
      <c r="G1831" s="17" t="s">
        <v>2</v>
      </c>
      <c r="H1831" s="132"/>
      <c r="I1831" s="127">
        <v>0.41111111111111109</v>
      </c>
      <c r="J1831"/>
      <c r="K1831"/>
      <c r="L1831"/>
    </row>
    <row r="1832" spans="1:12">
      <c r="A1832" s="95" t="s">
        <v>1186</v>
      </c>
      <c r="B1832" t="s">
        <v>4785</v>
      </c>
      <c r="C1832" s="87" t="s">
        <v>1497</v>
      </c>
      <c r="D1832" s="88"/>
      <c r="E1832" s="89">
        <v>68910943</v>
      </c>
      <c r="F1832"/>
      <c r="G1832" s="17" t="s">
        <v>9</v>
      </c>
      <c r="H1832" s="132"/>
      <c r="I1832" s="127">
        <v>0.41111111111111109</v>
      </c>
      <c r="J1832"/>
      <c r="K1832"/>
      <c r="L1832"/>
    </row>
    <row r="1833" spans="1:12">
      <c r="A1833" s="95" t="s">
        <v>1186</v>
      </c>
      <c r="B1833" t="s">
        <v>4785</v>
      </c>
      <c r="C1833" s="87" t="s">
        <v>1498</v>
      </c>
      <c r="D1833" s="88"/>
      <c r="E1833" s="89">
        <v>61106785</v>
      </c>
      <c r="F1833"/>
      <c r="G1833" s="17" t="s">
        <v>4</v>
      </c>
      <c r="H1833" s="132"/>
      <c r="I1833" s="127">
        <v>0.41319444444444442</v>
      </c>
      <c r="J1833"/>
      <c r="K1833"/>
      <c r="L1833"/>
    </row>
    <row r="1834" spans="1:12">
      <c r="A1834" s="95" t="s">
        <v>1186</v>
      </c>
      <c r="B1834" t="s">
        <v>4785</v>
      </c>
      <c r="C1834" s="87" t="s">
        <v>1499</v>
      </c>
      <c r="D1834" s="88"/>
      <c r="E1834" s="89">
        <v>66430849</v>
      </c>
      <c r="F1834"/>
      <c r="G1834" s="17" t="s">
        <v>1</v>
      </c>
      <c r="H1834" s="132"/>
      <c r="I1834" s="127">
        <v>0.41458333333333336</v>
      </c>
      <c r="J1834"/>
      <c r="K1834"/>
      <c r="L1834"/>
    </row>
    <row r="1835" spans="1:12">
      <c r="A1835" s="95" t="s">
        <v>1186</v>
      </c>
      <c r="B1835" t="s">
        <v>4785</v>
      </c>
      <c r="C1835" s="87" t="s">
        <v>1500</v>
      </c>
      <c r="D1835" s="88"/>
      <c r="E1835" s="89">
        <v>63101047</v>
      </c>
      <c r="F1835"/>
      <c r="G1835" s="17" t="s">
        <v>9</v>
      </c>
      <c r="H1835" s="132"/>
      <c r="I1835" s="127">
        <v>0.41458333333333336</v>
      </c>
      <c r="J1835"/>
      <c r="K1835"/>
      <c r="L1835"/>
    </row>
    <row r="1836" spans="1:12">
      <c r="A1836" s="95" t="s">
        <v>1186</v>
      </c>
      <c r="B1836" t="s">
        <v>4785</v>
      </c>
      <c r="C1836" s="87" t="s">
        <v>1501</v>
      </c>
      <c r="D1836" s="88"/>
      <c r="E1836" s="89">
        <v>64030828</v>
      </c>
      <c r="F1836"/>
      <c r="G1836" s="17" t="s">
        <v>1</v>
      </c>
      <c r="H1836" s="132"/>
      <c r="I1836" s="127">
        <v>0.41805555555555557</v>
      </c>
      <c r="J1836"/>
      <c r="K1836"/>
      <c r="L1836"/>
    </row>
    <row r="1837" spans="1:12">
      <c r="A1837" s="95" t="s">
        <v>1186</v>
      </c>
      <c r="B1837" t="s">
        <v>4785</v>
      </c>
      <c r="C1837" s="87" t="s">
        <v>1502</v>
      </c>
      <c r="D1837" s="88"/>
      <c r="E1837" s="89">
        <v>7714075</v>
      </c>
      <c r="F1837"/>
      <c r="G1837" s="17" t="s">
        <v>9</v>
      </c>
      <c r="H1837" s="132"/>
      <c r="I1837" s="127">
        <v>0.41805555555555557</v>
      </c>
      <c r="J1837"/>
      <c r="K1837"/>
      <c r="L1837"/>
    </row>
    <row r="1838" spans="1:12">
      <c r="A1838" s="95" t="s">
        <v>1186</v>
      </c>
      <c r="B1838" t="s">
        <v>4785</v>
      </c>
      <c r="C1838" s="87" t="s">
        <v>1503</v>
      </c>
      <c r="D1838" s="88"/>
      <c r="E1838" s="89">
        <v>6648823</v>
      </c>
      <c r="F1838"/>
      <c r="G1838" s="17" t="s">
        <v>1</v>
      </c>
      <c r="H1838" s="132"/>
      <c r="I1838" s="127">
        <v>0.4201388888888889</v>
      </c>
      <c r="J1838"/>
      <c r="K1838"/>
      <c r="L1838"/>
    </row>
    <row r="1839" spans="1:12">
      <c r="A1839" s="95" t="s">
        <v>1186</v>
      </c>
      <c r="B1839" t="s">
        <v>4785</v>
      </c>
      <c r="C1839" s="87" t="s">
        <v>1504</v>
      </c>
      <c r="D1839" s="88"/>
      <c r="E1839" s="89">
        <v>7754626</v>
      </c>
      <c r="F1839"/>
      <c r="G1839" s="17" t="s">
        <v>9</v>
      </c>
      <c r="H1839" s="132"/>
      <c r="I1839" s="127">
        <v>0.42083333333333334</v>
      </c>
      <c r="J1839"/>
      <c r="K1839"/>
      <c r="L1839"/>
    </row>
    <row r="1840" spans="1:12">
      <c r="A1840" s="95" t="s">
        <v>1186</v>
      </c>
      <c r="B1840" t="s">
        <v>4785</v>
      </c>
      <c r="C1840" s="87" t="s">
        <v>1505</v>
      </c>
      <c r="D1840" s="88"/>
      <c r="E1840" s="89">
        <v>65834658</v>
      </c>
      <c r="F1840"/>
      <c r="G1840" s="17" t="s">
        <v>1</v>
      </c>
      <c r="H1840" s="132"/>
      <c r="I1840" s="127">
        <v>0.4236111111111111</v>
      </c>
      <c r="J1840"/>
      <c r="K1840"/>
      <c r="L1840"/>
    </row>
    <row r="1841" spans="1:12">
      <c r="A1841" s="95" t="s">
        <v>1186</v>
      </c>
      <c r="B1841" t="s">
        <v>4785</v>
      </c>
      <c r="C1841" s="87" t="s">
        <v>1506</v>
      </c>
      <c r="D1841" s="88"/>
      <c r="E1841" s="89">
        <v>62140840</v>
      </c>
      <c r="F1841"/>
      <c r="G1841" s="17" t="s">
        <v>1</v>
      </c>
      <c r="H1841" s="132"/>
      <c r="I1841" s="127">
        <v>0.42708333333333331</v>
      </c>
      <c r="J1841"/>
      <c r="K1841"/>
      <c r="L1841"/>
    </row>
    <row r="1842" spans="1:12">
      <c r="A1842" s="95" t="s">
        <v>1186</v>
      </c>
      <c r="B1842" t="s">
        <v>4785</v>
      </c>
      <c r="C1842" s="87" t="s">
        <v>1507</v>
      </c>
      <c r="D1842" s="88"/>
      <c r="E1842" s="89">
        <v>65892575</v>
      </c>
      <c r="F1842"/>
      <c r="G1842" s="17" t="s">
        <v>2</v>
      </c>
      <c r="H1842" s="132"/>
      <c r="I1842" s="127">
        <v>0.42777777777777776</v>
      </c>
      <c r="J1842"/>
      <c r="K1842"/>
      <c r="L1842"/>
    </row>
    <row r="1843" spans="1:12">
      <c r="A1843" s="95" t="s">
        <v>1186</v>
      </c>
      <c r="B1843" t="s">
        <v>4785</v>
      </c>
      <c r="C1843" s="87" t="s">
        <v>1508</v>
      </c>
      <c r="D1843" s="88"/>
      <c r="E1843" s="89">
        <v>69563489</v>
      </c>
      <c r="F1843"/>
      <c r="G1843" s="17" t="s">
        <v>6</v>
      </c>
      <c r="H1843" s="132"/>
      <c r="I1843" s="127">
        <v>0.42777777777777776</v>
      </c>
      <c r="J1843"/>
      <c r="K1843"/>
      <c r="L1843"/>
    </row>
    <row r="1844" spans="1:12">
      <c r="A1844" s="95" t="s">
        <v>1186</v>
      </c>
      <c r="B1844" t="s">
        <v>4785</v>
      </c>
      <c r="C1844" s="87" t="s">
        <v>1509</v>
      </c>
      <c r="D1844" s="88"/>
      <c r="E1844" s="89">
        <v>62474030</v>
      </c>
      <c r="F1844"/>
      <c r="G1844" s="17" t="s">
        <v>2</v>
      </c>
      <c r="H1844" s="132"/>
      <c r="I1844" s="127">
        <v>0.4284722222222222</v>
      </c>
      <c r="J1844"/>
      <c r="K1844"/>
      <c r="L1844"/>
    </row>
    <row r="1845" spans="1:12">
      <c r="A1845" s="95" t="s">
        <v>1186</v>
      </c>
      <c r="B1845" t="s">
        <v>4785</v>
      </c>
      <c r="C1845" s="87" t="s">
        <v>1510</v>
      </c>
      <c r="D1845" s="88"/>
      <c r="E1845" s="89">
        <v>64696558</v>
      </c>
      <c r="F1845"/>
      <c r="G1845" s="17" t="s">
        <v>2</v>
      </c>
      <c r="H1845" s="132"/>
      <c r="I1845" s="127">
        <v>0.4284722222222222</v>
      </c>
      <c r="J1845"/>
      <c r="K1845"/>
      <c r="L1845"/>
    </row>
    <row r="1846" spans="1:12">
      <c r="A1846" s="95" t="s">
        <v>1186</v>
      </c>
      <c r="B1846" t="s">
        <v>4785</v>
      </c>
      <c r="C1846" s="87" t="s">
        <v>1511</v>
      </c>
      <c r="D1846" s="88"/>
      <c r="E1846" s="89">
        <v>68924208</v>
      </c>
      <c r="F1846"/>
      <c r="G1846" s="17" t="s">
        <v>6</v>
      </c>
      <c r="H1846" s="132"/>
      <c r="I1846" s="127">
        <v>0.42916666666666664</v>
      </c>
      <c r="J1846"/>
      <c r="K1846"/>
      <c r="L1846"/>
    </row>
    <row r="1847" spans="1:12">
      <c r="A1847" s="95" t="s">
        <v>1186</v>
      </c>
      <c r="B1847" t="s">
        <v>4785</v>
      </c>
      <c r="C1847" s="87" t="s">
        <v>1512</v>
      </c>
      <c r="D1847" s="88"/>
      <c r="E1847" s="89">
        <v>67810234</v>
      </c>
      <c r="F1847"/>
      <c r="G1847" s="17" t="s">
        <v>1</v>
      </c>
      <c r="H1847" s="132"/>
      <c r="I1847" s="127">
        <v>0.43194444444444446</v>
      </c>
      <c r="J1847"/>
      <c r="K1847"/>
      <c r="L1847"/>
    </row>
    <row r="1848" spans="1:12">
      <c r="A1848" s="95" t="s">
        <v>1186</v>
      </c>
      <c r="B1848" t="s">
        <v>4785</v>
      </c>
      <c r="C1848" s="87" t="s">
        <v>1513</v>
      </c>
      <c r="D1848" s="88"/>
      <c r="E1848" s="89">
        <v>64601217</v>
      </c>
      <c r="F1848"/>
      <c r="G1848" s="17" t="s">
        <v>6</v>
      </c>
      <c r="H1848" s="132"/>
      <c r="I1848" s="127">
        <v>0.43194444444444446</v>
      </c>
      <c r="J1848"/>
      <c r="K1848"/>
      <c r="L1848"/>
    </row>
    <row r="1849" spans="1:12">
      <c r="A1849" s="95" t="s">
        <v>1186</v>
      </c>
      <c r="B1849" t="s">
        <v>4785</v>
      </c>
      <c r="C1849" s="87" t="s">
        <v>1514</v>
      </c>
      <c r="D1849" s="88"/>
      <c r="E1849" s="89">
        <v>64074598</v>
      </c>
      <c r="F1849"/>
      <c r="G1849" s="17" t="s">
        <v>1</v>
      </c>
      <c r="H1849" s="132"/>
      <c r="I1849" s="127">
        <v>0.43333333333333335</v>
      </c>
      <c r="J1849"/>
      <c r="K1849"/>
      <c r="L1849"/>
    </row>
    <row r="1850" spans="1:12">
      <c r="A1850" s="95" t="s">
        <v>1186</v>
      </c>
      <c r="B1850" t="s">
        <v>4785</v>
      </c>
      <c r="C1850" s="87" t="s">
        <v>1515</v>
      </c>
      <c r="D1850" s="88"/>
      <c r="E1850" s="89">
        <v>62767309</v>
      </c>
      <c r="F1850"/>
      <c r="G1850" s="17" t="s">
        <v>1</v>
      </c>
      <c r="H1850" s="132"/>
      <c r="I1850" s="127">
        <v>0.43541666666666667</v>
      </c>
      <c r="J1850"/>
      <c r="K1850"/>
      <c r="L1850"/>
    </row>
    <row r="1851" spans="1:12">
      <c r="A1851" s="95" t="s">
        <v>1186</v>
      </c>
      <c r="B1851" t="s">
        <v>4785</v>
      </c>
      <c r="C1851" s="87" t="s">
        <v>1516</v>
      </c>
      <c r="D1851" s="88"/>
      <c r="E1851" s="89">
        <v>62310315</v>
      </c>
      <c r="F1851"/>
      <c r="G1851" s="17" t="s">
        <v>2</v>
      </c>
      <c r="H1851" s="132"/>
      <c r="I1851" s="127">
        <v>0.43611111111111112</v>
      </c>
      <c r="J1851"/>
      <c r="K1851"/>
      <c r="L1851"/>
    </row>
    <row r="1852" spans="1:12">
      <c r="A1852" s="95" t="s">
        <v>1186</v>
      </c>
      <c r="B1852" t="s">
        <v>4785</v>
      </c>
      <c r="C1852" s="87" t="s">
        <v>1517</v>
      </c>
      <c r="D1852" s="88"/>
      <c r="E1852" s="89">
        <v>65050043</v>
      </c>
      <c r="F1852"/>
      <c r="G1852" s="17" t="s">
        <v>9</v>
      </c>
      <c r="H1852" s="132"/>
      <c r="I1852" s="127">
        <v>0.43611111111111112</v>
      </c>
      <c r="J1852"/>
      <c r="K1852"/>
      <c r="L1852"/>
    </row>
    <row r="1853" spans="1:12">
      <c r="A1853" s="95" t="s">
        <v>1186</v>
      </c>
      <c r="B1853" t="s">
        <v>4785</v>
      </c>
      <c r="C1853" s="87" t="s">
        <v>1518</v>
      </c>
      <c r="D1853" s="88"/>
      <c r="E1853" s="89">
        <v>66917916</v>
      </c>
      <c r="F1853"/>
      <c r="G1853" s="17" t="s">
        <v>1</v>
      </c>
      <c r="H1853" s="132"/>
      <c r="I1853" s="127">
        <v>0.4375</v>
      </c>
      <c r="J1853"/>
      <c r="K1853"/>
      <c r="L1853"/>
    </row>
    <row r="1854" spans="1:12">
      <c r="A1854" s="95" t="s">
        <v>1186</v>
      </c>
      <c r="B1854" t="s">
        <v>4785</v>
      </c>
      <c r="C1854" s="87" t="s">
        <v>1519</v>
      </c>
      <c r="D1854" s="88"/>
      <c r="E1854" s="89">
        <v>64381638</v>
      </c>
      <c r="F1854"/>
      <c r="G1854" s="17" t="s">
        <v>2</v>
      </c>
      <c r="H1854" s="132"/>
      <c r="I1854" s="127">
        <v>0.43888888888888888</v>
      </c>
      <c r="J1854"/>
      <c r="K1854"/>
      <c r="L1854"/>
    </row>
    <row r="1855" spans="1:12">
      <c r="A1855" s="95" t="s">
        <v>1186</v>
      </c>
      <c r="B1855" t="s">
        <v>4785</v>
      </c>
      <c r="C1855" s="87" t="s">
        <v>1520</v>
      </c>
      <c r="D1855" s="88"/>
      <c r="E1855" s="89">
        <v>65378076</v>
      </c>
      <c r="F1855"/>
      <c r="G1855" s="17" t="s">
        <v>2</v>
      </c>
      <c r="H1855" s="132"/>
      <c r="I1855" s="127">
        <v>0.43888888888888888</v>
      </c>
      <c r="J1855"/>
      <c r="K1855"/>
      <c r="L1855"/>
    </row>
    <row r="1856" spans="1:12">
      <c r="A1856" s="95" t="s">
        <v>1186</v>
      </c>
      <c r="B1856" t="s">
        <v>4785</v>
      </c>
      <c r="C1856" s="87" t="s">
        <v>1521</v>
      </c>
      <c r="D1856" s="88"/>
      <c r="E1856" s="89">
        <v>64463659</v>
      </c>
      <c r="F1856"/>
      <c r="G1856" s="17" t="s">
        <v>1</v>
      </c>
      <c r="H1856" s="132"/>
      <c r="I1856" s="127">
        <v>6.9444444444444448E-2</v>
      </c>
      <c r="J1856"/>
      <c r="K1856"/>
      <c r="L1856"/>
    </row>
    <row r="1857" spans="1:12">
      <c r="A1857" s="95" t="s">
        <v>1186</v>
      </c>
      <c r="B1857" t="s">
        <v>4785</v>
      </c>
      <c r="C1857" s="87" t="s">
        <v>1522</v>
      </c>
      <c r="D1857" s="88"/>
      <c r="E1857" s="89">
        <v>68890533</v>
      </c>
      <c r="F1857"/>
      <c r="G1857" s="17" t="s">
        <v>4</v>
      </c>
      <c r="H1857" s="132"/>
      <c r="I1857" s="127">
        <v>6.9444444444444448E-2</v>
      </c>
      <c r="J1857"/>
      <c r="K1857"/>
      <c r="L1857"/>
    </row>
    <row r="1858" spans="1:12">
      <c r="A1858" s="95" t="s">
        <v>1186</v>
      </c>
      <c r="B1858" t="s">
        <v>4785</v>
      </c>
      <c r="C1858" s="87" t="s">
        <v>1523</v>
      </c>
      <c r="D1858" s="88"/>
      <c r="E1858" s="89">
        <v>64497486</v>
      </c>
      <c r="F1858"/>
      <c r="G1858" s="17" t="s">
        <v>9</v>
      </c>
      <c r="H1858" s="132"/>
      <c r="I1858" s="127">
        <v>6.9444444444444448E-2</v>
      </c>
      <c r="J1858"/>
      <c r="K1858"/>
      <c r="L1858"/>
    </row>
    <row r="1859" spans="1:12">
      <c r="A1859" s="95" t="s">
        <v>1186</v>
      </c>
      <c r="B1859" t="s">
        <v>4785</v>
      </c>
      <c r="C1859" s="87" t="s">
        <v>1524</v>
      </c>
      <c r="D1859" s="88"/>
      <c r="E1859" s="89">
        <v>65652777</v>
      </c>
      <c r="F1859"/>
      <c r="G1859" s="17" t="s">
        <v>9</v>
      </c>
      <c r="H1859" s="132"/>
      <c r="I1859" s="127">
        <v>7.0833333333333331E-2</v>
      </c>
      <c r="J1859"/>
      <c r="K1859"/>
      <c r="L1859"/>
    </row>
    <row r="1860" spans="1:12">
      <c r="A1860" s="95" t="s">
        <v>1186</v>
      </c>
      <c r="B1860" t="s">
        <v>4785</v>
      </c>
      <c r="C1860" s="87" t="s">
        <v>1525</v>
      </c>
      <c r="D1860" s="88"/>
      <c r="E1860" s="89">
        <v>66721172</v>
      </c>
      <c r="F1860"/>
      <c r="G1860" s="17" t="s">
        <v>4</v>
      </c>
      <c r="H1860" s="132"/>
      <c r="I1860" s="127">
        <v>7.0833333333333331E-2</v>
      </c>
      <c r="J1860"/>
      <c r="K1860"/>
      <c r="L1860"/>
    </row>
    <row r="1861" spans="1:12">
      <c r="A1861" s="95" t="s">
        <v>1186</v>
      </c>
      <c r="B1861" t="s">
        <v>4785</v>
      </c>
      <c r="C1861" s="87" t="s">
        <v>1526</v>
      </c>
      <c r="D1861" s="88"/>
      <c r="E1861" s="89">
        <v>60895692</v>
      </c>
      <c r="F1861"/>
      <c r="G1861" s="17" t="s">
        <v>1</v>
      </c>
      <c r="H1861" s="132"/>
      <c r="I1861" s="127">
        <v>7.2222222222222215E-2</v>
      </c>
      <c r="J1861"/>
      <c r="K1861"/>
      <c r="L1861"/>
    </row>
    <row r="1862" spans="1:12">
      <c r="A1862" s="95" t="s">
        <v>1186</v>
      </c>
      <c r="B1862" t="s">
        <v>4785</v>
      </c>
      <c r="C1862" s="87" t="s">
        <v>1527</v>
      </c>
      <c r="D1862" s="88"/>
      <c r="E1862" s="89">
        <v>7771788</v>
      </c>
      <c r="F1862"/>
      <c r="G1862" s="17" t="s">
        <v>2</v>
      </c>
      <c r="H1862" s="132"/>
      <c r="I1862" s="127">
        <v>7.2916666666666671E-2</v>
      </c>
      <c r="J1862"/>
      <c r="K1862"/>
      <c r="L1862"/>
    </row>
    <row r="1863" spans="1:12">
      <c r="A1863" s="95" t="s">
        <v>1186</v>
      </c>
      <c r="B1863" t="s">
        <v>4785</v>
      </c>
      <c r="C1863" s="87" t="s">
        <v>1528</v>
      </c>
      <c r="D1863" s="88"/>
      <c r="E1863" s="89">
        <v>66333582</v>
      </c>
      <c r="F1863"/>
      <c r="G1863" s="17" t="s">
        <v>4</v>
      </c>
      <c r="H1863" s="132"/>
      <c r="I1863" s="127">
        <v>7.2916666666666671E-2</v>
      </c>
      <c r="J1863"/>
      <c r="K1863"/>
      <c r="L1863"/>
    </row>
    <row r="1864" spans="1:12">
      <c r="A1864" s="95" t="s">
        <v>1186</v>
      </c>
      <c r="B1864" t="s">
        <v>4785</v>
      </c>
      <c r="C1864" s="87" t="s">
        <v>1529</v>
      </c>
      <c r="D1864" s="88"/>
      <c r="E1864" s="89">
        <v>7307505</v>
      </c>
      <c r="F1864"/>
      <c r="G1864" s="17" t="s">
        <v>4</v>
      </c>
      <c r="H1864" s="132"/>
      <c r="I1864" s="127">
        <v>7.2916666666666671E-2</v>
      </c>
      <c r="J1864"/>
      <c r="K1864"/>
      <c r="L1864"/>
    </row>
    <row r="1865" spans="1:12">
      <c r="A1865" s="95" t="s">
        <v>1186</v>
      </c>
      <c r="B1865" t="s">
        <v>4785</v>
      </c>
      <c r="C1865" s="87" t="s">
        <v>1530</v>
      </c>
      <c r="D1865" s="88"/>
      <c r="E1865" s="89">
        <v>7757103</v>
      </c>
      <c r="F1865"/>
      <c r="G1865" s="17" t="s">
        <v>3</v>
      </c>
      <c r="H1865" s="132"/>
      <c r="I1865" s="127">
        <v>7.3611111111111113E-2</v>
      </c>
      <c r="J1865"/>
      <c r="K1865"/>
      <c r="L1865"/>
    </row>
    <row r="1866" spans="1:12">
      <c r="A1866" s="95" t="s">
        <v>1186</v>
      </c>
      <c r="B1866" t="s">
        <v>4785</v>
      </c>
      <c r="C1866" s="87" t="s">
        <v>1531</v>
      </c>
      <c r="D1866" s="88"/>
      <c r="E1866" s="89">
        <v>7748508</v>
      </c>
      <c r="F1866"/>
      <c r="G1866" s="17" t="s">
        <v>4</v>
      </c>
      <c r="H1866" s="132"/>
      <c r="I1866" s="127">
        <v>7.3611111111111113E-2</v>
      </c>
      <c r="J1866"/>
      <c r="K1866"/>
      <c r="L1866"/>
    </row>
    <row r="1867" spans="1:12">
      <c r="A1867" s="95" t="s">
        <v>1186</v>
      </c>
      <c r="B1867" t="s">
        <v>4785</v>
      </c>
      <c r="C1867" s="87" t="s">
        <v>1532</v>
      </c>
      <c r="D1867" s="88"/>
      <c r="E1867" s="89">
        <v>66013206</v>
      </c>
      <c r="F1867"/>
      <c r="G1867" s="17" t="s">
        <v>4</v>
      </c>
      <c r="H1867" s="132"/>
      <c r="I1867" s="127">
        <v>7.4305555555555555E-2</v>
      </c>
      <c r="J1867"/>
      <c r="K1867"/>
      <c r="L1867"/>
    </row>
    <row r="1868" spans="1:12">
      <c r="A1868" s="95" t="s">
        <v>1186</v>
      </c>
      <c r="B1868" t="s">
        <v>4785</v>
      </c>
      <c r="C1868" s="87" t="s">
        <v>1533</v>
      </c>
      <c r="D1868" s="88"/>
      <c r="E1868" s="89">
        <v>7708677</v>
      </c>
      <c r="F1868"/>
      <c r="G1868" s="17" t="s">
        <v>6</v>
      </c>
      <c r="H1868" s="132"/>
      <c r="I1868" s="127">
        <v>7.4305555555555555E-2</v>
      </c>
      <c r="J1868"/>
      <c r="K1868"/>
      <c r="L1868"/>
    </row>
    <row r="1869" spans="1:12">
      <c r="A1869" s="95" t="s">
        <v>1186</v>
      </c>
      <c r="B1869" t="s">
        <v>4785</v>
      </c>
      <c r="C1869" s="87" t="s">
        <v>1534</v>
      </c>
      <c r="D1869" s="88"/>
      <c r="E1869" s="89">
        <v>7703153</v>
      </c>
      <c r="F1869"/>
      <c r="G1869" s="17" t="s">
        <v>2</v>
      </c>
      <c r="H1869" s="132"/>
      <c r="I1869" s="127">
        <v>7.5694444444444439E-2</v>
      </c>
      <c r="J1869"/>
      <c r="K1869"/>
      <c r="L1869"/>
    </row>
    <row r="1870" spans="1:12">
      <c r="A1870" s="95" t="s">
        <v>1186</v>
      </c>
      <c r="B1870" t="s">
        <v>4785</v>
      </c>
      <c r="C1870" s="87" t="s">
        <v>1535</v>
      </c>
      <c r="D1870" s="88"/>
      <c r="E1870" s="89">
        <v>64720909</v>
      </c>
      <c r="F1870"/>
      <c r="G1870" s="17" t="s">
        <v>4</v>
      </c>
      <c r="H1870" s="132"/>
      <c r="I1870" s="127">
        <v>7.7777777777777779E-2</v>
      </c>
      <c r="J1870"/>
      <c r="K1870"/>
      <c r="L1870"/>
    </row>
    <row r="1871" spans="1:12">
      <c r="A1871" s="95" t="s">
        <v>1186</v>
      </c>
      <c r="B1871" t="s">
        <v>4785</v>
      </c>
      <c r="C1871" s="87" t="s">
        <v>1536</v>
      </c>
      <c r="D1871" s="88"/>
      <c r="E1871" s="89">
        <v>7754402</v>
      </c>
      <c r="F1871"/>
      <c r="G1871" s="17" t="s">
        <v>4</v>
      </c>
      <c r="H1871" s="132"/>
      <c r="I1871" s="127">
        <v>7.7777777777777779E-2</v>
      </c>
      <c r="J1871"/>
      <c r="K1871"/>
      <c r="L1871"/>
    </row>
    <row r="1872" spans="1:12">
      <c r="A1872" s="95" t="s">
        <v>1186</v>
      </c>
      <c r="B1872" t="s">
        <v>4785</v>
      </c>
      <c r="C1872" s="87" t="s">
        <v>1537</v>
      </c>
      <c r="D1872" s="88"/>
      <c r="E1872" s="89">
        <v>7771778</v>
      </c>
      <c r="F1872"/>
      <c r="G1872" s="17" t="s">
        <v>4</v>
      </c>
      <c r="H1872" s="132"/>
      <c r="I1872" s="127">
        <v>7.8472222222222221E-2</v>
      </c>
      <c r="J1872"/>
      <c r="K1872"/>
      <c r="L1872"/>
    </row>
    <row r="1873" spans="1:12">
      <c r="A1873" s="95" t="s">
        <v>1186</v>
      </c>
      <c r="B1873" t="s">
        <v>4785</v>
      </c>
      <c r="C1873" s="87" t="s">
        <v>1538</v>
      </c>
      <c r="D1873" s="88"/>
      <c r="E1873" s="89">
        <v>7871323</v>
      </c>
      <c r="F1873"/>
      <c r="G1873" s="17" t="s">
        <v>2</v>
      </c>
      <c r="H1873" s="132"/>
      <c r="I1873" s="127">
        <v>7.9861111111111105E-2</v>
      </c>
      <c r="J1873"/>
      <c r="K1873"/>
      <c r="L1873"/>
    </row>
    <row r="1874" spans="1:12">
      <c r="A1874" s="95" t="s">
        <v>1186</v>
      </c>
      <c r="B1874" t="s">
        <v>4785</v>
      </c>
      <c r="C1874" s="87" t="s">
        <v>1539</v>
      </c>
      <c r="D1874" s="88"/>
      <c r="E1874" s="89">
        <v>65948202</v>
      </c>
      <c r="F1874"/>
      <c r="G1874" s="17" t="s">
        <v>1</v>
      </c>
      <c r="H1874" s="132"/>
      <c r="I1874" s="127">
        <v>8.1250000000000003E-2</v>
      </c>
      <c r="J1874"/>
      <c r="K1874"/>
      <c r="L1874"/>
    </row>
    <row r="1875" spans="1:12">
      <c r="A1875" s="95" t="s">
        <v>1186</v>
      </c>
      <c r="B1875" t="s">
        <v>4785</v>
      </c>
      <c r="C1875" s="87" t="s">
        <v>1540</v>
      </c>
      <c r="D1875" s="88"/>
      <c r="E1875" s="89">
        <v>69786535</v>
      </c>
      <c r="F1875"/>
      <c r="G1875" s="17" t="s">
        <v>1</v>
      </c>
      <c r="H1875" s="132"/>
      <c r="I1875" s="127">
        <v>8.5416666666666669E-2</v>
      </c>
      <c r="J1875"/>
      <c r="K1875"/>
      <c r="L1875"/>
    </row>
    <row r="1876" spans="1:12">
      <c r="A1876" s="95" t="s">
        <v>1186</v>
      </c>
      <c r="B1876" t="s">
        <v>4785</v>
      </c>
      <c r="C1876" s="87" t="s">
        <v>1541</v>
      </c>
      <c r="D1876" s="88"/>
      <c r="E1876" s="89">
        <v>69446895</v>
      </c>
      <c r="F1876"/>
      <c r="G1876" s="17" t="s">
        <v>1</v>
      </c>
      <c r="H1876" s="132"/>
      <c r="I1876" s="127">
        <v>8.6805555555555552E-2</v>
      </c>
      <c r="J1876"/>
      <c r="K1876"/>
      <c r="L1876"/>
    </row>
    <row r="1877" spans="1:12">
      <c r="A1877" s="95" t="s">
        <v>1186</v>
      </c>
      <c r="B1877" t="s">
        <v>4785</v>
      </c>
      <c r="C1877" s="87" t="s">
        <v>1542</v>
      </c>
      <c r="D1877" s="88"/>
      <c r="E1877" s="89">
        <v>66564341</v>
      </c>
      <c r="F1877"/>
      <c r="G1877" s="17" t="s">
        <v>1</v>
      </c>
      <c r="H1877" s="132"/>
      <c r="I1877" s="127">
        <v>8.8888888888888892E-2</v>
      </c>
      <c r="J1877"/>
      <c r="K1877"/>
      <c r="L1877"/>
    </row>
    <row r="1878" spans="1:12">
      <c r="A1878" s="95" t="s">
        <v>1186</v>
      </c>
      <c r="B1878" t="s">
        <v>4785</v>
      </c>
      <c r="C1878" s="87" t="s">
        <v>1543</v>
      </c>
      <c r="D1878" s="88"/>
      <c r="E1878" s="89">
        <v>68039317</v>
      </c>
      <c r="F1878"/>
      <c r="G1878" s="17" t="s">
        <v>1</v>
      </c>
      <c r="H1878" s="132"/>
      <c r="I1878" s="127">
        <v>9.0277777777777776E-2</v>
      </c>
      <c r="J1878"/>
      <c r="K1878"/>
      <c r="L1878"/>
    </row>
    <row r="1879" spans="1:12">
      <c r="A1879" s="95" t="s">
        <v>1186</v>
      </c>
      <c r="B1879" t="s">
        <v>4785</v>
      </c>
      <c r="C1879" s="87" t="s">
        <v>1544</v>
      </c>
      <c r="D1879" s="88"/>
      <c r="E1879" s="89">
        <v>68407265</v>
      </c>
      <c r="F1879"/>
      <c r="G1879" s="17" t="s">
        <v>9</v>
      </c>
      <c r="H1879" s="132"/>
      <c r="I1879" s="127">
        <v>9.166666666666666E-2</v>
      </c>
      <c r="J1879"/>
      <c r="K1879"/>
      <c r="L1879"/>
    </row>
    <row r="1880" spans="1:12">
      <c r="A1880" s="95" t="s">
        <v>1186</v>
      </c>
      <c r="B1880" t="s">
        <v>4786</v>
      </c>
      <c r="C1880" s="87" t="s">
        <v>1545</v>
      </c>
      <c r="D1880" s="88"/>
      <c r="E1880" s="89">
        <v>64131900</v>
      </c>
      <c r="F1880"/>
      <c r="G1880" s="17" t="s">
        <v>6</v>
      </c>
      <c r="H1880" s="132">
        <v>46085</v>
      </c>
      <c r="I1880" s="127">
        <v>0.36527777777777776</v>
      </c>
      <c r="J1880"/>
      <c r="K1880"/>
      <c r="L1880"/>
    </row>
    <row r="1881" spans="1:12">
      <c r="A1881" s="95" t="s">
        <v>1186</v>
      </c>
      <c r="B1881" t="s">
        <v>4786</v>
      </c>
      <c r="C1881" s="87" t="s">
        <v>1546</v>
      </c>
      <c r="D1881" s="88"/>
      <c r="E1881" s="89">
        <v>65419449</v>
      </c>
      <c r="F1881"/>
      <c r="G1881" s="17" t="s">
        <v>9</v>
      </c>
      <c r="H1881" s="132">
        <v>46085</v>
      </c>
      <c r="I1881" s="127">
        <v>0.3659722222222222</v>
      </c>
      <c r="J1881"/>
      <c r="K1881"/>
      <c r="L1881"/>
    </row>
    <row r="1882" spans="1:12">
      <c r="A1882" s="95" t="s">
        <v>1186</v>
      </c>
      <c r="B1882" t="s">
        <v>4786</v>
      </c>
      <c r="C1882" s="87" t="s">
        <v>1547</v>
      </c>
      <c r="D1882" s="88"/>
      <c r="E1882" s="89">
        <v>61652254</v>
      </c>
      <c r="F1882"/>
      <c r="G1882" s="17" t="s">
        <v>6</v>
      </c>
      <c r="H1882" s="132">
        <v>46085</v>
      </c>
      <c r="I1882" s="127">
        <v>0.36666666666666664</v>
      </c>
      <c r="J1882"/>
      <c r="K1882"/>
      <c r="L1882"/>
    </row>
    <row r="1883" spans="1:12">
      <c r="A1883" s="95" t="s">
        <v>1186</v>
      </c>
      <c r="B1883" t="s">
        <v>4786</v>
      </c>
      <c r="C1883" s="87" t="s">
        <v>1548</v>
      </c>
      <c r="D1883" s="88"/>
      <c r="E1883" s="89">
        <v>68738511</v>
      </c>
      <c r="F1883"/>
      <c r="G1883" s="17" t="s">
        <v>2</v>
      </c>
      <c r="H1883" s="132">
        <v>46085</v>
      </c>
      <c r="I1883" s="127">
        <v>0.36736111111111114</v>
      </c>
      <c r="J1883"/>
      <c r="K1883"/>
      <c r="L1883"/>
    </row>
    <row r="1884" spans="1:12">
      <c r="A1884" s="95" t="s">
        <v>1186</v>
      </c>
      <c r="B1884" t="s">
        <v>4786</v>
      </c>
      <c r="C1884" s="87" t="s">
        <v>1549</v>
      </c>
      <c r="D1884" s="88"/>
      <c r="E1884" s="89">
        <v>63012363</v>
      </c>
      <c r="F1884"/>
      <c r="G1884" s="17" t="s">
        <v>9</v>
      </c>
      <c r="H1884" s="132">
        <v>46085</v>
      </c>
      <c r="I1884" s="127">
        <v>0.36805555555555558</v>
      </c>
      <c r="J1884"/>
      <c r="K1884"/>
      <c r="L1884"/>
    </row>
    <row r="1885" spans="1:12">
      <c r="A1885" s="95" t="s">
        <v>1186</v>
      </c>
      <c r="B1885" t="s">
        <v>4786</v>
      </c>
      <c r="C1885" s="87" t="s">
        <v>1550</v>
      </c>
      <c r="D1885" s="88"/>
      <c r="E1885" s="89">
        <v>62460336</v>
      </c>
      <c r="F1885"/>
      <c r="G1885" s="17" t="s">
        <v>6</v>
      </c>
      <c r="H1885" s="132">
        <v>46085</v>
      </c>
      <c r="I1885" s="127">
        <v>0.36944444444444446</v>
      </c>
      <c r="J1885"/>
      <c r="K1885"/>
      <c r="L1885"/>
    </row>
    <row r="1886" spans="1:12">
      <c r="A1886" s="95" t="s">
        <v>1186</v>
      </c>
      <c r="B1886" t="s">
        <v>4786</v>
      </c>
      <c r="C1886" s="87" t="s">
        <v>1551</v>
      </c>
      <c r="D1886" s="88"/>
      <c r="E1886" s="89">
        <v>62997452</v>
      </c>
      <c r="F1886"/>
      <c r="G1886" s="17" t="s">
        <v>6</v>
      </c>
      <c r="H1886" s="132">
        <v>46085</v>
      </c>
      <c r="I1886" s="127">
        <v>0.37083333333333335</v>
      </c>
      <c r="J1886"/>
      <c r="K1886"/>
      <c r="L1886"/>
    </row>
    <row r="1887" spans="1:12">
      <c r="A1887" s="95" t="s">
        <v>1186</v>
      </c>
      <c r="B1887" t="s">
        <v>4786</v>
      </c>
      <c r="C1887" s="87" t="s">
        <v>1552</v>
      </c>
      <c r="D1887" s="88"/>
      <c r="E1887" s="89">
        <v>64863850</v>
      </c>
      <c r="F1887"/>
      <c r="G1887" s="17" t="s">
        <v>6</v>
      </c>
      <c r="H1887" s="132">
        <v>46085</v>
      </c>
      <c r="I1887" s="127">
        <v>0.38124999999999998</v>
      </c>
      <c r="J1887"/>
      <c r="K1887"/>
      <c r="L1887"/>
    </row>
    <row r="1888" spans="1:12">
      <c r="A1888" s="95" t="s">
        <v>1186</v>
      </c>
      <c r="B1888" t="s">
        <v>4786</v>
      </c>
      <c r="C1888" s="87" t="s">
        <v>1553</v>
      </c>
      <c r="D1888" s="88"/>
      <c r="E1888" s="89">
        <v>68375989</v>
      </c>
      <c r="F1888"/>
      <c r="G1888" s="17" t="s">
        <v>2</v>
      </c>
      <c r="H1888" s="132">
        <v>46085</v>
      </c>
      <c r="I1888" s="127">
        <v>0.38194444444444442</v>
      </c>
      <c r="J1888"/>
      <c r="K1888"/>
      <c r="L1888"/>
    </row>
    <row r="1889" spans="1:12">
      <c r="A1889" s="95" t="s">
        <v>1186</v>
      </c>
      <c r="B1889" t="s">
        <v>4786</v>
      </c>
      <c r="C1889" s="87" t="s">
        <v>1554</v>
      </c>
      <c r="D1889" s="88"/>
      <c r="E1889" s="89">
        <v>63873756</v>
      </c>
      <c r="F1889"/>
      <c r="G1889" s="17" t="s">
        <v>6</v>
      </c>
      <c r="H1889" s="132">
        <v>46085</v>
      </c>
      <c r="I1889" s="127">
        <v>0.38263888888888886</v>
      </c>
      <c r="J1889"/>
      <c r="K1889"/>
      <c r="L1889"/>
    </row>
    <row r="1890" spans="1:12">
      <c r="A1890" s="95" t="s">
        <v>1186</v>
      </c>
      <c r="B1890" t="s">
        <v>4786</v>
      </c>
      <c r="C1890" s="87" t="s">
        <v>1555</v>
      </c>
      <c r="D1890" s="88"/>
      <c r="E1890" s="89">
        <v>65421177</v>
      </c>
      <c r="F1890"/>
      <c r="G1890" s="17" t="s">
        <v>6</v>
      </c>
      <c r="H1890" s="132">
        <v>46085</v>
      </c>
      <c r="I1890" s="127">
        <v>0.38263888888888886</v>
      </c>
      <c r="J1890"/>
      <c r="K1890"/>
      <c r="L1890"/>
    </row>
    <row r="1891" spans="1:12">
      <c r="A1891" s="95" t="s">
        <v>1186</v>
      </c>
      <c r="B1891" t="s">
        <v>4786</v>
      </c>
      <c r="C1891" s="87" t="s">
        <v>1556</v>
      </c>
      <c r="D1891" s="88"/>
      <c r="E1891" s="89">
        <v>69638448</v>
      </c>
      <c r="F1891"/>
      <c r="G1891" s="17" t="s">
        <v>1</v>
      </c>
      <c r="H1891" s="132">
        <v>46085</v>
      </c>
      <c r="I1891" s="127">
        <v>0.3840277777777778</v>
      </c>
      <c r="J1891"/>
      <c r="K1891"/>
      <c r="L1891"/>
    </row>
    <row r="1892" spans="1:12">
      <c r="A1892" s="95" t="s">
        <v>1186</v>
      </c>
      <c r="B1892" t="s">
        <v>4786</v>
      </c>
      <c r="C1892" s="87" t="s">
        <v>1557</v>
      </c>
      <c r="D1892" s="88"/>
      <c r="E1892" s="89">
        <v>66548088</v>
      </c>
      <c r="F1892"/>
      <c r="G1892" s="17" t="s">
        <v>6</v>
      </c>
      <c r="H1892" s="132">
        <v>46085</v>
      </c>
      <c r="I1892" s="127">
        <v>0.38472222222222224</v>
      </c>
      <c r="J1892"/>
      <c r="K1892"/>
      <c r="L1892"/>
    </row>
    <row r="1893" spans="1:12">
      <c r="A1893" s="95" t="s">
        <v>1186</v>
      </c>
      <c r="B1893" t="s">
        <v>4786</v>
      </c>
      <c r="C1893" s="87" t="s">
        <v>1558</v>
      </c>
      <c r="D1893" s="88"/>
      <c r="E1893" s="89">
        <v>66772396</v>
      </c>
      <c r="F1893"/>
      <c r="G1893" s="17" t="s">
        <v>6</v>
      </c>
      <c r="H1893" s="132">
        <v>46085</v>
      </c>
      <c r="I1893" s="127">
        <v>0.38541666666666669</v>
      </c>
      <c r="J1893"/>
      <c r="K1893"/>
      <c r="L1893"/>
    </row>
    <row r="1894" spans="1:12">
      <c r="A1894" s="95" t="s">
        <v>1186</v>
      </c>
      <c r="B1894" t="s">
        <v>4786</v>
      </c>
      <c r="C1894" s="87" t="s">
        <v>1559</v>
      </c>
      <c r="D1894" s="88"/>
      <c r="E1894" s="89">
        <v>7760835</v>
      </c>
      <c r="F1894"/>
      <c r="G1894" s="17" t="s">
        <v>1</v>
      </c>
      <c r="H1894" s="132">
        <v>46085</v>
      </c>
      <c r="I1894" s="127">
        <v>0.38611111111111113</v>
      </c>
      <c r="J1894"/>
      <c r="K1894"/>
      <c r="L1894"/>
    </row>
    <row r="1895" spans="1:12">
      <c r="A1895" s="95" t="s">
        <v>1186</v>
      </c>
      <c r="B1895" t="s">
        <v>4786</v>
      </c>
      <c r="C1895" s="87" t="s">
        <v>1560</v>
      </c>
      <c r="D1895" s="88"/>
      <c r="E1895" s="89">
        <v>69138561</v>
      </c>
      <c r="F1895"/>
      <c r="G1895" s="17" t="s">
        <v>2</v>
      </c>
      <c r="H1895" s="132">
        <v>46085</v>
      </c>
      <c r="I1895" s="127">
        <v>0.38958333333333334</v>
      </c>
      <c r="J1895"/>
      <c r="K1895"/>
      <c r="L1895"/>
    </row>
    <row r="1896" spans="1:12">
      <c r="A1896" s="95" t="s">
        <v>1186</v>
      </c>
      <c r="B1896" t="s">
        <v>4786</v>
      </c>
      <c r="C1896" s="87" t="s">
        <v>1561</v>
      </c>
      <c r="D1896" s="88"/>
      <c r="E1896" s="89">
        <v>68229194</v>
      </c>
      <c r="F1896"/>
      <c r="G1896" s="17" t="s">
        <v>6</v>
      </c>
      <c r="H1896" s="132">
        <v>46085</v>
      </c>
      <c r="I1896" s="127">
        <v>0.39027777777777778</v>
      </c>
      <c r="J1896"/>
      <c r="K1896"/>
      <c r="L1896"/>
    </row>
    <row r="1897" spans="1:12">
      <c r="A1897" s="95" t="s">
        <v>1186</v>
      </c>
      <c r="B1897" t="s">
        <v>4786</v>
      </c>
      <c r="C1897" s="87" t="s">
        <v>1562</v>
      </c>
      <c r="D1897" s="88"/>
      <c r="E1897" s="89">
        <v>62812049</v>
      </c>
      <c r="F1897"/>
      <c r="G1897" s="17" t="s">
        <v>1</v>
      </c>
      <c r="H1897" s="132">
        <v>46085</v>
      </c>
      <c r="I1897" s="127">
        <v>0.39097222222222222</v>
      </c>
      <c r="J1897"/>
      <c r="K1897"/>
      <c r="L1897"/>
    </row>
    <row r="1898" spans="1:12">
      <c r="A1898" s="95" t="s">
        <v>1186</v>
      </c>
      <c r="B1898" t="s">
        <v>4786</v>
      </c>
      <c r="C1898" s="87" t="s">
        <v>1563</v>
      </c>
      <c r="D1898" s="88"/>
      <c r="E1898" s="89">
        <v>65433242</v>
      </c>
      <c r="F1898"/>
      <c r="G1898" s="17" t="s">
        <v>1</v>
      </c>
      <c r="H1898" s="132">
        <v>46085</v>
      </c>
      <c r="I1898" s="127">
        <v>0.39583333333333331</v>
      </c>
      <c r="J1898"/>
      <c r="K1898"/>
      <c r="L1898"/>
    </row>
    <row r="1899" spans="1:12">
      <c r="A1899" s="95" t="s">
        <v>1186</v>
      </c>
      <c r="B1899" t="s">
        <v>4786</v>
      </c>
      <c r="C1899" s="87" t="s">
        <v>1564</v>
      </c>
      <c r="D1899" s="88"/>
      <c r="E1899" s="89">
        <v>64504680</v>
      </c>
      <c r="F1899"/>
      <c r="G1899" s="17" t="s">
        <v>1</v>
      </c>
      <c r="H1899" s="132">
        <v>46085</v>
      </c>
      <c r="I1899" s="127">
        <v>0.39791666666666664</v>
      </c>
      <c r="J1899"/>
      <c r="K1899"/>
      <c r="L1899"/>
    </row>
    <row r="1900" spans="1:12">
      <c r="A1900" s="95" t="s">
        <v>1186</v>
      </c>
      <c r="B1900" t="s">
        <v>4786</v>
      </c>
      <c r="C1900" s="87" t="s">
        <v>1565</v>
      </c>
      <c r="D1900" s="88"/>
      <c r="E1900" s="89">
        <v>65879172</v>
      </c>
      <c r="F1900"/>
      <c r="G1900" s="17" t="s">
        <v>6</v>
      </c>
      <c r="H1900" s="132">
        <v>46085</v>
      </c>
      <c r="I1900" s="127">
        <v>0.40069444444444446</v>
      </c>
      <c r="J1900"/>
      <c r="K1900"/>
      <c r="L1900"/>
    </row>
    <row r="1901" spans="1:12">
      <c r="A1901" s="95" t="s">
        <v>1186</v>
      </c>
      <c r="B1901" t="s">
        <v>4786</v>
      </c>
      <c r="C1901" s="87" t="s">
        <v>1566</v>
      </c>
      <c r="D1901" s="88"/>
      <c r="E1901" s="89">
        <v>64158320</v>
      </c>
      <c r="F1901"/>
      <c r="G1901" s="17" t="s">
        <v>1</v>
      </c>
      <c r="H1901" s="132">
        <v>46085</v>
      </c>
      <c r="I1901" s="127">
        <v>0.40347222222222223</v>
      </c>
      <c r="J1901"/>
      <c r="K1901"/>
      <c r="L1901"/>
    </row>
    <row r="1902" spans="1:12">
      <c r="A1902" s="95" t="s">
        <v>1186</v>
      </c>
      <c r="B1902" t="s">
        <v>4786</v>
      </c>
      <c r="C1902" s="87" t="s">
        <v>1567</v>
      </c>
      <c r="D1902" s="88"/>
      <c r="E1902" s="89">
        <v>69648229</v>
      </c>
      <c r="F1902"/>
      <c r="G1902" s="17" t="s">
        <v>1</v>
      </c>
      <c r="H1902" s="132">
        <v>46085</v>
      </c>
      <c r="I1902" s="127">
        <v>0.41180555555555554</v>
      </c>
      <c r="J1902"/>
      <c r="K1902"/>
      <c r="L1902"/>
    </row>
    <row r="1903" spans="1:12">
      <c r="A1903" s="95" t="s">
        <v>1186</v>
      </c>
      <c r="B1903" t="s">
        <v>4786</v>
      </c>
      <c r="C1903" s="87" t="s">
        <v>1568</v>
      </c>
      <c r="D1903" s="88"/>
      <c r="E1903" s="89">
        <v>64561860</v>
      </c>
      <c r="F1903"/>
      <c r="G1903" s="17" t="s">
        <v>6</v>
      </c>
      <c r="H1903" s="132">
        <v>46085</v>
      </c>
      <c r="I1903" s="127">
        <v>0.41319444444444442</v>
      </c>
      <c r="J1903"/>
      <c r="K1903"/>
      <c r="L1903"/>
    </row>
    <row r="1904" spans="1:12">
      <c r="A1904" s="95" t="s">
        <v>1186</v>
      </c>
      <c r="B1904" t="s">
        <v>4786</v>
      </c>
      <c r="C1904" s="87" t="s">
        <v>1569</v>
      </c>
      <c r="D1904" s="88"/>
      <c r="E1904" s="89">
        <v>68257703</v>
      </c>
      <c r="F1904"/>
      <c r="G1904" s="17" t="s">
        <v>6</v>
      </c>
      <c r="H1904" s="132">
        <v>46085</v>
      </c>
      <c r="I1904" s="127">
        <v>0.41388888888888886</v>
      </c>
      <c r="J1904"/>
      <c r="K1904"/>
      <c r="L1904"/>
    </row>
    <row r="1905" spans="1:12">
      <c r="A1905" s="95" t="s">
        <v>1186</v>
      </c>
      <c r="B1905" t="s">
        <v>4786</v>
      </c>
      <c r="C1905" s="87" t="s">
        <v>1570</v>
      </c>
      <c r="D1905" s="88"/>
      <c r="E1905" s="89">
        <v>66653462</v>
      </c>
      <c r="F1905"/>
      <c r="G1905" s="17" t="s">
        <v>1</v>
      </c>
      <c r="H1905" s="132">
        <v>46085</v>
      </c>
      <c r="I1905" s="127">
        <v>0.41458333333333336</v>
      </c>
      <c r="J1905"/>
      <c r="K1905"/>
      <c r="L1905"/>
    </row>
    <row r="1906" spans="1:12">
      <c r="A1906" s="95" t="s">
        <v>1186</v>
      </c>
      <c r="B1906" t="s">
        <v>4786</v>
      </c>
      <c r="C1906" s="87" t="s">
        <v>1571</v>
      </c>
      <c r="D1906" s="88"/>
      <c r="E1906" s="89">
        <v>69219044</v>
      </c>
      <c r="F1906"/>
      <c r="G1906" s="17" t="s">
        <v>2</v>
      </c>
      <c r="H1906" s="132">
        <v>46085</v>
      </c>
      <c r="I1906" s="127">
        <v>0.4152777777777778</v>
      </c>
      <c r="J1906"/>
      <c r="K1906"/>
      <c r="L1906"/>
    </row>
    <row r="1907" spans="1:12">
      <c r="A1907" s="95" t="s">
        <v>1186</v>
      </c>
      <c r="B1907" t="s">
        <v>4786</v>
      </c>
      <c r="C1907" s="87" t="s">
        <v>1572</v>
      </c>
      <c r="D1907" s="88"/>
      <c r="E1907" s="89">
        <v>62282717</v>
      </c>
      <c r="F1907"/>
      <c r="G1907" s="17" t="s">
        <v>9</v>
      </c>
      <c r="H1907" s="132">
        <v>46085</v>
      </c>
      <c r="I1907" s="127">
        <v>0.41666666666666669</v>
      </c>
      <c r="J1907"/>
      <c r="K1907"/>
      <c r="L1907"/>
    </row>
    <row r="1908" spans="1:12">
      <c r="A1908" s="95" t="s">
        <v>1186</v>
      </c>
      <c r="B1908" t="s">
        <v>4786</v>
      </c>
      <c r="C1908" s="87" t="s">
        <v>1573</v>
      </c>
      <c r="D1908" s="88"/>
      <c r="E1908" s="89">
        <v>67716824</v>
      </c>
      <c r="F1908"/>
      <c r="G1908" s="17" t="s">
        <v>2</v>
      </c>
      <c r="H1908" s="132">
        <v>46085</v>
      </c>
      <c r="I1908" s="127">
        <v>0.41736111111111113</v>
      </c>
      <c r="J1908"/>
      <c r="K1908"/>
      <c r="L1908"/>
    </row>
    <row r="1909" spans="1:12">
      <c r="A1909" s="95" t="s">
        <v>1186</v>
      </c>
      <c r="B1909" t="s">
        <v>4786</v>
      </c>
      <c r="C1909" s="87" t="s">
        <v>1574</v>
      </c>
      <c r="D1909" s="88"/>
      <c r="E1909" s="89">
        <v>60593936</v>
      </c>
      <c r="F1909"/>
      <c r="G1909" s="17" t="s">
        <v>6</v>
      </c>
      <c r="H1909" s="132">
        <v>46085</v>
      </c>
      <c r="I1909" s="127">
        <v>0.41805555555555557</v>
      </c>
      <c r="J1909"/>
      <c r="K1909"/>
      <c r="L1909"/>
    </row>
    <row r="1910" spans="1:12">
      <c r="A1910" s="95" t="s">
        <v>1186</v>
      </c>
      <c r="B1910" t="s">
        <v>4786</v>
      </c>
      <c r="C1910" s="87" t="s">
        <v>1575</v>
      </c>
      <c r="D1910" s="88"/>
      <c r="E1910" s="89">
        <v>69506002</v>
      </c>
      <c r="F1910"/>
      <c r="G1910" s="17" t="s">
        <v>5</v>
      </c>
      <c r="H1910" s="132">
        <v>46085</v>
      </c>
      <c r="I1910" s="127">
        <v>0.42777777777777776</v>
      </c>
      <c r="J1910"/>
      <c r="K1910"/>
      <c r="L1910"/>
    </row>
    <row r="1911" spans="1:12">
      <c r="A1911" s="95" t="s">
        <v>1186</v>
      </c>
      <c r="B1911" t="s">
        <v>4786</v>
      </c>
      <c r="C1911" s="87" t="s">
        <v>1576</v>
      </c>
      <c r="D1911" s="88"/>
      <c r="E1911" s="89">
        <v>67722604</v>
      </c>
      <c r="F1911"/>
      <c r="G1911" s="17" t="s">
        <v>1</v>
      </c>
      <c r="H1911" s="132">
        <v>46085</v>
      </c>
      <c r="I1911" s="127">
        <v>0.42986111111111114</v>
      </c>
      <c r="J1911"/>
      <c r="K1911"/>
      <c r="L1911"/>
    </row>
    <row r="1912" spans="1:12">
      <c r="A1912" s="95" t="s">
        <v>1186</v>
      </c>
      <c r="B1912" t="s">
        <v>4786</v>
      </c>
      <c r="C1912" s="87" t="s">
        <v>1577</v>
      </c>
      <c r="D1912" s="88"/>
      <c r="E1912" s="89">
        <v>69707141</v>
      </c>
      <c r="F1912"/>
      <c r="G1912" s="17" t="s">
        <v>1</v>
      </c>
      <c r="H1912" s="132">
        <v>46085</v>
      </c>
      <c r="I1912" s="127">
        <v>0.43263888888888891</v>
      </c>
      <c r="J1912"/>
      <c r="K1912"/>
      <c r="L1912"/>
    </row>
    <row r="1913" spans="1:12">
      <c r="A1913" s="95" t="s">
        <v>1186</v>
      </c>
      <c r="B1913" t="s">
        <v>4786</v>
      </c>
      <c r="C1913" s="87" t="s">
        <v>1578</v>
      </c>
      <c r="D1913" s="88"/>
      <c r="E1913" s="89">
        <v>64711688</v>
      </c>
      <c r="F1913"/>
      <c r="G1913" s="17" t="s">
        <v>2</v>
      </c>
      <c r="H1913" s="132">
        <v>46085</v>
      </c>
      <c r="I1913" s="127">
        <v>0.43333333333333335</v>
      </c>
      <c r="J1913"/>
      <c r="K1913"/>
      <c r="L1913"/>
    </row>
    <row r="1914" spans="1:12">
      <c r="A1914" s="95" t="s">
        <v>1186</v>
      </c>
      <c r="B1914" t="s">
        <v>4786</v>
      </c>
      <c r="C1914" s="87" t="s">
        <v>1579</v>
      </c>
      <c r="D1914" s="88"/>
      <c r="E1914" s="89">
        <v>66242499</v>
      </c>
      <c r="F1914"/>
      <c r="G1914" s="17" t="s">
        <v>2</v>
      </c>
      <c r="H1914" s="132">
        <v>46085</v>
      </c>
      <c r="I1914" s="127">
        <v>0.43402777777777779</v>
      </c>
      <c r="J1914"/>
      <c r="K1914"/>
      <c r="L1914"/>
    </row>
    <row r="1915" spans="1:12">
      <c r="A1915" s="95" t="s">
        <v>1186</v>
      </c>
      <c r="B1915" t="s">
        <v>4786</v>
      </c>
      <c r="C1915" s="87" t="s">
        <v>1580</v>
      </c>
      <c r="D1915" s="88"/>
      <c r="E1915" s="89">
        <v>65666490</v>
      </c>
      <c r="F1915"/>
      <c r="G1915" s="17" t="s">
        <v>6</v>
      </c>
      <c r="H1915" s="132">
        <v>46085</v>
      </c>
      <c r="I1915" s="127">
        <v>0.43541666666666667</v>
      </c>
      <c r="J1915"/>
      <c r="K1915"/>
      <c r="L1915"/>
    </row>
    <row r="1916" spans="1:12">
      <c r="A1916" s="95" t="s">
        <v>1186</v>
      </c>
      <c r="B1916" t="s">
        <v>4786</v>
      </c>
      <c r="C1916" s="87" t="s">
        <v>1581</v>
      </c>
      <c r="D1916" s="88"/>
      <c r="E1916" s="89">
        <v>69334790</v>
      </c>
      <c r="F1916"/>
      <c r="G1916" s="17" t="s">
        <v>1</v>
      </c>
      <c r="H1916" s="132">
        <v>46085</v>
      </c>
      <c r="I1916" s="127">
        <v>0.43819444444444444</v>
      </c>
      <c r="J1916"/>
      <c r="K1916"/>
      <c r="L1916"/>
    </row>
    <row r="1917" spans="1:12">
      <c r="A1917" s="95" t="s">
        <v>1186</v>
      </c>
      <c r="B1917" t="s">
        <v>4786</v>
      </c>
      <c r="C1917" s="87" t="s">
        <v>1582</v>
      </c>
      <c r="D1917" s="88"/>
      <c r="E1917" s="89">
        <v>7761684</v>
      </c>
      <c r="F1917"/>
      <c r="G1917" s="17" t="s">
        <v>5</v>
      </c>
      <c r="H1917" s="132">
        <v>46085</v>
      </c>
      <c r="I1917" s="127">
        <v>0.43958333333333333</v>
      </c>
      <c r="J1917"/>
      <c r="K1917"/>
      <c r="L1917"/>
    </row>
    <row r="1918" spans="1:12">
      <c r="A1918" s="95" t="s">
        <v>1186</v>
      </c>
      <c r="B1918" t="s">
        <v>4786</v>
      </c>
      <c r="C1918" s="87" t="s">
        <v>1583</v>
      </c>
      <c r="D1918" s="88"/>
      <c r="E1918" s="89">
        <v>64890078</v>
      </c>
      <c r="F1918"/>
      <c r="G1918" s="17" t="s">
        <v>2</v>
      </c>
      <c r="H1918" s="132">
        <v>46085</v>
      </c>
      <c r="I1918" s="127">
        <v>0.44027777777777777</v>
      </c>
      <c r="J1918"/>
      <c r="K1918"/>
      <c r="L1918"/>
    </row>
    <row r="1919" spans="1:12">
      <c r="A1919" s="95" t="s">
        <v>1186</v>
      </c>
      <c r="B1919" t="s">
        <v>4786</v>
      </c>
      <c r="C1919" s="87" t="s">
        <v>1584</v>
      </c>
      <c r="D1919" s="88"/>
      <c r="E1919" s="89">
        <v>68144520</v>
      </c>
      <c r="F1919"/>
      <c r="G1919" s="17" t="s">
        <v>6</v>
      </c>
      <c r="H1919" s="132">
        <v>46085</v>
      </c>
      <c r="I1919" s="127">
        <v>0.45069444444444445</v>
      </c>
      <c r="J1919"/>
      <c r="K1919"/>
      <c r="L1919"/>
    </row>
    <row r="1920" spans="1:12">
      <c r="A1920" s="95" t="s">
        <v>1186</v>
      </c>
      <c r="B1920" t="s">
        <v>4786</v>
      </c>
      <c r="C1920" s="87" t="s">
        <v>1585</v>
      </c>
      <c r="D1920" s="88"/>
      <c r="E1920" s="89">
        <v>64701852</v>
      </c>
      <c r="F1920"/>
      <c r="G1920" s="17" t="s">
        <v>6</v>
      </c>
      <c r="H1920" s="132">
        <v>46085</v>
      </c>
      <c r="I1920" s="127">
        <v>0.45416666666666666</v>
      </c>
      <c r="J1920"/>
      <c r="K1920"/>
      <c r="L1920"/>
    </row>
    <row r="1921" spans="1:12">
      <c r="A1921" s="95" t="s">
        <v>1186</v>
      </c>
      <c r="B1921" t="s">
        <v>4786</v>
      </c>
      <c r="C1921" s="87" t="s">
        <v>1586</v>
      </c>
      <c r="D1921" s="88"/>
      <c r="E1921" s="89">
        <v>63630150</v>
      </c>
      <c r="F1921"/>
      <c r="G1921" s="17" t="s">
        <v>1</v>
      </c>
      <c r="H1921" s="132">
        <v>46085</v>
      </c>
      <c r="I1921" s="127">
        <v>0.45555555555555555</v>
      </c>
      <c r="J1921"/>
      <c r="K1921"/>
      <c r="L1921"/>
    </row>
    <row r="1922" spans="1:12">
      <c r="A1922" s="95" t="s">
        <v>1186</v>
      </c>
      <c r="B1922" t="s">
        <v>4786</v>
      </c>
      <c r="C1922" s="87" t="s">
        <v>1587</v>
      </c>
      <c r="D1922" s="88"/>
      <c r="E1922" s="89">
        <v>68552623</v>
      </c>
      <c r="F1922"/>
      <c r="G1922" s="17" t="s">
        <v>4</v>
      </c>
      <c r="H1922" s="132">
        <v>46085</v>
      </c>
      <c r="I1922" s="127">
        <v>0.45694444444444443</v>
      </c>
      <c r="J1922"/>
      <c r="K1922"/>
      <c r="L1922"/>
    </row>
    <row r="1923" spans="1:12">
      <c r="A1923" s="95" t="s">
        <v>1186</v>
      </c>
      <c r="B1923" t="s">
        <v>4786</v>
      </c>
      <c r="C1923" s="87" t="s">
        <v>1588</v>
      </c>
      <c r="D1923" s="88"/>
      <c r="E1923" s="89">
        <v>67957023</v>
      </c>
      <c r="F1923"/>
      <c r="G1923" s="17" t="s">
        <v>2</v>
      </c>
      <c r="H1923" s="132">
        <v>46085</v>
      </c>
      <c r="I1923" s="127">
        <v>0.45763888888888887</v>
      </c>
      <c r="J1923"/>
      <c r="K1923"/>
      <c r="L1923"/>
    </row>
    <row r="1924" spans="1:12">
      <c r="A1924" s="95" t="s">
        <v>1186</v>
      </c>
      <c r="B1924" t="s">
        <v>4786</v>
      </c>
      <c r="C1924" s="87" t="s">
        <v>1589</v>
      </c>
      <c r="D1924" s="88"/>
      <c r="E1924" s="89">
        <v>63524817</v>
      </c>
      <c r="F1924"/>
      <c r="G1924" s="17" t="s">
        <v>1</v>
      </c>
      <c r="H1924" s="132">
        <v>46085</v>
      </c>
      <c r="I1924" s="127">
        <v>0.45833333333333331</v>
      </c>
      <c r="J1924"/>
      <c r="K1924"/>
      <c r="L1924"/>
    </row>
    <row r="1925" spans="1:12">
      <c r="A1925" s="95" t="s">
        <v>1186</v>
      </c>
      <c r="B1925" t="s">
        <v>4786</v>
      </c>
      <c r="C1925" s="87" t="s">
        <v>1590</v>
      </c>
      <c r="D1925" s="88"/>
      <c r="E1925" s="89">
        <v>65099023</v>
      </c>
      <c r="F1925"/>
      <c r="G1925" s="17" t="s">
        <v>1</v>
      </c>
      <c r="H1925" s="132">
        <v>46085</v>
      </c>
      <c r="I1925" s="127">
        <v>0.53472222222222221</v>
      </c>
      <c r="J1925"/>
      <c r="K1925"/>
      <c r="L1925"/>
    </row>
    <row r="1926" spans="1:12">
      <c r="A1926" s="95" t="s">
        <v>1186</v>
      </c>
      <c r="B1926" t="s">
        <v>4786</v>
      </c>
      <c r="C1926" s="87" t="s">
        <v>1591</v>
      </c>
      <c r="D1926" s="88"/>
      <c r="E1926" s="89">
        <v>67394848</v>
      </c>
      <c r="F1926"/>
      <c r="G1926" s="17" t="s">
        <v>1</v>
      </c>
      <c r="H1926" s="132">
        <v>46085</v>
      </c>
      <c r="I1926" s="127">
        <v>0.53541666666666665</v>
      </c>
      <c r="J1926"/>
      <c r="K1926"/>
      <c r="L1926"/>
    </row>
    <row r="1927" spans="1:12">
      <c r="A1927" s="95" t="s">
        <v>1186</v>
      </c>
      <c r="B1927" t="s">
        <v>4786</v>
      </c>
      <c r="C1927" s="87" t="s">
        <v>1592</v>
      </c>
      <c r="D1927" s="88"/>
      <c r="E1927" s="89">
        <v>63723071</v>
      </c>
      <c r="F1927"/>
      <c r="G1927" s="17" t="s">
        <v>6</v>
      </c>
      <c r="H1927" s="132">
        <v>46085</v>
      </c>
      <c r="I1927" s="127">
        <v>0.53680555555555554</v>
      </c>
      <c r="J1927"/>
      <c r="K1927"/>
      <c r="L1927"/>
    </row>
    <row r="1928" spans="1:12">
      <c r="A1928" s="95" t="s">
        <v>1186</v>
      </c>
      <c r="B1928" t="s">
        <v>4786</v>
      </c>
      <c r="C1928" s="87" t="s">
        <v>1593</v>
      </c>
      <c r="D1928" s="88"/>
      <c r="E1928" s="89">
        <v>68836706</v>
      </c>
      <c r="F1928"/>
      <c r="G1928" s="17" t="s">
        <v>2</v>
      </c>
      <c r="H1928" s="132">
        <v>46085</v>
      </c>
      <c r="I1928" s="127">
        <v>0.53749999999999998</v>
      </c>
      <c r="J1928"/>
      <c r="K1928"/>
      <c r="L1928"/>
    </row>
    <row r="1929" spans="1:12">
      <c r="A1929" s="95" t="s">
        <v>1186</v>
      </c>
      <c r="B1929" t="s">
        <v>4786</v>
      </c>
      <c r="C1929" s="87" t="s">
        <v>1594</v>
      </c>
      <c r="D1929" s="88"/>
      <c r="E1929" s="89">
        <v>64738668</v>
      </c>
      <c r="F1929"/>
      <c r="G1929" s="17" t="s">
        <v>1</v>
      </c>
      <c r="H1929" s="132">
        <v>46085</v>
      </c>
      <c r="I1929" s="127">
        <v>0.5395833333333333</v>
      </c>
      <c r="J1929"/>
      <c r="K1929"/>
      <c r="L1929"/>
    </row>
    <row r="1930" spans="1:12">
      <c r="A1930" s="95" t="s">
        <v>1186</v>
      </c>
      <c r="B1930" t="s">
        <v>4786</v>
      </c>
      <c r="C1930" s="87" t="s">
        <v>1595</v>
      </c>
      <c r="D1930" s="88"/>
      <c r="E1930" s="89">
        <v>68776934</v>
      </c>
      <c r="F1930"/>
      <c r="G1930" s="17" t="s">
        <v>1</v>
      </c>
      <c r="H1930" s="132">
        <v>46085</v>
      </c>
      <c r="I1930" s="127">
        <v>0.54374999999999996</v>
      </c>
      <c r="J1930"/>
      <c r="K1930"/>
      <c r="L1930"/>
    </row>
    <row r="1931" spans="1:12">
      <c r="A1931" s="95" t="s">
        <v>1186</v>
      </c>
      <c r="B1931" t="s">
        <v>4786</v>
      </c>
      <c r="C1931" s="87" t="s">
        <v>1596</v>
      </c>
      <c r="D1931" s="88"/>
      <c r="E1931" s="89">
        <v>64537641</v>
      </c>
      <c r="F1931"/>
      <c r="G1931" s="17" t="s">
        <v>1</v>
      </c>
      <c r="H1931" s="132">
        <v>46085</v>
      </c>
      <c r="I1931" s="127">
        <v>0.54513888888888884</v>
      </c>
      <c r="J1931"/>
      <c r="K1931"/>
      <c r="L1931"/>
    </row>
    <row r="1932" spans="1:12">
      <c r="A1932" s="95" t="s">
        <v>1186</v>
      </c>
      <c r="B1932" t="s">
        <v>4786</v>
      </c>
      <c r="C1932" s="87" t="s">
        <v>1597</v>
      </c>
      <c r="D1932" s="88"/>
      <c r="E1932" s="89">
        <v>68425492</v>
      </c>
      <c r="F1932"/>
      <c r="G1932" s="17" t="s">
        <v>6</v>
      </c>
      <c r="H1932" s="132">
        <v>46085</v>
      </c>
      <c r="I1932" s="127">
        <v>0.55069444444444449</v>
      </c>
      <c r="J1932"/>
      <c r="K1932"/>
      <c r="L1932"/>
    </row>
    <row r="1933" spans="1:12">
      <c r="A1933" s="95" t="s">
        <v>1186</v>
      </c>
      <c r="B1933" t="s">
        <v>4786</v>
      </c>
      <c r="C1933" s="87" t="s">
        <v>1598</v>
      </c>
      <c r="D1933" s="88"/>
      <c r="E1933" s="89">
        <v>7751987</v>
      </c>
      <c r="F1933"/>
      <c r="G1933" s="17" t="s">
        <v>6</v>
      </c>
      <c r="H1933" s="132">
        <v>46085</v>
      </c>
      <c r="I1933" s="127">
        <v>0.55138888888888893</v>
      </c>
      <c r="J1933"/>
      <c r="K1933"/>
      <c r="L1933"/>
    </row>
    <row r="1934" spans="1:12">
      <c r="A1934" s="95" t="s">
        <v>1186</v>
      </c>
      <c r="B1934" t="s">
        <v>4786</v>
      </c>
      <c r="C1934" s="87" t="s">
        <v>1599</v>
      </c>
      <c r="D1934" s="88"/>
      <c r="E1934" s="89">
        <v>66117911</v>
      </c>
      <c r="F1934"/>
      <c r="G1934" s="17" t="s">
        <v>6</v>
      </c>
      <c r="H1934" s="132">
        <v>46085</v>
      </c>
      <c r="I1934" s="127">
        <v>0.55208333333333337</v>
      </c>
      <c r="J1934"/>
      <c r="K1934"/>
      <c r="L1934"/>
    </row>
    <row r="1935" spans="1:12">
      <c r="A1935" s="95" t="s">
        <v>1186</v>
      </c>
      <c r="B1935" t="s">
        <v>4786</v>
      </c>
      <c r="C1935" s="87" t="s">
        <v>1600</v>
      </c>
      <c r="D1935" s="88"/>
      <c r="E1935" s="89">
        <v>65128228</v>
      </c>
      <c r="F1935"/>
      <c r="G1935" s="17" t="s">
        <v>2</v>
      </c>
      <c r="H1935" s="132">
        <v>46085</v>
      </c>
      <c r="I1935" s="127">
        <v>0.55347222222222225</v>
      </c>
      <c r="J1935"/>
      <c r="K1935"/>
      <c r="L1935"/>
    </row>
    <row r="1936" spans="1:12">
      <c r="A1936" s="95" t="s">
        <v>1186</v>
      </c>
      <c r="B1936" t="s">
        <v>4786</v>
      </c>
      <c r="C1936" s="87" t="s">
        <v>1601</v>
      </c>
      <c r="D1936" s="88"/>
      <c r="E1936" s="89">
        <v>64664989</v>
      </c>
      <c r="F1936"/>
      <c r="G1936" s="17" t="s">
        <v>1</v>
      </c>
      <c r="H1936" s="132">
        <v>46085</v>
      </c>
      <c r="I1936" s="127">
        <v>0.5541666666666667</v>
      </c>
      <c r="J1936"/>
      <c r="K1936"/>
      <c r="L1936"/>
    </row>
    <row r="1937" spans="1:12">
      <c r="A1937" s="95" t="s">
        <v>1186</v>
      </c>
      <c r="B1937" t="s">
        <v>4786</v>
      </c>
      <c r="C1937" s="87" t="s">
        <v>1602</v>
      </c>
      <c r="D1937" s="88"/>
      <c r="E1937" s="89">
        <v>67723562</v>
      </c>
      <c r="F1937"/>
      <c r="G1937" s="17" t="s">
        <v>6</v>
      </c>
      <c r="H1937" s="132">
        <v>46085</v>
      </c>
      <c r="I1937" s="127">
        <v>0.5625</v>
      </c>
      <c r="J1937"/>
      <c r="K1937"/>
      <c r="L1937"/>
    </row>
    <row r="1938" spans="1:12">
      <c r="A1938" s="95" t="s">
        <v>1186</v>
      </c>
      <c r="B1938" t="s">
        <v>4786</v>
      </c>
      <c r="C1938" s="87" t="s">
        <v>1603</v>
      </c>
      <c r="D1938" s="88"/>
      <c r="E1938" s="89">
        <v>65779167</v>
      </c>
      <c r="F1938"/>
      <c r="G1938" s="17" t="s">
        <v>1</v>
      </c>
      <c r="H1938" s="132">
        <v>46085</v>
      </c>
      <c r="I1938" s="127">
        <v>0.56944444444444442</v>
      </c>
      <c r="J1938"/>
      <c r="K1938"/>
      <c r="L1938"/>
    </row>
    <row r="1939" spans="1:12">
      <c r="A1939" s="95" t="s">
        <v>1186</v>
      </c>
      <c r="B1939" t="s">
        <v>4786</v>
      </c>
      <c r="C1939" s="87" t="s">
        <v>1604</v>
      </c>
      <c r="D1939" s="88"/>
      <c r="E1939" s="89">
        <v>6177279</v>
      </c>
      <c r="F1939"/>
      <c r="G1939" s="17" t="s">
        <v>9</v>
      </c>
      <c r="H1939" s="132">
        <v>46085</v>
      </c>
      <c r="I1939" s="127">
        <v>0.57013888888888886</v>
      </c>
      <c r="J1939"/>
      <c r="K1939"/>
      <c r="L1939"/>
    </row>
    <row r="1940" spans="1:12">
      <c r="A1940" s="95" t="s">
        <v>1186</v>
      </c>
      <c r="B1940" t="s">
        <v>4786</v>
      </c>
      <c r="C1940" s="87" t="s">
        <v>1605</v>
      </c>
      <c r="D1940" s="88"/>
      <c r="E1940" s="89">
        <v>66808702</v>
      </c>
      <c r="F1940"/>
      <c r="G1940" s="17" t="s">
        <v>6</v>
      </c>
      <c r="H1940" s="132">
        <v>46085</v>
      </c>
      <c r="I1940" s="127">
        <v>0.5708333333333333</v>
      </c>
      <c r="J1940"/>
      <c r="K1940"/>
      <c r="L1940"/>
    </row>
    <row r="1941" spans="1:12">
      <c r="A1941" s="95" t="s">
        <v>1186</v>
      </c>
      <c r="B1941" t="s">
        <v>4786</v>
      </c>
      <c r="C1941" s="87" t="s">
        <v>1606</v>
      </c>
      <c r="D1941" s="88"/>
      <c r="E1941" s="89">
        <v>66443457</v>
      </c>
      <c r="F1941"/>
      <c r="G1941" s="17" t="s">
        <v>6</v>
      </c>
      <c r="H1941" s="132">
        <v>46085</v>
      </c>
      <c r="I1941" s="127">
        <v>0.57152777777777775</v>
      </c>
      <c r="J1941"/>
      <c r="K1941"/>
      <c r="L1941"/>
    </row>
    <row r="1942" spans="1:12">
      <c r="A1942" s="95" t="s">
        <v>1186</v>
      </c>
      <c r="B1942" t="s">
        <v>4786</v>
      </c>
      <c r="C1942" s="87" t="s">
        <v>1607</v>
      </c>
      <c r="D1942" s="88"/>
      <c r="E1942" s="89">
        <v>64878514</v>
      </c>
      <c r="F1942"/>
      <c r="G1942" s="17" t="s">
        <v>6</v>
      </c>
      <c r="H1942" s="132">
        <v>46085</v>
      </c>
      <c r="I1942" s="127">
        <v>0.58333333333333337</v>
      </c>
      <c r="J1942"/>
      <c r="K1942"/>
      <c r="L1942"/>
    </row>
    <row r="1943" spans="1:12">
      <c r="A1943" s="95" t="s">
        <v>1186</v>
      </c>
      <c r="B1943" t="s">
        <v>4786</v>
      </c>
      <c r="C1943" s="87" t="s">
        <v>1608</v>
      </c>
      <c r="D1943" s="88"/>
      <c r="E1943" s="89">
        <v>63965356</v>
      </c>
      <c r="F1943"/>
      <c r="G1943" s="17" t="s">
        <v>2</v>
      </c>
      <c r="H1943" s="132">
        <v>46085</v>
      </c>
      <c r="I1943" s="127">
        <v>0.58472222222222225</v>
      </c>
      <c r="J1943"/>
      <c r="K1943"/>
      <c r="L1943"/>
    </row>
    <row r="1944" spans="1:12">
      <c r="A1944" s="95" t="s">
        <v>1186</v>
      </c>
      <c r="B1944" t="s">
        <v>4786</v>
      </c>
      <c r="C1944" s="87" t="s">
        <v>1609</v>
      </c>
      <c r="D1944" s="88"/>
      <c r="E1944" s="89">
        <v>62159545</v>
      </c>
      <c r="F1944"/>
      <c r="G1944" s="17" t="s">
        <v>1</v>
      </c>
      <c r="H1944" s="132">
        <v>46085</v>
      </c>
      <c r="I1944" s="127">
        <v>0.5854166666666667</v>
      </c>
      <c r="J1944"/>
      <c r="K1944"/>
      <c r="L1944"/>
    </row>
    <row r="1945" spans="1:12">
      <c r="A1945" s="95" t="s">
        <v>1186</v>
      </c>
      <c r="B1945" t="s">
        <v>4786</v>
      </c>
      <c r="C1945" s="87" t="s">
        <v>1610</v>
      </c>
      <c r="D1945" s="88"/>
      <c r="E1945" s="89">
        <v>64814345</v>
      </c>
      <c r="F1945"/>
      <c r="G1945" s="17" t="s">
        <v>1</v>
      </c>
      <c r="H1945" s="132">
        <v>46085</v>
      </c>
      <c r="I1945" s="127">
        <v>0.58611111111111114</v>
      </c>
      <c r="J1945"/>
      <c r="K1945"/>
      <c r="L1945"/>
    </row>
    <row r="1946" spans="1:12">
      <c r="A1946" s="95" t="s">
        <v>1186</v>
      </c>
      <c r="B1946" t="s">
        <v>4786</v>
      </c>
      <c r="C1946" s="87" t="s">
        <v>1611</v>
      </c>
      <c r="D1946" s="88"/>
      <c r="E1946" s="89">
        <v>7303360</v>
      </c>
      <c r="F1946"/>
      <c r="G1946" s="17" t="s">
        <v>4</v>
      </c>
      <c r="H1946" s="132">
        <v>46085</v>
      </c>
      <c r="I1946" s="127">
        <v>0.58888888888888891</v>
      </c>
      <c r="J1946"/>
      <c r="K1946"/>
      <c r="L1946"/>
    </row>
    <row r="1947" spans="1:12">
      <c r="A1947" s="95" t="s">
        <v>1186</v>
      </c>
      <c r="B1947" t="s">
        <v>4786</v>
      </c>
      <c r="C1947" s="87" t="s">
        <v>1612</v>
      </c>
      <c r="D1947" s="88"/>
      <c r="E1947" s="89">
        <v>69258339</v>
      </c>
      <c r="F1947"/>
      <c r="G1947" s="17" t="s">
        <v>1</v>
      </c>
      <c r="H1947" s="132">
        <v>46085</v>
      </c>
      <c r="I1947" s="127">
        <v>0.59097222222222223</v>
      </c>
      <c r="J1947"/>
      <c r="K1947"/>
      <c r="L1947"/>
    </row>
    <row r="1948" spans="1:12">
      <c r="A1948" s="95" t="s">
        <v>1186</v>
      </c>
      <c r="B1948" t="s">
        <v>4786</v>
      </c>
      <c r="C1948" s="87" t="s">
        <v>1613</v>
      </c>
      <c r="D1948" s="88"/>
      <c r="E1948" s="89">
        <v>65099452</v>
      </c>
      <c r="F1948"/>
      <c r="G1948" s="17" t="s">
        <v>1</v>
      </c>
      <c r="H1948" s="132">
        <v>46085</v>
      </c>
      <c r="I1948" s="127">
        <v>0.59513888888888888</v>
      </c>
      <c r="J1948"/>
      <c r="K1948"/>
      <c r="L1948"/>
    </row>
    <row r="1949" spans="1:12">
      <c r="A1949" s="95" t="s">
        <v>1186</v>
      </c>
      <c r="B1949" t="s">
        <v>4786</v>
      </c>
      <c r="C1949" s="87" t="s">
        <v>1614</v>
      </c>
      <c r="D1949" s="88"/>
      <c r="E1949" s="89">
        <v>66142389</v>
      </c>
      <c r="F1949"/>
      <c r="G1949" s="17" t="s">
        <v>6</v>
      </c>
      <c r="H1949" s="132">
        <v>46085</v>
      </c>
      <c r="I1949" s="127">
        <v>0.60555555555555551</v>
      </c>
      <c r="J1949"/>
      <c r="K1949"/>
      <c r="L1949"/>
    </row>
    <row r="1950" spans="1:12">
      <c r="A1950" s="95" t="s">
        <v>1186</v>
      </c>
      <c r="B1950" t="s">
        <v>4786</v>
      </c>
      <c r="C1950" s="87" t="s">
        <v>1615</v>
      </c>
      <c r="D1950" s="88"/>
      <c r="E1950" s="89">
        <v>69382354</v>
      </c>
      <c r="F1950"/>
      <c r="G1950" s="17" t="s">
        <v>1</v>
      </c>
      <c r="H1950" s="132">
        <v>46085</v>
      </c>
      <c r="I1950" s="127">
        <v>0.6069444444444444</v>
      </c>
      <c r="J1950"/>
      <c r="K1950"/>
      <c r="L1950"/>
    </row>
    <row r="1951" spans="1:12">
      <c r="A1951" s="95" t="s">
        <v>1186</v>
      </c>
      <c r="B1951" t="s">
        <v>4786</v>
      </c>
      <c r="C1951" s="87" t="s">
        <v>1616</v>
      </c>
      <c r="D1951" s="88"/>
      <c r="E1951" s="89">
        <v>62581751</v>
      </c>
      <c r="F1951"/>
      <c r="G1951" s="17" t="s">
        <v>1</v>
      </c>
      <c r="H1951" s="132">
        <v>46085</v>
      </c>
      <c r="I1951" s="127">
        <v>0.60833333333333328</v>
      </c>
      <c r="J1951"/>
      <c r="K1951"/>
      <c r="L1951"/>
    </row>
    <row r="1952" spans="1:12">
      <c r="A1952" s="95" t="s">
        <v>1186</v>
      </c>
      <c r="B1952" t="s">
        <v>4786</v>
      </c>
      <c r="C1952" s="87" t="s">
        <v>1617</v>
      </c>
      <c r="D1952" s="88"/>
      <c r="E1952" s="89">
        <v>64277971</v>
      </c>
      <c r="F1952"/>
      <c r="G1952" s="17" t="s">
        <v>6</v>
      </c>
      <c r="H1952" s="132">
        <v>46085</v>
      </c>
      <c r="I1952" s="127">
        <v>0.60902777777777772</v>
      </c>
      <c r="J1952"/>
      <c r="K1952"/>
      <c r="L1952"/>
    </row>
    <row r="1953" spans="1:12">
      <c r="A1953" s="95" t="s">
        <v>1186</v>
      </c>
      <c r="B1953" t="s">
        <v>4786</v>
      </c>
      <c r="C1953" s="87" t="s">
        <v>1618</v>
      </c>
      <c r="D1953" s="88"/>
      <c r="E1953" s="89">
        <v>68017302</v>
      </c>
      <c r="F1953"/>
      <c r="G1953" s="17" t="s">
        <v>2</v>
      </c>
      <c r="H1953" s="132">
        <v>46085</v>
      </c>
      <c r="I1953" s="127">
        <v>0.60972222222222228</v>
      </c>
      <c r="J1953"/>
      <c r="K1953"/>
      <c r="L1953"/>
    </row>
    <row r="1954" spans="1:12">
      <c r="A1954" s="95" t="s">
        <v>1186</v>
      </c>
      <c r="B1954" t="s">
        <v>4786</v>
      </c>
      <c r="C1954" s="87" t="s">
        <v>1619</v>
      </c>
      <c r="D1954" s="88"/>
      <c r="E1954" s="89">
        <v>62123784</v>
      </c>
      <c r="F1954"/>
      <c r="G1954" s="17" t="s">
        <v>1</v>
      </c>
      <c r="H1954" s="132">
        <v>46085</v>
      </c>
      <c r="I1954" s="127">
        <v>0.61041666666666672</v>
      </c>
      <c r="J1954"/>
      <c r="K1954"/>
      <c r="L1954"/>
    </row>
    <row r="1955" spans="1:12">
      <c r="A1955" s="95" t="s">
        <v>1186</v>
      </c>
      <c r="B1955" t="s">
        <v>4786</v>
      </c>
      <c r="C1955" s="87" t="s">
        <v>1620</v>
      </c>
      <c r="D1955" s="88"/>
      <c r="E1955" s="89">
        <v>66938332</v>
      </c>
      <c r="F1955"/>
      <c r="G1955" s="17" t="s">
        <v>2</v>
      </c>
      <c r="H1955" s="132">
        <v>46085</v>
      </c>
      <c r="I1955" s="127">
        <v>0.61388888888888893</v>
      </c>
      <c r="J1955"/>
      <c r="K1955"/>
      <c r="L1955"/>
    </row>
    <row r="1956" spans="1:12">
      <c r="A1956" s="95" t="s">
        <v>1186</v>
      </c>
      <c r="B1956" t="s">
        <v>4786</v>
      </c>
      <c r="C1956" s="87" t="s">
        <v>1621</v>
      </c>
      <c r="D1956" s="88"/>
      <c r="E1956" s="89">
        <v>62815079</v>
      </c>
      <c r="F1956"/>
      <c r="G1956" s="17" t="s">
        <v>1</v>
      </c>
      <c r="H1956" s="132">
        <v>46085</v>
      </c>
      <c r="I1956" s="127">
        <v>0.61527777777777781</v>
      </c>
      <c r="J1956"/>
      <c r="K1956"/>
      <c r="L1956"/>
    </row>
    <row r="1957" spans="1:12">
      <c r="A1957" s="95" t="s">
        <v>1186</v>
      </c>
      <c r="B1957" t="s">
        <v>4786</v>
      </c>
      <c r="C1957" s="87" t="s">
        <v>1622</v>
      </c>
      <c r="D1957" s="88"/>
      <c r="E1957" s="89">
        <v>68812303</v>
      </c>
      <c r="F1957"/>
      <c r="G1957" s="17" t="s">
        <v>4</v>
      </c>
      <c r="H1957" s="132">
        <v>46085</v>
      </c>
      <c r="I1957" s="127">
        <v>0.61805555555555558</v>
      </c>
      <c r="J1957"/>
      <c r="K1957"/>
      <c r="L1957"/>
    </row>
    <row r="1958" spans="1:12">
      <c r="A1958" s="95" t="s">
        <v>1186</v>
      </c>
      <c r="B1958" t="s">
        <v>4786</v>
      </c>
      <c r="C1958" s="87" t="s">
        <v>1623</v>
      </c>
      <c r="D1958" s="88"/>
      <c r="E1958" s="89">
        <v>64063802</v>
      </c>
      <c r="F1958"/>
      <c r="G1958" s="17" t="s">
        <v>6</v>
      </c>
      <c r="H1958" s="132">
        <v>46085</v>
      </c>
      <c r="I1958" s="127">
        <v>0.62013888888888891</v>
      </c>
      <c r="J1958"/>
      <c r="K1958"/>
      <c r="L1958"/>
    </row>
    <row r="1959" spans="1:12">
      <c r="A1959" s="95" t="s">
        <v>1186</v>
      </c>
      <c r="B1959" t="s">
        <v>4786</v>
      </c>
      <c r="C1959" s="87" t="s">
        <v>1624</v>
      </c>
      <c r="D1959" s="88"/>
      <c r="E1959" s="89">
        <v>64465583</v>
      </c>
      <c r="F1959"/>
      <c r="G1959" s="17" t="s">
        <v>6</v>
      </c>
      <c r="H1959" s="132">
        <v>46085</v>
      </c>
      <c r="I1959" s="127">
        <v>0.62083333333333335</v>
      </c>
      <c r="J1959"/>
      <c r="K1959"/>
      <c r="L1959"/>
    </row>
    <row r="1960" spans="1:12">
      <c r="A1960" s="95" t="s">
        <v>1186</v>
      </c>
      <c r="B1960" t="s">
        <v>4786</v>
      </c>
      <c r="C1960" s="87" t="s">
        <v>1625</v>
      </c>
      <c r="D1960" s="88"/>
      <c r="E1960" s="89">
        <v>7303794</v>
      </c>
      <c r="F1960"/>
      <c r="G1960" s="17" t="s">
        <v>6</v>
      </c>
      <c r="H1960" s="132">
        <v>46085</v>
      </c>
      <c r="I1960" s="127">
        <v>0.62847222222222221</v>
      </c>
      <c r="J1960"/>
      <c r="K1960"/>
      <c r="L1960"/>
    </row>
    <row r="1961" spans="1:12">
      <c r="A1961" s="95" t="s">
        <v>1186</v>
      </c>
      <c r="B1961" t="s">
        <v>4786</v>
      </c>
      <c r="C1961" s="87" t="s">
        <v>1626</v>
      </c>
      <c r="D1961" s="88"/>
      <c r="E1961" s="89">
        <v>69437763</v>
      </c>
      <c r="F1961"/>
      <c r="G1961" s="17" t="s">
        <v>1</v>
      </c>
      <c r="H1961" s="132">
        <v>46085</v>
      </c>
      <c r="I1961" s="127">
        <v>0.62916666666666665</v>
      </c>
      <c r="J1961"/>
      <c r="K1961"/>
      <c r="L1961"/>
    </row>
    <row r="1962" spans="1:12">
      <c r="A1962" s="95" t="s">
        <v>1186</v>
      </c>
      <c r="B1962" t="s">
        <v>4786</v>
      </c>
      <c r="C1962" s="87" t="s">
        <v>1627</v>
      </c>
      <c r="D1962" s="88"/>
      <c r="E1962" s="89">
        <v>62823481</v>
      </c>
      <c r="F1962"/>
      <c r="G1962" s="17" t="s">
        <v>9</v>
      </c>
      <c r="H1962" s="132">
        <v>46085</v>
      </c>
      <c r="I1962" s="127">
        <v>0.62986111111111109</v>
      </c>
      <c r="J1962"/>
      <c r="K1962"/>
      <c r="L1962"/>
    </row>
    <row r="1963" spans="1:12">
      <c r="A1963" s="95" t="s">
        <v>1186</v>
      </c>
      <c r="B1963" t="s">
        <v>4786</v>
      </c>
      <c r="C1963" s="87" t="s">
        <v>1628</v>
      </c>
      <c r="D1963" s="88"/>
      <c r="E1963" s="89">
        <v>67116016</v>
      </c>
      <c r="F1963"/>
      <c r="G1963" s="17" t="s">
        <v>6</v>
      </c>
      <c r="H1963" s="132">
        <v>46085</v>
      </c>
      <c r="I1963" s="127">
        <v>0.63124999999999998</v>
      </c>
      <c r="J1963"/>
      <c r="K1963"/>
      <c r="L1963"/>
    </row>
    <row r="1964" spans="1:12">
      <c r="A1964" s="95" t="s">
        <v>1186</v>
      </c>
      <c r="B1964" t="s">
        <v>4786</v>
      </c>
      <c r="C1964" s="87" t="s">
        <v>1629</v>
      </c>
      <c r="D1964" s="88"/>
      <c r="E1964" s="89">
        <v>67490302</v>
      </c>
      <c r="F1964"/>
      <c r="G1964" s="17" t="s">
        <v>6</v>
      </c>
      <c r="H1964" s="132">
        <v>46085</v>
      </c>
      <c r="I1964" s="127">
        <v>0.63263888888888886</v>
      </c>
      <c r="J1964"/>
      <c r="K1964"/>
      <c r="L1964"/>
    </row>
    <row r="1965" spans="1:12">
      <c r="A1965" s="95" t="s">
        <v>1186</v>
      </c>
      <c r="B1965" t="s">
        <v>4786</v>
      </c>
      <c r="C1965" s="87" t="s">
        <v>1630</v>
      </c>
      <c r="D1965" s="88"/>
      <c r="E1965" s="89">
        <v>66746403</v>
      </c>
      <c r="F1965"/>
      <c r="G1965" s="17" t="s">
        <v>6</v>
      </c>
      <c r="H1965" s="132">
        <v>46085</v>
      </c>
      <c r="I1965" s="127">
        <v>0.63402777777777775</v>
      </c>
      <c r="J1965"/>
      <c r="K1965"/>
      <c r="L1965"/>
    </row>
    <row r="1966" spans="1:12">
      <c r="A1966" s="95" t="s">
        <v>1186</v>
      </c>
      <c r="B1966" t="s">
        <v>4786</v>
      </c>
      <c r="C1966" s="87" t="s">
        <v>1631</v>
      </c>
      <c r="D1966" s="88"/>
      <c r="E1966" s="89">
        <v>63448391</v>
      </c>
      <c r="F1966"/>
      <c r="G1966" s="17" t="s">
        <v>6</v>
      </c>
      <c r="H1966" s="132">
        <v>46085</v>
      </c>
      <c r="I1966" s="127">
        <v>0.63541666666666663</v>
      </c>
      <c r="J1966"/>
      <c r="K1966"/>
      <c r="L1966"/>
    </row>
    <row r="1967" spans="1:12">
      <c r="A1967" s="95" t="s">
        <v>1186</v>
      </c>
      <c r="B1967" t="s">
        <v>4786</v>
      </c>
      <c r="C1967" s="87" t="s">
        <v>1632</v>
      </c>
      <c r="D1967" s="88"/>
      <c r="E1967" s="89">
        <v>69100812</v>
      </c>
      <c r="F1967"/>
      <c r="G1967" s="17" t="s">
        <v>6</v>
      </c>
      <c r="H1967" s="132">
        <v>46085</v>
      </c>
      <c r="I1967" s="127">
        <v>0.6381944444444444</v>
      </c>
      <c r="J1967"/>
      <c r="K1967"/>
      <c r="L1967"/>
    </row>
    <row r="1968" spans="1:12">
      <c r="A1968" s="95" t="s">
        <v>1186</v>
      </c>
      <c r="B1968" t="s">
        <v>4786</v>
      </c>
      <c r="C1968" s="87" t="s">
        <v>1633</v>
      </c>
      <c r="D1968" s="88"/>
      <c r="E1968" s="89">
        <v>66671457</v>
      </c>
      <c r="F1968"/>
      <c r="G1968" s="17" t="s">
        <v>6</v>
      </c>
      <c r="H1968" s="132">
        <v>46085</v>
      </c>
      <c r="I1968" s="127">
        <v>0.63888888888888884</v>
      </c>
      <c r="J1968"/>
      <c r="K1968"/>
      <c r="L1968"/>
    </row>
    <row r="1969" spans="1:12">
      <c r="A1969" s="95" t="s">
        <v>1186</v>
      </c>
      <c r="B1969" t="s">
        <v>4786</v>
      </c>
      <c r="C1969" s="87" t="s">
        <v>1634</v>
      </c>
      <c r="D1969" s="88"/>
      <c r="E1969" s="89">
        <v>64604230</v>
      </c>
      <c r="F1969"/>
      <c r="G1969" s="17" t="s">
        <v>6</v>
      </c>
      <c r="H1969" s="132">
        <v>46085</v>
      </c>
      <c r="I1969" s="127">
        <v>0.64166666666666672</v>
      </c>
      <c r="J1969"/>
      <c r="K1969"/>
      <c r="L1969"/>
    </row>
    <row r="1970" spans="1:12">
      <c r="A1970" s="124" t="s">
        <v>1186</v>
      </c>
      <c r="B1970" s="124" t="s">
        <v>1186</v>
      </c>
      <c r="C1970" s="136" t="s">
        <v>1635</v>
      </c>
      <c r="D1970" s="139"/>
      <c r="E1970" s="141">
        <v>68614519</v>
      </c>
      <c r="F1970" s="134"/>
      <c r="G1970" s="145" t="s">
        <v>1</v>
      </c>
      <c r="H1970" s="146">
        <v>46085</v>
      </c>
      <c r="I1970" s="148" t="s">
        <v>4787</v>
      </c>
      <c r="J1970" s="134"/>
      <c r="K1970" s="134"/>
      <c r="L1970" s="134"/>
    </row>
    <row r="1971" spans="1:12">
      <c r="A1971" s="124" t="s">
        <v>1186</v>
      </c>
      <c r="B1971" s="134" t="s">
        <v>4788</v>
      </c>
      <c r="C1971" s="136" t="s">
        <v>1636</v>
      </c>
      <c r="D1971" s="139"/>
      <c r="E1971" s="141">
        <v>64352738</v>
      </c>
      <c r="F1971" s="134"/>
      <c r="G1971" s="145" t="s">
        <v>3</v>
      </c>
      <c r="H1971" s="146">
        <v>46085</v>
      </c>
      <c r="I1971" s="148" t="s">
        <v>4789</v>
      </c>
      <c r="J1971" s="134"/>
      <c r="K1971" s="134"/>
      <c r="L1971" s="134"/>
    </row>
    <row r="1972" spans="1:12">
      <c r="A1972" s="124" t="s">
        <v>1186</v>
      </c>
      <c r="B1972" s="134" t="s">
        <v>4788</v>
      </c>
      <c r="C1972" s="136" t="s">
        <v>1637</v>
      </c>
      <c r="D1972" s="139"/>
      <c r="E1972" s="141">
        <v>65879635</v>
      </c>
      <c r="F1972" s="134"/>
      <c r="G1972" s="145" t="s">
        <v>1</v>
      </c>
      <c r="H1972" s="146">
        <v>46085</v>
      </c>
      <c r="I1972" s="148" t="s">
        <v>4790</v>
      </c>
      <c r="J1972" s="134"/>
      <c r="K1972" s="134"/>
      <c r="L1972" s="134"/>
    </row>
    <row r="1973" spans="1:12">
      <c r="A1973" s="124" t="s">
        <v>1186</v>
      </c>
      <c r="B1973" s="134" t="s">
        <v>4788</v>
      </c>
      <c r="C1973" s="136" t="s">
        <v>1638</v>
      </c>
      <c r="D1973" s="139"/>
      <c r="E1973" s="141">
        <v>7714752</v>
      </c>
      <c r="F1973" s="134" t="s">
        <v>4791</v>
      </c>
      <c r="G1973" s="145" t="s">
        <v>9</v>
      </c>
      <c r="H1973" s="146">
        <v>46085</v>
      </c>
      <c r="I1973" s="148" t="s">
        <v>4792</v>
      </c>
      <c r="J1973" s="134"/>
      <c r="K1973" s="134"/>
      <c r="L1973" s="134"/>
    </row>
    <row r="1974" spans="1:12">
      <c r="A1974" s="124" t="s">
        <v>1186</v>
      </c>
      <c r="B1974" s="134" t="s">
        <v>4788</v>
      </c>
      <c r="C1974" s="136" t="s">
        <v>1639</v>
      </c>
      <c r="D1974" s="139"/>
      <c r="E1974" s="141">
        <v>7308605</v>
      </c>
      <c r="F1974" s="143" t="s">
        <v>4793</v>
      </c>
      <c r="G1974" s="145" t="s">
        <v>7</v>
      </c>
      <c r="H1974" s="146">
        <v>46085</v>
      </c>
      <c r="I1974" s="148" t="s">
        <v>4794</v>
      </c>
      <c r="J1974" s="134"/>
      <c r="K1974" s="134"/>
      <c r="L1974" s="134"/>
    </row>
    <row r="1975" spans="1:12">
      <c r="A1975" s="124" t="s">
        <v>1186</v>
      </c>
      <c r="B1975" s="134" t="s">
        <v>4788</v>
      </c>
      <c r="C1975" s="136" t="s">
        <v>1640</v>
      </c>
      <c r="D1975" s="139"/>
      <c r="E1975" s="141">
        <v>63633275</v>
      </c>
      <c r="F1975" s="134"/>
      <c r="G1975" s="145" t="s">
        <v>6</v>
      </c>
      <c r="H1975" s="146">
        <v>46085</v>
      </c>
      <c r="I1975" s="148" t="s">
        <v>4795</v>
      </c>
      <c r="J1975" s="134"/>
      <c r="K1975" s="134"/>
      <c r="L1975" s="134"/>
    </row>
    <row r="1976" spans="1:12">
      <c r="A1976" s="124" t="s">
        <v>1186</v>
      </c>
      <c r="B1976" s="134" t="s">
        <v>4788</v>
      </c>
      <c r="C1976" s="136" t="s">
        <v>1641</v>
      </c>
      <c r="D1976" s="139"/>
      <c r="E1976" s="141">
        <v>68283310</v>
      </c>
      <c r="F1976" s="134"/>
      <c r="G1976" s="145" t="s">
        <v>1</v>
      </c>
      <c r="H1976" s="146">
        <v>46085</v>
      </c>
      <c r="I1976" s="148" t="s">
        <v>4796</v>
      </c>
      <c r="J1976" s="134"/>
      <c r="K1976" s="134"/>
      <c r="L1976" s="134"/>
    </row>
    <row r="1977" spans="1:12">
      <c r="A1977" s="124" t="s">
        <v>1186</v>
      </c>
      <c r="B1977" s="134" t="s">
        <v>4788</v>
      </c>
      <c r="C1977" s="136" t="s">
        <v>1642</v>
      </c>
      <c r="D1977" s="139"/>
      <c r="E1977" s="141">
        <v>63220292</v>
      </c>
      <c r="F1977" s="134"/>
      <c r="G1977" s="145" t="s">
        <v>1</v>
      </c>
      <c r="H1977" s="146">
        <v>46085</v>
      </c>
      <c r="I1977" s="148" t="s">
        <v>4797</v>
      </c>
      <c r="J1977" s="134"/>
      <c r="K1977" s="134"/>
      <c r="L1977" s="134"/>
    </row>
    <row r="1978" spans="1:12">
      <c r="A1978" s="124" t="s">
        <v>1186</v>
      </c>
      <c r="B1978" s="134" t="s">
        <v>4788</v>
      </c>
      <c r="C1978" s="136" t="s">
        <v>1643</v>
      </c>
      <c r="D1978" s="139"/>
      <c r="E1978" s="141">
        <v>66333389</v>
      </c>
      <c r="F1978" s="134"/>
      <c r="G1978" s="145" t="s">
        <v>1</v>
      </c>
      <c r="H1978" s="146">
        <v>46085</v>
      </c>
      <c r="I1978" s="148" t="s">
        <v>3753</v>
      </c>
      <c r="J1978" s="134"/>
      <c r="K1978" s="134"/>
      <c r="L1978" s="134"/>
    </row>
    <row r="1979" spans="1:12">
      <c r="A1979" s="124" t="s">
        <v>1186</v>
      </c>
      <c r="B1979" s="134" t="s">
        <v>4788</v>
      </c>
      <c r="C1979" s="136" t="s">
        <v>1644</v>
      </c>
      <c r="D1979" s="139"/>
      <c r="E1979" s="141">
        <v>64407355</v>
      </c>
      <c r="F1979" s="134"/>
      <c r="G1979" s="145" t="s">
        <v>3</v>
      </c>
      <c r="H1979" s="146">
        <v>46085</v>
      </c>
      <c r="I1979" s="148" t="s">
        <v>3758</v>
      </c>
      <c r="J1979" s="134"/>
      <c r="K1979" s="134"/>
      <c r="L1979" s="134"/>
    </row>
    <row r="1980" spans="1:12">
      <c r="A1980" s="124" t="s">
        <v>1186</v>
      </c>
      <c r="B1980" s="134" t="s">
        <v>4788</v>
      </c>
      <c r="C1980" s="136" t="s">
        <v>1645</v>
      </c>
      <c r="D1980" s="139"/>
      <c r="E1980" s="141">
        <v>65611456</v>
      </c>
      <c r="F1980" s="134"/>
      <c r="G1980" s="145" t="s">
        <v>1</v>
      </c>
      <c r="H1980" s="146">
        <v>46085</v>
      </c>
      <c r="I1980" s="148" t="s">
        <v>4798</v>
      </c>
      <c r="J1980" s="134"/>
      <c r="K1980" s="134"/>
      <c r="L1980" s="134"/>
    </row>
    <row r="1981" spans="1:12">
      <c r="A1981" s="124" t="s">
        <v>1186</v>
      </c>
      <c r="B1981" s="134" t="s">
        <v>4788</v>
      </c>
      <c r="C1981" s="136" t="s">
        <v>1646</v>
      </c>
      <c r="D1981" s="139"/>
      <c r="E1981" s="141">
        <v>66875164</v>
      </c>
      <c r="F1981" s="134"/>
      <c r="G1981" s="145" t="s">
        <v>6</v>
      </c>
      <c r="H1981" s="146">
        <v>46085</v>
      </c>
      <c r="I1981" s="148" t="s">
        <v>3763</v>
      </c>
      <c r="J1981" s="134"/>
      <c r="K1981" s="134"/>
      <c r="L1981" s="134"/>
    </row>
    <row r="1982" spans="1:12">
      <c r="A1982" s="124" t="s">
        <v>1186</v>
      </c>
      <c r="B1982" s="134" t="s">
        <v>4788</v>
      </c>
      <c r="C1982" s="136" t="s">
        <v>1647</v>
      </c>
      <c r="D1982" s="139"/>
      <c r="E1982" s="141">
        <v>65301212</v>
      </c>
      <c r="F1982" s="134"/>
      <c r="G1982" s="145" t="s">
        <v>1</v>
      </c>
      <c r="H1982" s="146">
        <v>46085</v>
      </c>
      <c r="I1982" s="148" t="s">
        <v>4799</v>
      </c>
      <c r="J1982" s="134"/>
      <c r="K1982" s="134"/>
      <c r="L1982" s="134"/>
    </row>
    <row r="1983" spans="1:12">
      <c r="A1983" s="124" t="s">
        <v>1186</v>
      </c>
      <c r="B1983" s="134" t="s">
        <v>4788</v>
      </c>
      <c r="C1983" s="136" t="s">
        <v>1648</v>
      </c>
      <c r="D1983" s="139"/>
      <c r="E1983" s="141">
        <v>65774779</v>
      </c>
      <c r="F1983" s="134"/>
      <c r="G1983" s="145" t="s">
        <v>2</v>
      </c>
      <c r="H1983" s="146">
        <v>46085</v>
      </c>
      <c r="I1983" s="148" t="s">
        <v>3774</v>
      </c>
      <c r="J1983" s="134"/>
      <c r="K1983" s="134"/>
      <c r="L1983" s="134"/>
    </row>
    <row r="1984" spans="1:12">
      <c r="A1984" s="124" t="s">
        <v>1186</v>
      </c>
      <c r="B1984" s="134" t="s">
        <v>4788</v>
      </c>
      <c r="C1984" s="136" t="s">
        <v>1649</v>
      </c>
      <c r="D1984" s="139"/>
      <c r="E1984" s="141">
        <v>64207631</v>
      </c>
      <c r="F1984" s="134"/>
      <c r="G1984" s="145" t="s">
        <v>6</v>
      </c>
      <c r="H1984" s="146">
        <v>46085</v>
      </c>
      <c r="I1984" s="148" t="s">
        <v>4800</v>
      </c>
      <c r="J1984" s="134"/>
      <c r="K1984" s="134"/>
      <c r="L1984" s="134"/>
    </row>
    <row r="1985" spans="1:12">
      <c r="A1985" s="124" t="s">
        <v>1186</v>
      </c>
      <c r="B1985" s="134" t="s">
        <v>4788</v>
      </c>
      <c r="C1985" s="136" t="s">
        <v>1650</v>
      </c>
      <c r="D1985" s="139"/>
      <c r="E1985" s="141">
        <v>67678307</v>
      </c>
      <c r="F1985" s="134"/>
      <c r="G1985" s="145" t="s">
        <v>8</v>
      </c>
      <c r="H1985" s="146">
        <v>46085</v>
      </c>
      <c r="I1985" s="148" t="s">
        <v>3775</v>
      </c>
      <c r="J1985" s="134"/>
      <c r="K1985" s="134"/>
      <c r="L1985" s="134"/>
    </row>
    <row r="1986" spans="1:12">
      <c r="A1986" s="124" t="s">
        <v>1186</v>
      </c>
      <c r="B1986" s="134" t="s">
        <v>4788</v>
      </c>
      <c r="C1986" s="136" t="s">
        <v>1651</v>
      </c>
      <c r="D1986" s="139"/>
      <c r="E1986" s="141">
        <v>68739554</v>
      </c>
      <c r="F1986" s="134"/>
      <c r="G1986" s="145" t="s">
        <v>1</v>
      </c>
      <c r="H1986" s="146">
        <v>46085</v>
      </c>
      <c r="I1986" s="148" t="s">
        <v>4801</v>
      </c>
      <c r="J1986" s="134"/>
      <c r="K1986" s="134"/>
      <c r="L1986" s="134"/>
    </row>
    <row r="1987" spans="1:12">
      <c r="A1987" s="124" t="s">
        <v>1186</v>
      </c>
      <c r="B1987" s="134" t="s">
        <v>4788</v>
      </c>
      <c r="C1987" s="136" t="s">
        <v>1652</v>
      </c>
      <c r="D1987" s="139"/>
      <c r="E1987" s="141">
        <v>7201111</v>
      </c>
      <c r="F1987" s="134"/>
      <c r="G1987" s="145" t="s">
        <v>6</v>
      </c>
      <c r="H1987" s="146">
        <v>46085</v>
      </c>
      <c r="I1987" s="148" t="s">
        <v>4802</v>
      </c>
      <c r="J1987" s="134"/>
      <c r="K1987" s="134"/>
      <c r="L1987" s="134"/>
    </row>
    <row r="1988" spans="1:12">
      <c r="A1988" s="124" t="s">
        <v>1186</v>
      </c>
      <c r="B1988" s="134" t="s">
        <v>4788</v>
      </c>
      <c r="C1988" s="136" t="s">
        <v>1653</v>
      </c>
      <c r="D1988" s="139"/>
      <c r="E1988" s="141">
        <v>67720408</v>
      </c>
      <c r="F1988" s="134"/>
      <c r="G1988" s="145" t="s">
        <v>6</v>
      </c>
      <c r="H1988" s="146">
        <v>46085</v>
      </c>
      <c r="I1988" s="148" t="s">
        <v>4802</v>
      </c>
      <c r="J1988" s="134"/>
      <c r="K1988" s="134"/>
      <c r="L1988" s="134"/>
    </row>
    <row r="1989" spans="1:12">
      <c r="A1989" s="124" t="s">
        <v>1186</v>
      </c>
      <c r="B1989" s="134" t="s">
        <v>4788</v>
      </c>
      <c r="C1989" s="136" t="s">
        <v>1654</v>
      </c>
      <c r="D1989" s="139"/>
      <c r="E1989" s="141">
        <v>64580281</v>
      </c>
      <c r="F1989" s="134"/>
      <c r="G1989" s="145" t="s">
        <v>8</v>
      </c>
      <c r="H1989" s="146">
        <v>46085</v>
      </c>
      <c r="I1989" s="148" t="s">
        <v>4803</v>
      </c>
      <c r="J1989" s="134"/>
      <c r="K1989" s="134"/>
      <c r="L1989" s="134"/>
    </row>
    <row r="1990" spans="1:12">
      <c r="A1990" s="124" t="s">
        <v>1186</v>
      </c>
      <c r="B1990" s="134" t="s">
        <v>4788</v>
      </c>
      <c r="C1990" s="136" t="s">
        <v>1655</v>
      </c>
      <c r="D1990" s="139"/>
      <c r="E1990" s="141">
        <v>63653652</v>
      </c>
      <c r="F1990" s="134"/>
      <c r="G1990" s="145" t="s">
        <v>1</v>
      </c>
      <c r="H1990" s="146">
        <v>46085</v>
      </c>
      <c r="I1990" s="148" t="s">
        <v>3782</v>
      </c>
      <c r="J1990" s="134"/>
      <c r="K1990" s="134"/>
      <c r="L1990" s="134"/>
    </row>
    <row r="1991" spans="1:12">
      <c r="A1991" s="124" t="s">
        <v>1186</v>
      </c>
      <c r="B1991" s="134" t="s">
        <v>4788</v>
      </c>
      <c r="C1991" s="136" t="s">
        <v>1656</v>
      </c>
      <c r="D1991" s="139"/>
      <c r="E1991" s="141">
        <v>69042097</v>
      </c>
      <c r="F1991" s="134"/>
      <c r="G1991" s="145" t="s">
        <v>2</v>
      </c>
      <c r="H1991" s="146">
        <v>46085</v>
      </c>
      <c r="I1991" s="148" t="s">
        <v>4804</v>
      </c>
      <c r="J1991" s="134"/>
      <c r="K1991" s="134"/>
      <c r="L1991" s="134"/>
    </row>
    <row r="1992" spans="1:12">
      <c r="A1992" s="124" t="s">
        <v>1186</v>
      </c>
      <c r="B1992" s="134" t="s">
        <v>4788</v>
      </c>
      <c r="C1992" s="136" t="s">
        <v>1657</v>
      </c>
      <c r="D1992" s="139"/>
      <c r="E1992" s="141">
        <v>63630552</v>
      </c>
      <c r="F1992" s="134"/>
      <c r="G1992" s="145" t="s">
        <v>3</v>
      </c>
      <c r="H1992" s="146">
        <v>46085</v>
      </c>
      <c r="I1992" s="148" t="s">
        <v>4805</v>
      </c>
      <c r="J1992" s="134"/>
      <c r="K1992" s="134"/>
      <c r="L1992" s="134"/>
    </row>
    <row r="1993" spans="1:12">
      <c r="A1993" s="124" t="s">
        <v>1186</v>
      </c>
      <c r="B1993" s="134" t="s">
        <v>4788</v>
      </c>
      <c r="C1993" s="136" t="s">
        <v>1658</v>
      </c>
      <c r="D1993" s="139"/>
      <c r="E1993" s="141">
        <v>68234751</v>
      </c>
      <c r="F1993" s="134"/>
      <c r="G1993" s="145" t="s">
        <v>2</v>
      </c>
      <c r="H1993" s="146">
        <v>46085</v>
      </c>
      <c r="I1993" s="148" t="s">
        <v>3795</v>
      </c>
      <c r="J1993" s="134"/>
      <c r="K1993" s="134"/>
      <c r="L1993" s="134"/>
    </row>
    <row r="1994" spans="1:12">
      <c r="A1994" s="124" t="s">
        <v>1186</v>
      </c>
      <c r="B1994" s="134" t="s">
        <v>4788</v>
      </c>
      <c r="C1994" s="136" t="s">
        <v>1659</v>
      </c>
      <c r="D1994" s="139"/>
      <c r="E1994" s="141">
        <v>65000977</v>
      </c>
      <c r="F1994" s="134"/>
      <c r="G1994" s="145" t="s">
        <v>2</v>
      </c>
      <c r="H1994" s="146">
        <v>46085</v>
      </c>
      <c r="I1994" s="148" t="s">
        <v>3795</v>
      </c>
      <c r="J1994" s="134"/>
      <c r="K1994" s="134"/>
      <c r="L1994" s="134"/>
    </row>
    <row r="1995" spans="1:12">
      <c r="A1995" s="124" t="s">
        <v>1186</v>
      </c>
      <c r="B1995" s="134" t="s">
        <v>4788</v>
      </c>
      <c r="C1995" s="136" t="s">
        <v>1660</v>
      </c>
      <c r="D1995" s="139"/>
      <c r="E1995" s="141">
        <v>65683137</v>
      </c>
      <c r="F1995" s="134"/>
      <c r="G1995" s="145" t="s">
        <v>6</v>
      </c>
      <c r="H1995" s="146">
        <v>46085</v>
      </c>
      <c r="I1995" s="148" t="s">
        <v>3802</v>
      </c>
      <c r="J1995" s="134"/>
      <c r="K1995" s="134"/>
      <c r="L1995" s="134"/>
    </row>
    <row r="1996" spans="1:12">
      <c r="A1996" s="124" t="s">
        <v>1186</v>
      </c>
      <c r="B1996" s="134" t="s">
        <v>4788</v>
      </c>
      <c r="C1996" s="136" t="s">
        <v>1661</v>
      </c>
      <c r="D1996" s="139"/>
      <c r="E1996" s="141">
        <v>67012479</v>
      </c>
      <c r="F1996" s="134"/>
      <c r="G1996" s="145" t="s">
        <v>1</v>
      </c>
      <c r="H1996" s="146">
        <v>46085</v>
      </c>
      <c r="I1996" s="148" t="s">
        <v>3936</v>
      </c>
      <c r="J1996" s="134"/>
      <c r="K1996" s="134"/>
      <c r="L1996" s="134"/>
    </row>
    <row r="1997" spans="1:12">
      <c r="A1997" s="124" t="s">
        <v>1186</v>
      </c>
      <c r="B1997" s="134" t="s">
        <v>4788</v>
      </c>
      <c r="C1997" s="136" t="s">
        <v>1662</v>
      </c>
      <c r="D1997" s="139"/>
      <c r="E1997" s="141">
        <v>66514478</v>
      </c>
      <c r="F1997" s="134"/>
      <c r="G1997" s="145" t="s">
        <v>1</v>
      </c>
      <c r="H1997" s="146">
        <v>46085</v>
      </c>
      <c r="I1997" s="148" t="s">
        <v>4806</v>
      </c>
      <c r="J1997" s="134"/>
      <c r="K1997" s="134"/>
      <c r="L1997" s="134"/>
    </row>
    <row r="1998" spans="1:12">
      <c r="A1998" s="124" t="s">
        <v>1186</v>
      </c>
      <c r="B1998" s="134" t="s">
        <v>4788</v>
      </c>
      <c r="C1998" s="136" t="s">
        <v>1663</v>
      </c>
      <c r="D1998" s="139"/>
      <c r="E1998" s="141">
        <v>63097490</v>
      </c>
      <c r="F1998" s="134"/>
      <c r="G1998" s="145" t="s">
        <v>6</v>
      </c>
      <c r="H1998" s="146">
        <v>46085</v>
      </c>
      <c r="I1998" s="148" t="s">
        <v>4073</v>
      </c>
      <c r="J1998" s="134"/>
      <c r="K1998" s="134"/>
      <c r="L1998" s="134"/>
    </row>
    <row r="1999" spans="1:12">
      <c r="A1999" s="124" t="s">
        <v>1186</v>
      </c>
      <c r="B1999" s="134" t="s">
        <v>4788</v>
      </c>
      <c r="C1999" s="136" t="s">
        <v>1664</v>
      </c>
      <c r="D1999" s="139"/>
      <c r="E1999" s="141">
        <v>6391828</v>
      </c>
      <c r="F1999" s="134" t="s">
        <v>4807</v>
      </c>
      <c r="G1999" s="145" t="s">
        <v>9</v>
      </c>
      <c r="H1999" s="146"/>
      <c r="I1999" s="148"/>
      <c r="J1999" s="134"/>
      <c r="K1999" s="134"/>
      <c r="L1999" s="134"/>
    </row>
    <row r="2000" spans="1:12">
      <c r="A2000" s="124" t="s">
        <v>1186</v>
      </c>
      <c r="B2000" s="134" t="s">
        <v>4788</v>
      </c>
      <c r="C2000" s="136" t="s">
        <v>1665</v>
      </c>
      <c r="D2000" s="139"/>
      <c r="E2000" s="141">
        <v>65253912</v>
      </c>
      <c r="F2000" s="134"/>
      <c r="G2000" s="145" t="s">
        <v>2</v>
      </c>
      <c r="H2000" s="146">
        <v>46085</v>
      </c>
      <c r="I2000" s="148" t="s">
        <v>4073</v>
      </c>
      <c r="J2000" s="134"/>
      <c r="K2000" s="134"/>
      <c r="L2000" s="134"/>
    </row>
    <row r="2001" spans="1:12">
      <c r="A2001" s="124" t="s">
        <v>1186</v>
      </c>
      <c r="B2001" s="134" t="s">
        <v>4788</v>
      </c>
      <c r="C2001" s="136" t="s">
        <v>1666</v>
      </c>
      <c r="D2001" s="139"/>
      <c r="E2001" s="141">
        <v>63737055</v>
      </c>
      <c r="F2001" s="134"/>
      <c r="G2001" s="145" t="s">
        <v>2</v>
      </c>
      <c r="H2001" s="146">
        <v>46085</v>
      </c>
      <c r="I2001" s="148" t="s">
        <v>4077</v>
      </c>
      <c r="J2001" s="134"/>
      <c r="K2001" s="134"/>
      <c r="L2001" s="134"/>
    </row>
    <row r="2002" spans="1:12">
      <c r="A2002" s="124" t="s">
        <v>1186</v>
      </c>
      <c r="B2002" s="134" t="s">
        <v>4788</v>
      </c>
      <c r="C2002" s="136" t="s">
        <v>1667</v>
      </c>
      <c r="D2002" s="139"/>
      <c r="E2002" s="141">
        <v>64919671</v>
      </c>
      <c r="F2002" s="134"/>
      <c r="G2002" s="145" t="s">
        <v>2</v>
      </c>
      <c r="H2002" s="146">
        <v>46085</v>
      </c>
      <c r="I2002" s="148" t="s">
        <v>4084</v>
      </c>
      <c r="J2002" s="134"/>
      <c r="K2002" s="134"/>
      <c r="L2002" s="134"/>
    </row>
    <row r="2003" spans="1:12">
      <c r="A2003" s="124" t="s">
        <v>1186</v>
      </c>
      <c r="B2003" s="134" t="s">
        <v>4788</v>
      </c>
      <c r="C2003" s="136" t="s">
        <v>1668</v>
      </c>
      <c r="D2003" s="139"/>
      <c r="E2003" s="141">
        <v>64212106</v>
      </c>
      <c r="F2003" s="134"/>
      <c r="G2003" s="145" t="s">
        <v>6</v>
      </c>
      <c r="H2003" s="146">
        <v>46085</v>
      </c>
      <c r="I2003" s="148" t="s">
        <v>4591</v>
      </c>
      <c r="J2003" s="134"/>
      <c r="K2003" s="134"/>
      <c r="L2003" s="134"/>
    </row>
    <row r="2004" spans="1:12">
      <c r="A2004" s="124" t="s">
        <v>1186</v>
      </c>
      <c r="B2004" s="134" t="s">
        <v>4788</v>
      </c>
      <c r="C2004" s="136" t="s">
        <v>1669</v>
      </c>
      <c r="D2004" s="139"/>
      <c r="E2004" s="141">
        <v>65013335</v>
      </c>
      <c r="F2004" s="134" t="s">
        <v>4791</v>
      </c>
      <c r="G2004" s="145" t="s">
        <v>9</v>
      </c>
      <c r="H2004" s="146">
        <v>46085</v>
      </c>
      <c r="I2004" s="148" t="s">
        <v>4089</v>
      </c>
      <c r="J2004" s="134"/>
      <c r="K2004" s="134"/>
      <c r="L2004" s="134"/>
    </row>
    <row r="2005" spans="1:12">
      <c r="A2005" s="124" t="s">
        <v>1186</v>
      </c>
      <c r="B2005" s="134" t="s">
        <v>4788</v>
      </c>
      <c r="C2005" s="136" t="s">
        <v>1670</v>
      </c>
      <c r="D2005" s="139"/>
      <c r="E2005" s="141">
        <v>62646898</v>
      </c>
      <c r="F2005" s="134"/>
      <c r="G2005" s="145" t="s">
        <v>2</v>
      </c>
      <c r="H2005" s="146">
        <v>46085</v>
      </c>
      <c r="I2005" s="148" t="s">
        <v>4089</v>
      </c>
      <c r="J2005" s="134"/>
      <c r="K2005" s="134"/>
      <c r="L2005" s="134"/>
    </row>
    <row r="2006" spans="1:12">
      <c r="A2006" s="124" t="s">
        <v>1186</v>
      </c>
      <c r="B2006" s="134" t="s">
        <v>4788</v>
      </c>
      <c r="C2006" s="136" t="s">
        <v>1671</v>
      </c>
      <c r="D2006" s="139"/>
      <c r="E2006" s="141">
        <v>69020479</v>
      </c>
      <c r="F2006" s="134"/>
      <c r="G2006" s="145" t="s">
        <v>1</v>
      </c>
      <c r="H2006" s="146">
        <v>46085</v>
      </c>
      <c r="I2006" s="148" t="s">
        <v>4092</v>
      </c>
      <c r="J2006" s="134"/>
      <c r="K2006" s="134"/>
      <c r="L2006" s="134"/>
    </row>
    <row r="2007" spans="1:12">
      <c r="A2007" s="124" t="s">
        <v>1186</v>
      </c>
      <c r="B2007" s="134" t="s">
        <v>4788</v>
      </c>
      <c r="C2007" s="136" t="s">
        <v>1672</v>
      </c>
      <c r="D2007" s="139"/>
      <c r="E2007" s="141">
        <v>67584858</v>
      </c>
      <c r="F2007" s="134"/>
      <c r="G2007" s="145" t="s">
        <v>2</v>
      </c>
      <c r="H2007" s="146">
        <v>46085</v>
      </c>
      <c r="I2007" s="148" t="s">
        <v>4092</v>
      </c>
      <c r="J2007" s="134"/>
      <c r="K2007" s="134"/>
      <c r="L2007" s="134"/>
    </row>
    <row r="2008" spans="1:12">
      <c r="A2008" s="124" t="s">
        <v>1186</v>
      </c>
      <c r="B2008" s="134" t="s">
        <v>4788</v>
      </c>
      <c r="C2008" s="136" t="s">
        <v>1673</v>
      </c>
      <c r="D2008" s="139"/>
      <c r="E2008" s="141">
        <v>66326962</v>
      </c>
      <c r="F2008" s="134"/>
      <c r="G2008" s="145" t="s">
        <v>2</v>
      </c>
      <c r="H2008" s="146">
        <v>46085</v>
      </c>
      <c r="I2008" s="148" t="s">
        <v>4098</v>
      </c>
      <c r="J2008" s="134"/>
      <c r="K2008" s="134"/>
      <c r="L2008" s="134"/>
    </row>
    <row r="2009" spans="1:12">
      <c r="A2009" s="124" t="s">
        <v>1186</v>
      </c>
      <c r="B2009" s="134" t="s">
        <v>4788</v>
      </c>
      <c r="C2009" s="136" t="s">
        <v>1674</v>
      </c>
      <c r="D2009" s="139"/>
      <c r="E2009" s="141">
        <v>63565876</v>
      </c>
      <c r="F2009" s="134"/>
      <c r="G2009" s="145" t="s">
        <v>6</v>
      </c>
      <c r="H2009" s="146">
        <v>46085</v>
      </c>
      <c r="I2009" s="148" t="s">
        <v>4808</v>
      </c>
      <c r="J2009" s="134"/>
      <c r="K2009" s="134"/>
      <c r="L2009" s="134"/>
    </row>
    <row r="2010" spans="1:12">
      <c r="A2010" s="124" t="s">
        <v>1186</v>
      </c>
      <c r="B2010" s="134" t="s">
        <v>4788</v>
      </c>
      <c r="C2010" s="136" t="s">
        <v>1675</v>
      </c>
      <c r="D2010" s="139"/>
      <c r="E2010" s="141">
        <v>65906628</v>
      </c>
      <c r="F2010" s="134"/>
      <c r="G2010" s="145" t="s">
        <v>2</v>
      </c>
      <c r="H2010" s="146">
        <v>46085</v>
      </c>
      <c r="I2010" s="148" t="s">
        <v>4808</v>
      </c>
      <c r="J2010" s="134"/>
      <c r="K2010" s="134"/>
      <c r="L2010" s="134"/>
    </row>
    <row r="2011" spans="1:12">
      <c r="A2011" s="124" t="s">
        <v>1186</v>
      </c>
      <c r="B2011" s="134" t="s">
        <v>4788</v>
      </c>
      <c r="C2011" s="136" t="s">
        <v>1676</v>
      </c>
      <c r="D2011" s="139"/>
      <c r="E2011" s="141">
        <v>66322745</v>
      </c>
      <c r="F2011" s="134"/>
      <c r="G2011" s="145" t="s">
        <v>8</v>
      </c>
      <c r="H2011" s="146">
        <v>46085</v>
      </c>
      <c r="I2011" s="148" t="s">
        <v>4104</v>
      </c>
      <c r="J2011" s="134"/>
      <c r="K2011" s="134"/>
      <c r="L2011" s="134"/>
    </row>
    <row r="2012" spans="1:12">
      <c r="A2012" s="124" t="s">
        <v>1186</v>
      </c>
      <c r="B2012" s="134" t="s">
        <v>4788</v>
      </c>
      <c r="C2012" s="136" t="s">
        <v>1677</v>
      </c>
      <c r="D2012" s="139"/>
      <c r="E2012" s="141">
        <v>66266697</v>
      </c>
      <c r="F2012" s="134"/>
      <c r="G2012" s="145" t="s">
        <v>6</v>
      </c>
      <c r="H2012" s="146">
        <v>46085</v>
      </c>
      <c r="I2012" s="148" t="s">
        <v>4809</v>
      </c>
      <c r="J2012" s="134"/>
      <c r="K2012" s="134"/>
      <c r="L2012" s="134"/>
    </row>
    <row r="2013" spans="1:12">
      <c r="A2013" s="124" t="s">
        <v>1186</v>
      </c>
      <c r="B2013" s="134" t="s">
        <v>4788</v>
      </c>
      <c r="C2013" s="136" t="s">
        <v>1678</v>
      </c>
      <c r="D2013" s="139"/>
      <c r="E2013" s="141">
        <v>64747906</v>
      </c>
      <c r="F2013" s="134"/>
      <c r="G2013" s="145" t="s">
        <v>2</v>
      </c>
      <c r="H2013" s="146">
        <v>46085</v>
      </c>
      <c r="I2013" s="148" t="s">
        <v>3816</v>
      </c>
      <c r="J2013" s="134"/>
      <c r="K2013" s="134"/>
      <c r="L2013" s="134"/>
    </row>
    <row r="2014" spans="1:12">
      <c r="A2014" s="124" t="s">
        <v>1186</v>
      </c>
      <c r="B2014" s="134" t="s">
        <v>4788</v>
      </c>
      <c r="C2014" s="136" t="s">
        <v>1679</v>
      </c>
      <c r="D2014" s="139"/>
      <c r="E2014" s="141">
        <v>68985276</v>
      </c>
      <c r="F2014" s="134"/>
      <c r="G2014" s="145" t="s">
        <v>2</v>
      </c>
      <c r="H2014" s="146">
        <v>46085</v>
      </c>
      <c r="I2014" s="148" t="s">
        <v>3816</v>
      </c>
      <c r="J2014" s="134"/>
      <c r="K2014" s="134"/>
      <c r="L2014" s="134"/>
    </row>
    <row r="2015" spans="1:12">
      <c r="A2015" s="124" t="s">
        <v>1186</v>
      </c>
      <c r="B2015" s="134" t="s">
        <v>4788</v>
      </c>
      <c r="C2015" s="136" t="s">
        <v>1680</v>
      </c>
      <c r="D2015" s="139"/>
      <c r="E2015" s="141">
        <v>61002152</v>
      </c>
      <c r="F2015" s="134"/>
      <c r="G2015" s="145" t="s">
        <v>8</v>
      </c>
      <c r="H2015" s="146">
        <v>46085</v>
      </c>
      <c r="I2015" s="148" t="s">
        <v>4592</v>
      </c>
      <c r="J2015" s="134"/>
      <c r="K2015" s="134"/>
      <c r="L2015" s="134"/>
    </row>
    <row r="2016" spans="1:12">
      <c r="A2016" s="124" t="s">
        <v>1186</v>
      </c>
      <c r="B2016" s="134" t="s">
        <v>4788</v>
      </c>
      <c r="C2016" s="136" t="s">
        <v>1681</v>
      </c>
      <c r="D2016" s="139"/>
      <c r="E2016" s="141">
        <v>69027986</v>
      </c>
      <c r="F2016" s="134"/>
      <c r="G2016" s="145" t="s">
        <v>1</v>
      </c>
      <c r="H2016" s="146">
        <v>46085</v>
      </c>
      <c r="I2016" s="148" t="s">
        <v>4593</v>
      </c>
      <c r="J2016" s="134"/>
      <c r="K2016" s="134"/>
      <c r="L2016" s="134"/>
    </row>
    <row r="2017" spans="1:12">
      <c r="A2017" s="124" t="s">
        <v>1186</v>
      </c>
      <c r="B2017" s="134" t="s">
        <v>4788</v>
      </c>
      <c r="C2017" s="136" t="s">
        <v>1682</v>
      </c>
      <c r="D2017" s="139"/>
      <c r="E2017" s="141">
        <v>64516264</v>
      </c>
      <c r="F2017" s="134"/>
      <c r="G2017" s="145" t="s">
        <v>1</v>
      </c>
      <c r="H2017" s="146">
        <v>46085</v>
      </c>
      <c r="I2017" s="148" t="s">
        <v>4810</v>
      </c>
      <c r="J2017" s="134"/>
      <c r="K2017" s="134"/>
      <c r="L2017" s="134"/>
    </row>
    <row r="2018" spans="1:12">
      <c r="A2018" s="124" t="s">
        <v>1186</v>
      </c>
      <c r="B2018" s="134" t="s">
        <v>4788</v>
      </c>
      <c r="C2018" s="136" t="s">
        <v>1683</v>
      </c>
      <c r="D2018" s="139"/>
      <c r="E2018" s="141">
        <v>66012059</v>
      </c>
      <c r="F2018" s="134"/>
      <c r="G2018" s="145" t="s">
        <v>6</v>
      </c>
      <c r="H2018" s="146">
        <v>46085</v>
      </c>
      <c r="I2018" s="148" t="s">
        <v>4811</v>
      </c>
      <c r="J2018" s="134"/>
      <c r="K2018" s="134"/>
      <c r="L2018" s="134"/>
    </row>
    <row r="2019" spans="1:12">
      <c r="A2019" s="124" t="s">
        <v>1186</v>
      </c>
      <c r="B2019" s="134" t="s">
        <v>4788</v>
      </c>
      <c r="C2019" s="136" t="s">
        <v>1684</v>
      </c>
      <c r="D2019" s="139"/>
      <c r="E2019" s="141">
        <v>68241224</v>
      </c>
      <c r="F2019" s="134"/>
      <c r="G2019" s="145" t="s">
        <v>1</v>
      </c>
      <c r="H2019" s="146">
        <v>46085</v>
      </c>
      <c r="I2019" s="148">
        <v>0.45069444444444445</v>
      </c>
      <c r="J2019" s="134"/>
      <c r="K2019" s="134"/>
      <c r="L2019" s="134"/>
    </row>
    <row r="2020" spans="1:12">
      <c r="A2020" s="124" t="s">
        <v>1186</v>
      </c>
      <c r="B2020" s="134" t="s">
        <v>4788</v>
      </c>
      <c r="C2020" s="136" t="s">
        <v>1685</v>
      </c>
      <c r="D2020" s="139"/>
      <c r="E2020" s="141">
        <v>68268644</v>
      </c>
      <c r="F2020" s="134"/>
      <c r="G2020" s="145" t="s">
        <v>2</v>
      </c>
      <c r="H2020" s="146">
        <v>46085</v>
      </c>
      <c r="I2020" s="148" t="s">
        <v>4596</v>
      </c>
      <c r="J2020" s="134"/>
      <c r="K2020" s="134"/>
      <c r="L2020" s="134"/>
    </row>
    <row r="2021" spans="1:12">
      <c r="A2021" s="124" t="s">
        <v>1186</v>
      </c>
      <c r="B2021" s="134" t="s">
        <v>4788</v>
      </c>
      <c r="C2021" s="136" t="s">
        <v>1686</v>
      </c>
      <c r="D2021" s="139"/>
      <c r="E2021" s="141">
        <v>60587260</v>
      </c>
      <c r="F2021" s="134"/>
      <c r="G2021" s="145" t="s">
        <v>2</v>
      </c>
      <c r="H2021" s="146">
        <v>46085</v>
      </c>
      <c r="I2021" s="148" t="s">
        <v>4812</v>
      </c>
      <c r="J2021" s="134"/>
      <c r="K2021" s="134"/>
      <c r="L2021" s="134"/>
    </row>
    <row r="2022" spans="1:12">
      <c r="A2022" s="124" t="s">
        <v>1186</v>
      </c>
      <c r="B2022" s="134" t="s">
        <v>4788</v>
      </c>
      <c r="C2022" s="136" t="s">
        <v>1687</v>
      </c>
      <c r="D2022" s="139"/>
      <c r="E2022" s="141">
        <v>67421603</v>
      </c>
      <c r="F2022" s="134"/>
      <c r="G2022" s="145" t="s">
        <v>2</v>
      </c>
      <c r="H2022" s="146">
        <v>46085</v>
      </c>
      <c r="I2022" s="148" t="s">
        <v>4812</v>
      </c>
      <c r="J2022" s="134"/>
      <c r="K2022" s="134"/>
      <c r="L2022" s="134"/>
    </row>
    <row r="2023" spans="1:12">
      <c r="A2023" s="124" t="s">
        <v>1186</v>
      </c>
      <c r="B2023" s="134" t="s">
        <v>4788</v>
      </c>
      <c r="C2023" s="136" t="s">
        <v>1688</v>
      </c>
      <c r="D2023" s="139"/>
      <c r="E2023" s="141">
        <v>61665204</v>
      </c>
      <c r="F2023" s="143" t="s">
        <v>4813</v>
      </c>
      <c r="G2023" s="145" t="s">
        <v>7</v>
      </c>
      <c r="H2023" s="146">
        <v>46085</v>
      </c>
      <c r="I2023" s="148" t="s">
        <v>3825</v>
      </c>
      <c r="J2023" s="134"/>
      <c r="K2023" s="134"/>
      <c r="L2023" s="134"/>
    </row>
    <row r="2024" spans="1:12">
      <c r="A2024" s="124" t="s">
        <v>1186</v>
      </c>
      <c r="B2024" s="134" t="s">
        <v>4788</v>
      </c>
      <c r="C2024" s="136" t="s">
        <v>1689</v>
      </c>
      <c r="D2024" s="139"/>
      <c r="E2024" s="141">
        <v>65103221</v>
      </c>
      <c r="F2024" s="134" t="s">
        <v>4814</v>
      </c>
      <c r="G2024" s="145" t="s">
        <v>9</v>
      </c>
      <c r="H2024" s="146">
        <v>46085</v>
      </c>
      <c r="I2024" s="148" t="s">
        <v>4815</v>
      </c>
      <c r="J2024" s="134"/>
      <c r="K2024" s="134"/>
      <c r="L2024" s="134"/>
    </row>
    <row r="2025" spans="1:12">
      <c r="A2025" s="124" t="s">
        <v>1186</v>
      </c>
      <c r="B2025" s="134" t="s">
        <v>4788</v>
      </c>
      <c r="C2025" s="136" t="s">
        <v>1690</v>
      </c>
      <c r="D2025" s="139"/>
      <c r="E2025" s="141">
        <v>63689157</v>
      </c>
      <c r="F2025" s="134"/>
      <c r="G2025" s="145" t="s">
        <v>2</v>
      </c>
      <c r="H2025" s="146">
        <v>46085</v>
      </c>
      <c r="I2025" s="148" t="s">
        <v>4816</v>
      </c>
      <c r="J2025" s="134"/>
      <c r="K2025" s="134"/>
      <c r="L2025" s="134"/>
    </row>
    <row r="2026" spans="1:12">
      <c r="A2026" s="124" t="s">
        <v>1186</v>
      </c>
      <c r="B2026" s="134" t="s">
        <v>4788</v>
      </c>
      <c r="C2026" s="136" t="s">
        <v>1691</v>
      </c>
      <c r="D2026" s="139"/>
      <c r="E2026" s="141">
        <v>61178234</v>
      </c>
      <c r="F2026" s="134"/>
      <c r="G2026" s="145" t="s">
        <v>2</v>
      </c>
      <c r="H2026" s="146">
        <v>46085</v>
      </c>
      <c r="I2026" s="148" t="s">
        <v>3830</v>
      </c>
      <c r="J2026" s="134"/>
      <c r="K2026" s="134"/>
      <c r="L2026" s="134"/>
    </row>
    <row r="2027" spans="1:12">
      <c r="A2027" s="124" t="s">
        <v>1186</v>
      </c>
      <c r="B2027" s="134" t="s">
        <v>4788</v>
      </c>
      <c r="C2027" s="136" t="s">
        <v>1692</v>
      </c>
      <c r="D2027" s="139"/>
      <c r="E2027" s="141">
        <v>61622561</v>
      </c>
      <c r="F2027" s="134"/>
      <c r="G2027" s="145" t="s">
        <v>2</v>
      </c>
      <c r="H2027" s="146">
        <v>46085</v>
      </c>
      <c r="I2027" s="148" t="s">
        <v>3830</v>
      </c>
      <c r="J2027" s="134"/>
      <c r="K2027" s="134"/>
      <c r="L2027" s="134"/>
    </row>
    <row r="2028" spans="1:12">
      <c r="A2028" s="124" t="s">
        <v>1186</v>
      </c>
      <c r="B2028" s="134" t="s">
        <v>4788</v>
      </c>
      <c r="C2028" s="136" t="s">
        <v>1693</v>
      </c>
      <c r="D2028" s="139"/>
      <c r="E2028" s="141">
        <v>63347336</v>
      </c>
      <c r="F2028" s="134"/>
      <c r="G2028" s="145" t="s">
        <v>3</v>
      </c>
      <c r="H2028" s="146">
        <v>46085</v>
      </c>
      <c r="I2028" s="148" t="s">
        <v>4817</v>
      </c>
      <c r="J2028" s="134"/>
      <c r="K2028" s="134"/>
      <c r="L2028" s="134"/>
    </row>
    <row r="2029" spans="1:12">
      <c r="A2029" s="124" t="s">
        <v>1186</v>
      </c>
      <c r="B2029" s="134" t="s">
        <v>4788</v>
      </c>
      <c r="C2029" s="136" t="s">
        <v>1694</v>
      </c>
      <c r="D2029" s="139"/>
      <c r="E2029" s="141">
        <v>68526151</v>
      </c>
      <c r="F2029" s="134"/>
      <c r="G2029" s="145" t="s">
        <v>3</v>
      </c>
      <c r="H2029" s="146">
        <v>46085</v>
      </c>
      <c r="I2029" s="148" t="s">
        <v>3834</v>
      </c>
      <c r="J2029" s="134"/>
      <c r="K2029" s="134"/>
      <c r="L2029" s="134"/>
    </row>
    <row r="2030" spans="1:12">
      <c r="A2030" s="124" t="s">
        <v>1186</v>
      </c>
      <c r="B2030" s="134" t="s">
        <v>4788</v>
      </c>
      <c r="C2030" s="136" t="s">
        <v>1695</v>
      </c>
      <c r="D2030" s="139"/>
      <c r="E2030" s="141">
        <v>61903284</v>
      </c>
      <c r="F2030" s="134"/>
      <c r="G2030" s="145" t="s">
        <v>3</v>
      </c>
      <c r="H2030" s="146">
        <v>46085</v>
      </c>
      <c r="I2030" s="148" t="s">
        <v>4818</v>
      </c>
      <c r="J2030" s="134"/>
      <c r="K2030" s="134"/>
      <c r="L2030" s="134"/>
    </row>
    <row r="2031" spans="1:12">
      <c r="A2031" s="124" t="s">
        <v>1186</v>
      </c>
      <c r="B2031" s="134" t="s">
        <v>4788</v>
      </c>
      <c r="C2031" s="136" t="s">
        <v>1696</v>
      </c>
      <c r="D2031" s="139"/>
      <c r="E2031" s="141">
        <v>66947712</v>
      </c>
      <c r="F2031" s="143" t="s">
        <v>4819</v>
      </c>
      <c r="G2031" s="145" t="s">
        <v>7</v>
      </c>
      <c r="H2031" s="146">
        <v>46085</v>
      </c>
      <c r="I2031" s="148" t="s">
        <v>4820</v>
      </c>
      <c r="J2031" s="134"/>
      <c r="K2031" s="134"/>
      <c r="L2031" s="134"/>
    </row>
    <row r="2032" spans="1:12">
      <c r="A2032" s="124" t="s">
        <v>1186</v>
      </c>
      <c r="B2032" s="134" t="s">
        <v>4788</v>
      </c>
      <c r="C2032" s="136" t="s">
        <v>1697</v>
      </c>
      <c r="D2032" s="139"/>
      <c r="E2032" s="141">
        <v>66247486</v>
      </c>
      <c r="F2032" s="134"/>
      <c r="G2032" s="145" t="s">
        <v>3</v>
      </c>
      <c r="H2032" s="146">
        <v>46085</v>
      </c>
      <c r="I2032" s="148" t="s">
        <v>4821</v>
      </c>
      <c r="J2032" s="134"/>
      <c r="K2032" s="134"/>
      <c r="L2032" s="134"/>
    </row>
    <row r="2033" spans="1:12">
      <c r="A2033" s="124" t="s">
        <v>1186</v>
      </c>
      <c r="B2033" s="134" t="s">
        <v>4788</v>
      </c>
      <c r="C2033" s="136" t="s">
        <v>1698</v>
      </c>
      <c r="D2033" s="139"/>
      <c r="E2033" s="141">
        <v>68439098</v>
      </c>
      <c r="F2033" s="134"/>
      <c r="G2033" s="145" t="s">
        <v>6</v>
      </c>
      <c r="H2033" s="146">
        <v>46085</v>
      </c>
      <c r="I2033" s="148" t="s">
        <v>3847</v>
      </c>
      <c r="J2033" s="134"/>
      <c r="K2033" s="134"/>
      <c r="L2033" s="134"/>
    </row>
    <row r="2034" spans="1:12">
      <c r="A2034" s="124" t="s">
        <v>1186</v>
      </c>
      <c r="B2034" s="134" t="s">
        <v>4788</v>
      </c>
      <c r="C2034" s="136" t="s">
        <v>1699</v>
      </c>
      <c r="D2034" s="139"/>
      <c r="E2034" s="141">
        <v>67438499</v>
      </c>
      <c r="F2034" s="134"/>
      <c r="G2034" s="145" t="s">
        <v>1</v>
      </c>
      <c r="H2034" s="146">
        <v>46085</v>
      </c>
      <c r="I2034" s="148" t="s">
        <v>4822</v>
      </c>
      <c r="J2034" s="134"/>
      <c r="K2034" s="134"/>
      <c r="L2034" s="134"/>
    </row>
    <row r="2035" spans="1:12">
      <c r="A2035" s="124" t="s">
        <v>1186</v>
      </c>
      <c r="B2035" s="134" t="s">
        <v>4788</v>
      </c>
      <c r="C2035" s="136" t="s">
        <v>1700</v>
      </c>
      <c r="D2035" s="139"/>
      <c r="E2035" s="141">
        <v>60149805</v>
      </c>
      <c r="F2035" s="134"/>
      <c r="G2035" s="145" t="s">
        <v>1</v>
      </c>
      <c r="H2035" s="146">
        <v>46085</v>
      </c>
      <c r="I2035" s="148" t="s">
        <v>3851</v>
      </c>
      <c r="J2035" s="134"/>
      <c r="K2035" s="134"/>
      <c r="L2035" s="134"/>
    </row>
    <row r="2036" spans="1:12">
      <c r="A2036" s="124" t="s">
        <v>1186</v>
      </c>
      <c r="B2036" s="134" t="s">
        <v>4788</v>
      </c>
      <c r="C2036" s="136" t="s">
        <v>1701</v>
      </c>
      <c r="D2036" s="139"/>
      <c r="E2036" s="141">
        <v>67962489</v>
      </c>
      <c r="F2036" s="134"/>
      <c r="G2036" s="145" t="s">
        <v>2</v>
      </c>
      <c r="H2036" s="146">
        <v>46085</v>
      </c>
      <c r="I2036" s="148" t="s">
        <v>3742</v>
      </c>
      <c r="J2036" s="134"/>
      <c r="K2036" s="134"/>
      <c r="L2036" s="134"/>
    </row>
    <row r="2037" spans="1:12">
      <c r="A2037" s="124" t="s">
        <v>1186</v>
      </c>
      <c r="B2037" s="134" t="s">
        <v>4788</v>
      </c>
      <c r="C2037" s="136" t="s">
        <v>1702</v>
      </c>
      <c r="D2037" s="139"/>
      <c r="E2037" s="141">
        <v>66706030</v>
      </c>
      <c r="F2037" s="134"/>
      <c r="G2037" s="145" t="s">
        <v>6</v>
      </c>
      <c r="H2037" s="146">
        <v>46085</v>
      </c>
      <c r="I2037" s="148" t="s">
        <v>4105</v>
      </c>
      <c r="J2037" s="134"/>
      <c r="K2037" s="134"/>
      <c r="L2037" s="134"/>
    </row>
    <row r="2038" spans="1:12">
      <c r="A2038" s="124" t="s">
        <v>1186</v>
      </c>
      <c r="B2038" s="134" t="s">
        <v>4788</v>
      </c>
      <c r="C2038" s="136" t="s">
        <v>1703</v>
      </c>
      <c r="D2038" s="139"/>
      <c r="E2038" s="141">
        <v>68697326</v>
      </c>
      <c r="F2038" s="134"/>
      <c r="G2038" s="145" t="s">
        <v>2</v>
      </c>
      <c r="H2038" s="146">
        <v>46085</v>
      </c>
      <c r="I2038" s="148" t="s">
        <v>3744</v>
      </c>
      <c r="J2038" s="134"/>
      <c r="K2038" s="134"/>
      <c r="L2038" s="134"/>
    </row>
    <row r="2039" spans="1:12">
      <c r="A2039" s="124" t="s">
        <v>1186</v>
      </c>
      <c r="B2039" s="134" t="s">
        <v>4788</v>
      </c>
      <c r="C2039" s="136" t="s">
        <v>1704</v>
      </c>
      <c r="D2039" s="139"/>
      <c r="E2039" s="141">
        <v>67290343</v>
      </c>
      <c r="F2039" s="134"/>
      <c r="G2039" s="145" t="s">
        <v>2</v>
      </c>
      <c r="H2039" s="146">
        <v>46085</v>
      </c>
      <c r="I2039" s="148" t="s">
        <v>3744</v>
      </c>
      <c r="J2039" s="134"/>
      <c r="K2039" s="134"/>
      <c r="L2039" s="134"/>
    </row>
    <row r="2040" spans="1:12">
      <c r="A2040" s="124" t="s">
        <v>1186</v>
      </c>
      <c r="B2040" s="134" t="s">
        <v>4788</v>
      </c>
      <c r="C2040" s="136" t="s">
        <v>1705</v>
      </c>
      <c r="D2040" s="139"/>
      <c r="E2040" s="141">
        <v>63712920</v>
      </c>
      <c r="F2040" s="134"/>
      <c r="G2040" s="145" t="s">
        <v>8</v>
      </c>
      <c r="H2040" s="146">
        <v>46085</v>
      </c>
      <c r="I2040" s="148" t="s">
        <v>4612</v>
      </c>
      <c r="J2040" s="134"/>
      <c r="K2040" s="134"/>
      <c r="L2040" s="134"/>
    </row>
    <row r="2041" spans="1:12">
      <c r="A2041" s="124" t="s">
        <v>1186</v>
      </c>
      <c r="B2041" s="134" t="s">
        <v>4788</v>
      </c>
      <c r="C2041" s="136" t="s">
        <v>1706</v>
      </c>
      <c r="D2041" s="139"/>
      <c r="E2041" s="141">
        <v>67775154</v>
      </c>
      <c r="F2041" s="134"/>
      <c r="G2041" s="145" t="s">
        <v>5</v>
      </c>
      <c r="H2041" s="146">
        <v>46085</v>
      </c>
      <c r="I2041" s="148" t="s">
        <v>4613</v>
      </c>
      <c r="J2041" s="134"/>
      <c r="K2041" s="134"/>
      <c r="L2041" s="134"/>
    </row>
    <row r="2042" spans="1:12">
      <c r="A2042" s="124" t="s">
        <v>1186</v>
      </c>
      <c r="B2042" s="134" t="s">
        <v>4788</v>
      </c>
      <c r="C2042" s="136" t="s">
        <v>1707</v>
      </c>
      <c r="D2042" s="139"/>
      <c r="E2042" s="141">
        <v>66878670</v>
      </c>
      <c r="F2042" s="134"/>
      <c r="G2042" s="145" t="s">
        <v>5</v>
      </c>
      <c r="H2042" s="146">
        <v>46085</v>
      </c>
      <c r="I2042" s="148" t="s">
        <v>4616</v>
      </c>
      <c r="J2042" s="134"/>
      <c r="K2042" s="134"/>
      <c r="L2042" s="134"/>
    </row>
    <row r="2043" spans="1:12">
      <c r="A2043" s="124" t="s">
        <v>1186</v>
      </c>
      <c r="B2043" s="134" t="s">
        <v>4788</v>
      </c>
      <c r="C2043" s="136" t="s">
        <v>1708</v>
      </c>
      <c r="D2043" s="139"/>
      <c r="E2043" s="141">
        <v>7201152</v>
      </c>
      <c r="F2043" s="134"/>
      <c r="G2043" s="145" t="s">
        <v>2</v>
      </c>
      <c r="H2043" s="146">
        <v>46085</v>
      </c>
      <c r="I2043" s="148" t="s">
        <v>4616</v>
      </c>
      <c r="J2043" s="134"/>
      <c r="K2043" s="134"/>
      <c r="L2043" s="134"/>
    </row>
    <row r="2044" spans="1:12">
      <c r="A2044" s="124" t="s">
        <v>1186</v>
      </c>
      <c r="B2044" s="134" t="s">
        <v>4788</v>
      </c>
      <c r="C2044" s="136" t="s">
        <v>1709</v>
      </c>
      <c r="D2044" s="139"/>
      <c r="E2044" s="141">
        <v>66961664</v>
      </c>
      <c r="F2044" s="134"/>
      <c r="G2044" s="145" t="s">
        <v>6</v>
      </c>
      <c r="H2044" s="146">
        <v>46085</v>
      </c>
      <c r="I2044" s="148" t="s">
        <v>4617</v>
      </c>
      <c r="J2044" s="134"/>
      <c r="K2044" s="134"/>
      <c r="L2044" s="134"/>
    </row>
    <row r="2045" spans="1:12">
      <c r="A2045" s="124" t="s">
        <v>1186</v>
      </c>
      <c r="B2045" s="134" t="s">
        <v>4788</v>
      </c>
      <c r="C2045" s="136" t="s">
        <v>1710</v>
      </c>
      <c r="D2045" s="139"/>
      <c r="E2045" s="141">
        <v>62014656</v>
      </c>
      <c r="F2045" s="134"/>
      <c r="G2045" s="145" t="s">
        <v>6</v>
      </c>
      <c r="H2045" s="146">
        <v>46085</v>
      </c>
      <c r="I2045" s="148" t="s">
        <v>4823</v>
      </c>
      <c r="J2045" s="134"/>
      <c r="K2045" s="134"/>
      <c r="L2045" s="134"/>
    </row>
    <row r="2046" spans="1:12">
      <c r="A2046" s="124" t="s">
        <v>1186</v>
      </c>
      <c r="B2046" s="134" t="s">
        <v>4788</v>
      </c>
      <c r="C2046" s="136" t="s">
        <v>1711</v>
      </c>
      <c r="D2046" s="139"/>
      <c r="E2046" s="141">
        <v>67811327</v>
      </c>
      <c r="F2046" s="134"/>
      <c r="G2046" s="145" t="s">
        <v>6</v>
      </c>
      <c r="H2046" s="146">
        <v>46085</v>
      </c>
      <c r="I2046" s="148" t="s">
        <v>3801</v>
      </c>
      <c r="J2046" s="134"/>
      <c r="K2046" s="134"/>
      <c r="L2046" s="134"/>
    </row>
    <row r="2047" spans="1:12">
      <c r="A2047" s="124" t="s">
        <v>1186</v>
      </c>
      <c r="B2047" s="134" t="s">
        <v>4788</v>
      </c>
      <c r="C2047" s="136" t="s">
        <v>1712</v>
      </c>
      <c r="D2047" s="139"/>
      <c r="E2047" s="141">
        <v>66143599</v>
      </c>
      <c r="F2047" s="134"/>
      <c r="G2047" s="145" t="s">
        <v>2</v>
      </c>
      <c r="H2047" s="146">
        <v>46085</v>
      </c>
      <c r="I2047" s="148" t="s">
        <v>4621</v>
      </c>
      <c r="J2047" s="134"/>
      <c r="K2047" s="134"/>
      <c r="L2047" s="134"/>
    </row>
    <row r="2048" spans="1:12">
      <c r="A2048" s="124" t="s">
        <v>1186</v>
      </c>
      <c r="B2048" s="134" t="s">
        <v>4788</v>
      </c>
      <c r="C2048" s="136" t="s">
        <v>1713</v>
      </c>
      <c r="D2048" s="139"/>
      <c r="E2048" s="141">
        <v>7751301</v>
      </c>
      <c r="F2048" s="134"/>
      <c r="G2048" s="145" t="s">
        <v>6</v>
      </c>
      <c r="H2048" s="146">
        <v>46085</v>
      </c>
      <c r="I2048" s="148" t="s">
        <v>4609</v>
      </c>
      <c r="J2048" s="134"/>
      <c r="K2048" s="134"/>
      <c r="L2048" s="134"/>
    </row>
    <row r="2049" spans="1:12">
      <c r="A2049" s="124" t="s">
        <v>1186</v>
      </c>
      <c r="B2049" s="134" t="s">
        <v>4788</v>
      </c>
      <c r="C2049" s="136" t="s">
        <v>1714</v>
      </c>
      <c r="D2049" s="139"/>
      <c r="E2049" s="141">
        <v>63762481</v>
      </c>
      <c r="F2049" s="134"/>
      <c r="G2049" s="145" t="s">
        <v>8</v>
      </c>
      <c r="H2049" s="146">
        <v>46085</v>
      </c>
      <c r="I2049" s="148" t="s">
        <v>3807</v>
      </c>
      <c r="J2049" s="134"/>
      <c r="K2049" s="134"/>
      <c r="L2049" s="134"/>
    </row>
    <row r="2050" spans="1:12">
      <c r="A2050" s="124" t="s">
        <v>1186</v>
      </c>
      <c r="B2050" s="134" t="s">
        <v>4788</v>
      </c>
      <c r="C2050" s="136" t="s">
        <v>1715</v>
      </c>
      <c r="D2050" s="139"/>
      <c r="E2050" s="141">
        <v>67007216</v>
      </c>
      <c r="F2050" s="134"/>
      <c r="G2050" s="145" t="s">
        <v>8</v>
      </c>
      <c r="H2050" s="146">
        <v>46085</v>
      </c>
      <c r="I2050" s="148" t="s">
        <v>4622</v>
      </c>
      <c r="J2050" s="134"/>
      <c r="K2050" s="134"/>
      <c r="L2050" s="134"/>
    </row>
    <row r="2051" spans="1:12">
      <c r="A2051" s="124" t="s">
        <v>1186</v>
      </c>
      <c r="B2051" s="134" t="s">
        <v>4788</v>
      </c>
      <c r="C2051" s="136" t="s">
        <v>1716</v>
      </c>
      <c r="D2051" s="139"/>
      <c r="E2051" s="141">
        <v>66171599</v>
      </c>
      <c r="F2051" s="134"/>
      <c r="G2051" s="145" t="s">
        <v>6</v>
      </c>
      <c r="H2051" s="146">
        <v>46085</v>
      </c>
      <c r="I2051" s="148" t="s">
        <v>4622</v>
      </c>
      <c r="J2051" s="134"/>
      <c r="K2051" s="134"/>
      <c r="L2051" s="134"/>
    </row>
    <row r="2052" spans="1:12">
      <c r="A2052" s="124" t="s">
        <v>1186</v>
      </c>
      <c r="B2052" s="134" t="s">
        <v>4788</v>
      </c>
      <c r="C2052" s="136" t="s">
        <v>1717</v>
      </c>
      <c r="D2052" s="139"/>
      <c r="E2052" s="141">
        <v>68233004</v>
      </c>
      <c r="F2052" s="134"/>
      <c r="G2052" s="145" t="s">
        <v>3</v>
      </c>
      <c r="H2052" s="146">
        <v>46085</v>
      </c>
      <c r="I2052" s="148" t="s">
        <v>4824</v>
      </c>
      <c r="J2052" s="134"/>
      <c r="K2052" s="134"/>
      <c r="L2052" s="134"/>
    </row>
    <row r="2053" spans="1:12">
      <c r="A2053" s="124" t="s">
        <v>1186</v>
      </c>
      <c r="B2053" s="134" t="s">
        <v>4788</v>
      </c>
      <c r="C2053" s="136" t="s">
        <v>1718</v>
      </c>
      <c r="D2053" s="139"/>
      <c r="E2053" s="141">
        <v>64154434</v>
      </c>
      <c r="F2053" s="134"/>
      <c r="G2053" s="145" t="s">
        <v>1</v>
      </c>
      <c r="H2053" s="146">
        <v>46085</v>
      </c>
      <c r="I2053" s="148" t="s">
        <v>4825</v>
      </c>
      <c r="J2053" s="134"/>
      <c r="K2053" s="134"/>
      <c r="L2053" s="134"/>
    </row>
    <row r="2054" spans="1:12">
      <c r="A2054" s="124" t="s">
        <v>1186</v>
      </c>
      <c r="B2054" s="134" t="s">
        <v>4788</v>
      </c>
      <c r="C2054" s="136" t="s">
        <v>1719</v>
      </c>
      <c r="D2054" s="139"/>
      <c r="E2054" s="141">
        <v>7706533</v>
      </c>
      <c r="F2054" s="134"/>
      <c r="G2054" s="145" t="s">
        <v>6</v>
      </c>
      <c r="H2054" s="146">
        <v>46085</v>
      </c>
      <c r="I2054" s="148" t="s">
        <v>4826</v>
      </c>
      <c r="J2054" s="134"/>
      <c r="K2054" s="134"/>
      <c r="L2054" s="134"/>
    </row>
    <row r="2055" spans="1:12">
      <c r="A2055" s="124" t="s">
        <v>1186</v>
      </c>
      <c r="B2055" s="134" t="s">
        <v>4788</v>
      </c>
      <c r="C2055" s="136" t="s">
        <v>1720</v>
      </c>
      <c r="D2055" s="139"/>
      <c r="E2055" s="141">
        <v>7305290</v>
      </c>
      <c r="F2055" s="134"/>
      <c r="G2055" s="145" t="s">
        <v>9</v>
      </c>
      <c r="H2055" s="146">
        <v>46085</v>
      </c>
      <c r="I2055" s="148" t="s">
        <v>4826</v>
      </c>
      <c r="J2055" s="134"/>
      <c r="K2055" s="134"/>
      <c r="L2055" s="134"/>
    </row>
    <row r="2056" spans="1:12">
      <c r="A2056" s="124" t="s">
        <v>1186</v>
      </c>
      <c r="B2056" s="134" t="s">
        <v>4788</v>
      </c>
      <c r="C2056" s="136" t="s">
        <v>1721</v>
      </c>
      <c r="D2056" s="139"/>
      <c r="E2056" s="141">
        <v>66782778</v>
      </c>
      <c r="F2056" s="134"/>
      <c r="G2056" s="145" t="s">
        <v>6</v>
      </c>
      <c r="H2056" s="146">
        <v>46085</v>
      </c>
      <c r="I2056" s="148" t="s">
        <v>4827</v>
      </c>
      <c r="J2056" s="134"/>
      <c r="K2056" s="134"/>
      <c r="L2056" s="134"/>
    </row>
    <row r="2057" spans="1:12">
      <c r="A2057" s="124" t="s">
        <v>1186</v>
      </c>
      <c r="B2057" s="134" t="s">
        <v>4788</v>
      </c>
      <c r="C2057" s="136" t="s">
        <v>1722</v>
      </c>
      <c r="D2057" s="139"/>
      <c r="E2057" s="141">
        <v>7304779</v>
      </c>
      <c r="F2057" s="134"/>
      <c r="G2057" s="145" t="s">
        <v>9</v>
      </c>
      <c r="H2057" s="146">
        <v>46085</v>
      </c>
      <c r="I2057" s="148" t="s">
        <v>3869</v>
      </c>
      <c r="J2057" s="134"/>
      <c r="K2057" s="134"/>
      <c r="L2057" s="134"/>
    </row>
    <row r="2058" spans="1:12">
      <c r="A2058" s="124" t="s">
        <v>1186</v>
      </c>
      <c r="B2058" s="134" t="s">
        <v>4788</v>
      </c>
      <c r="C2058" s="136" t="s">
        <v>1723</v>
      </c>
      <c r="D2058" s="139"/>
      <c r="E2058" s="141">
        <v>66915714</v>
      </c>
      <c r="F2058" s="134"/>
      <c r="G2058" s="145" t="s">
        <v>6</v>
      </c>
      <c r="H2058" s="146">
        <v>46085</v>
      </c>
      <c r="I2058" s="148" t="s">
        <v>4614</v>
      </c>
      <c r="J2058" s="134"/>
      <c r="K2058" s="134"/>
      <c r="L2058" s="134"/>
    </row>
    <row r="2059" spans="1:12">
      <c r="A2059" s="124" t="s">
        <v>1186</v>
      </c>
      <c r="B2059" s="134" t="s">
        <v>4788</v>
      </c>
      <c r="C2059" s="136" t="s">
        <v>1724</v>
      </c>
      <c r="D2059" s="139"/>
      <c r="E2059" s="141">
        <v>66373852</v>
      </c>
      <c r="F2059" s="134"/>
      <c r="G2059" s="145" t="s">
        <v>6</v>
      </c>
      <c r="H2059" s="146">
        <v>46085</v>
      </c>
      <c r="I2059" s="148" t="s">
        <v>4614</v>
      </c>
      <c r="J2059" s="134"/>
      <c r="K2059" s="134"/>
      <c r="L2059" s="134"/>
    </row>
    <row r="2060" spans="1:12">
      <c r="A2060" s="95" t="s">
        <v>1186</v>
      </c>
      <c r="B2060" t="s">
        <v>4828</v>
      </c>
      <c r="C2060" s="87" t="s">
        <v>1725</v>
      </c>
      <c r="D2060" s="88"/>
      <c r="E2060" s="89">
        <v>69808639</v>
      </c>
      <c r="F2060"/>
      <c r="G2060" s="17" t="s">
        <v>6</v>
      </c>
      <c r="H2060" s="132">
        <v>46084</v>
      </c>
      <c r="I2060" s="127" t="s">
        <v>4829</v>
      </c>
      <c r="J2060"/>
      <c r="K2060"/>
      <c r="L2060"/>
    </row>
    <row r="2061" spans="1:12">
      <c r="A2061" s="95" t="s">
        <v>1186</v>
      </c>
      <c r="B2061" t="s">
        <v>4828</v>
      </c>
      <c r="C2061" s="87" t="s">
        <v>1726</v>
      </c>
      <c r="D2061" s="88"/>
      <c r="E2061" s="89">
        <v>62006472</v>
      </c>
      <c r="F2061"/>
      <c r="G2061" s="17" t="s">
        <v>9</v>
      </c>
      <c r="H2061" s="132">
        <v>46084</v>
      </c>
      <c r="I2061" s="127" t="s">
        <v>3272</v>
      </c>
      <c r="J2061"/>
      <c r="K2061"/>
      <c r="L2061"/>
    </row>
    <row r="2062" spans="1:12">
      <c r="A2062" s="94" t="s">
        <v>1186</v>
      </c>
      <c r="B2062" t="s">
        <v>4828</v>
      </c>
      <c r="C2062" s="92"/>
      <c r="D2062" s="17" t="s">
        <v>4830</v>
      </c>
      <c r="E2062" s="93" t="s">
        <v>4831</v>
      </c>
      <c r="F2062"/>
      <c r="G2062" s="17" t="s">
        <v>1</v>
      </c>
      <c r="H2062" s="132">
        <v>46084</v>
      </c>
      <c r="I2062" s="127" t="s">
        <v>4832</v>
      </c>
      <c r="J2062"/>
      <c r="K2062"/>
      <c r="L2062"/>
    </row>
    <row r="2063" spans="1:12">
      <c r="A2063" s="94" t="s">
        <v>1186</v>
      </c>
      <c r="B2063" t="s">
        <v>4828</v>
      </c>
      <c r="C2063" s="92"/>
      <c r="D2063" s="17" t="s">
        <v>4833</v>
      </c>
      <c r="E2063" s="93" t="s">
        <v>4834</v>
      </c>
      <c r="F2063"/>
      <c r="G2063" s="17" t="s">
        <v>1</v>
      </c>
      <c r="H2063" s="132">
        <v>46084</v>
      </c>
      <c r="I2063" s="127" t="s">
        <v>3276</v>
      </c>
      <c r="J2063"/>
      <c r="K2063"/>
      <c r="L2063"/>
    </row>
    <row r="2064" spans="1:12">
      <c r="A2064" s="94" t="s">
        <v>1186</v>
      </c>
      <c r="B2064" t="s">
        <v>4828</v>
      </c>
      <c r="C2064" s="92"/>
      <c r="D2064" s="17" t="s">
        <v>4835</v>
      </c>
      <c r="E2064" s="93" t="s">
        <v>4836</v>
      </c>
      <c r="F2064"/>
      <c r="G2064" s="17" t="s">
        <v>9</v>
      </c>
      <c r="H2064" s="132">
        <v>46084</v>
      </c>
      <c r="I2064" s="127" t="s">
        <v>3276</v>
      </c>
      <c r="J2064"/>
      <c r="K2064"/>
      <c r="L2064"/>
    </row>
    <row r="2065" spans="1:12">
      <c r="A2065" s="94" t="s">
        <v>1186</v>
      </c>
      <c r="B2065" t="s">
        <v>4828</v>
      </c>
      <c r="C2065" s="92"/>
      <c r="D2065" s="17" t="s">
        <v>4837</v>
      </c>
      <c r="E2065" s="93" t="s">
        <v>4838</v>
      </c>
      <c r="F2065"/>
      <c r="G2065" s="17" t="s">
        <v>1</v>
      </c>
      <c r="H2065" s="132">
        <v>46084</v>
      </c>
      <c r="I2065" s="127" t="s">
        <v>4839</v>
      </c>
      <c r="J2065"/>
      <c r="K2065"/>
      <c r="L2065"/>
    </row>
    <row r="2066" spans="1:12">
      <c r="A2066" s="94" t="s">
        <v>1186</v>
      </c>
      <c r="B2066" t="s">
        <v>4828</v>
      </c>
      <c r="C2066" s="92"/>
      <c r="D2066" s="17" t="s">
        <v>4840</v>
      </c>
      <c r="E2066" s="93" t="s">
        <v>3077</v>
      </c>
      <c r="F2066"/>
      <c r="G2066" s="17" t="s">
        <v>6</v>
      </c>
      <c r="H2066" s="132">
        <v>46084</v>
      </c>
      <c r="I2066" s="127" t="s">
        <v>3624</v>
      </c>
      <c r="J2066"/>
      <c r="K2066"/>
      <c r="L2066"/>
    </row>
    <row r="2067" spans="1:12">
      <c r="A2067" s="94" t="s">
        <v>1186</v>
      </c>
      <c r="B2067" t="s">
        <v>4828</v>
      </c>
      <c r="C2067" s="92"/>
      <c r="D2067" s="17" t="s">
        <v>4841</v>
      </c>
      <c r="E2067" s="93" t="s">
        <v>4842</v>
      </c>
      <c r="F2067"/>
      <c r="G2067" s="17" t="s">
        <v>1</v>
      </c>
      <c r="H2067" s="132">
        <v>46084</v>
      </c>
      <c r="I2067" s="127" t="s">
        <v>3279</v>
      </c>
      <c r="J2067"/>
      <c r="K2067"/>
      <c r="L2067"/>
    </row>
    <row r="2068" spans="1:12">
      <c r="A2068" s="94" t="s">
        <v>1186</v>
      </c>
      <c r="B2068" t="s">
        <v>4828</v>
      </c>
      <c r="C2068" s="92"/>
      <c r="D2068" s="17" t="s">
        <v>4843</v>
      </c>
      <c r="E2068" s="93" t="s">
        <v>4844</v>
      </c>
      <c r="F2068"/>
      <c r="G2068" s="17" t="s">
        <v>4</v>
      </c>
      <c r="H2068" s="132">
        <v>46084</v>
      </c>
      <c r="I2068" s="127" t="s">
        <v>4845</v>
      </c>
      <c r="J2068"/>
      <c r="K2068"/>
      <c r="L2068"/>
    </row>
    <row r="2069" spans="1:12">
      <c r="A2069" s="94" t="s">
        <v>1186</v>
      </c>
      <c r="B2069" t="s">
        <v>4828</v>
      </c>
      <c r="C2069" s="92"/>
      <c r="D2069" s="17" t="s">
        <v>4846</v>
      </c>
      <c r="E2069" s="93" t="s">
        <v>4847</v>
      </c>
      <c r="F2069"/>
      <c r="G2069" s="17" t="s">
        <v>6</v>
      </c>
      <c r="H2069" s="132">
        <v>46084</v>
      </c>
      <c r="I2069" s="127" t="s">
        <v>4848</v>
      </c>
      <c r="J2069"/>
      <c r="K2069"/>
      <c r="L2069"/>
    </row>
    <row r="2070" spans="1:12">
      <c r="A2070" s="94" t="s">
        <v>1186</v>
      </c>
      <c r="B2070" t="s">
        <v>4828</v>
      </c>
      <c r="C2070" s="92"/>
      <c r="D2070" s="17" t="s">
        <v>4849</v>
      </c>
      <c r="E2070" s="93" t="s">
        <v>4850</v>
      </c>
      <c r="F2070"/>
      <c r="G2070" s="17" t="s">
        <v>1</v>
      </c>
      <c r="H2070" s="132">
        <v>46084</v>
      </c>
      <c r="I2070" s="127" t="s">
        <v>4851</v>
      </c>
      <c r="J2070"/>
      <c r="K2070"/>
      <c r="L2070"/>
    </row>
    <row r="2071" spans="1:12">
      <c r="A2071" s="94" t="s">
        <v>1186</v>
      </c>
      <c r="B2071" t="s">
        <v>4828</v>
      </c>
      <c r="C2071" s="92"/>
      <c r="D2071" s="17" t="s">
        <v>4852</v>
      </c>
      <c r="E2071" s="93" t="s">
        <v>4853</v>
      </c>
      <c r="F2071" s="99" t="s">
        <v>4854</v>
      </c>
      <c r="G2071" s="17" t="s">
        <v>1</v>
      </c>
      <c r="H2071" s="132">
        <v>46084</v>
      </c>
      <c r="I2071" s="127" t="s">
        <v>3282</v>
      </c>
      <c r="J2071"/>
      <c r="K2071"/>
      <c r="L2071" t="s">
        <v>4855</v>
      </c>
    </row>
    <row r="2072" spans="1:12">
      <c r="A2072" s="94" t="s">
        <v>1186</v>
      </c>
      <c r="B2072" t="s">
        <v>4828</v>
      </c>
      <c r="C2072" s="92"/>
      <c r="D2072" s="17" t="s">
        <v>4856</v>
      </c>
      <c r="E2072" s="93" t="s">
        <v>4857</v>
      </c>
      <c r="F2072"/>
      <c r="G2072" s="17" t="s">
        <v>6</v>
      </c>
      <c r="H2072" s="132">
        <v>46084</v>
      </c>
      <c r="I2072" s="127" t="s">
        <v>4858</v>
      </c>
      <c r="J2072"/>
      <c r="K2072"/>
      <c r="L2072"/>
    </row>
    <row r="2073" spans="1:12">
      <c r="A2073" s="94" t="s">
        <v>1186</v>
      </c>
      <c r="B2073" t="s">
        <v>4828</v>
      </c>
      <c r="C2073" s="92"/>
      <c r="D2073" s="17" t="s">
        <v>4859</v>
      </c>
      <c r="E2073" s="93" t="s">
        <v>4860</v>
      </c>
      <c r="F2073"/>
      <c r="G2073" s="17" t="s">
        <v>1</v>
      </c>
      <c r="H2073" s="132">
        <v>46084</v>
      </c>
      <c r="I2073" s="127" t="s">
        <v>4861</v>
      </c>
      <c r="J2073"/>
      <c r="K2073"/>
      <c r="L2073"/>
    </row>
    <row r="2074" spans="1:12">
      <c r="A2074" s="94" t="s">
        <v>1186</v>
      </c>
      <c r="B2074" t="s">
        <v>4828</v>
      </c>
      <c r="C2074" s="92"/>
      <c r="D2074" s="17" t="s">
        <v>4862</v>
      </c>
      <c r="E2074" s="93" t="s">
        <v>4863</v>
      </c>
      <c r="F2074"/>
      <c r="G2074" s="17" t="s">
        <v>6</v>
      </c>
      <c r="H2074" s="132">
        <v>46084</v>
      </c>
      <c r="I2074" s="127" t="s">
        <v>4864</v>
      </c>
      <c r="J2074"/>
      <c r="K2074"/>
      <c r="L2074"/>
    </row>
    <row r="2075" spans="1:12">
      <c r="A2075" s="94" t="s">
        <v>1186</v>
      </c>
      <c r="B2075" t="s">
        <v>4828</v>
      </c>
      <c r="C2075" s="92"/>
      <c r="D2075" s="17" t="s">
        <v>4865</v>
      </c>
      <c r="E2075" s="93" t="s">
        <v>4866</v>
      </c>
      <c r="F2075"/>
      <c r="G2075" s="17" t="s">
        <v>6</v>
      </c>
      <c r="H2075" s="132">
        <v>46085</v>
      </c>
      <c r="I2075" s="127">
        <v>0.3888888888888889</v>
      </c>
      <c r="J2075"/>
      <c r="K2075"/>
      <c r="L2075"/>
    </row>
    <row r="2076" spans="1:12">
      <c r="A2076" s="94" t="s">
        <v>1186</v>
      </c>
      <c r="B2076" t="s">
        <v>4828</v>
      </c>
      <c r="C2076" s="92"/>
      <c r="D2076" s="17" t="s">
        <v>4867</v>
      </c>
      <c r="E2076" s="93" t="s">
        <v>4868</v>
      </c>
      <c r="F2076"/>
      <c r="G2076" s="17" t="s">
        <v>1</v>
      </c>
      <c r="H2076" s="132">
        <v>46085</v>
      </c>
      <c r="I2076" s="127">
        <v>0.3923611111111111</v>
      </c>
      <c r="J2076"/>
      <c r="K2076"/>
      <c r="L2076"/>
    </row>
    <row r="2077" spans="1:12">
      <c r="A2077" s="94" t="s">
        <v>1186</v>
      </c>
      <c r="B2077" t="s">
        <v>4828</v>
      </c>
      <c r="C2077" s="92"/>
      <c r="D2077" s="17" t="s">
        <v>4869</v>
      </c>
      <c r="E2077" s="93" t="s">
        <v>4870</v>
      </c>
      <c r="F2077"/>
      <c r="G2077" s="17" t="s">
        <v>6</v>
      </c>
      <c r="H2077" s="132">
        <v>46085</v>
      </c>
      <c r="I2077" s="127">
        <v>0.39374999999999999</v>
      </c>
      <c r="J2077"/>
      <c r="K2077"/>
      <c r="L2077"/>
    </row>
    <row r="2078" spans="1:12">
      <c r="A2078" s="94" t="s">
        <v>1186</v>
      </c>
      <c r="B2078" t="s">
        <v>4828</v>
      </c>
      <c r="C2078" s="92"/>
      <c r="D2078" s="17" t="s">
        <v>4871</v>
      </c>
      <c r="E2078" s="93" t="s">
        <v>4872</v>
      </c>
      <c r="F2078"/>
      <c r="G2078" s="17" t="s">
        <v>1</v>
      </c>
      <c r="H2078" s="132">
        <v>46085</v>
      </c>
      <c r="I2078" s="127">
        <v>0.39513888888888887</v>
      </c>
      <c r="J2078"/>
      <c r="K2078"/>
      <c r="L2078"/>
    </row>
    <row r="2079" spans="1:12">
      <c r="A2079" s="94" t="s">
        <v>1186</v>
      </c>
      <c r="B2079" t="s">
        <v>4828</v>
      </c>
      <c r="C2079" s="92"/>
      <c r="D2079" s="17" t="s">
        <v>4873</v>
      </c>
      <c r="E2079" s="93" t="s">
        <v>4874</v>
      </c>
      <c r="F2079"/>
      <c r="G2079" s="17" t="s">
        <v>2</v>
      </c>
      <c r="H2079" s="132">
        <v>46085</v>
      </c>
      <c r="I2079" s="127">
        <v>0.39583333333333331</v>
      </c>
      <c r="J2079"/>
      <c r="K2079"/>
      <c r="L2079"/>
    </row>
    <row r="2080" spans="1:12">
      <c r="A2080" s="94" t="s">
        <v>1186</v>
      </c>
      <c r="B2080" t="s">
        <v>4828</v>
      </c>
      <c r="C2080" s="92"/>
      <c r="D2080" s="17" t="s">
        <v>4875</v>
      </c>
      <c r="E2080" s="93" t="s">
        <v>4876</v>
      </c>
      <c r="F2080"/>
      <c r="G2080" s="17" t="s">
        <v>6</v>
      </c>
      <c r="H2080" s="132">
        <v>46085</v>
      </c>
      <c r="I2080" s="127">
        <v>0.3972222222222222</v>
      </c>
      <c r="J2080"/>
      <c r="K2080"/>
      <c r="L2080"/>
    </row>
    <row r="2081" spans="1:12">
      <c r="A2081" s="94" t="s">
        <v>1186</v>
      </c>
      <c r="B2081" t="s">
        <v>4828</v>
      </c>
      <c r="C2081" s="92"/>
      <c r="D2081" s="17" t="s">
        <v>4877</v>
      </c>
      <c r="E2081" s="93" t="s">
        <v>4878</v>
      </c>
      <c r="F2081"/>
      <c r="G2081" s="17" t="s">
        <v>1</v>
      </c>
      <c r="H2081" s="132">
        <v>46085</v>
      </c>
      <c r="I2081" s="127">
        <v>0.39861111111111114</v>
      </c>
      <c r="J2081"/>
      <c r="K2081"/>
      <c r="L2081"/>
    </row>
    <row r="2082" spans="1:12">
      <c r="A2082" s="94" t="s">
        <v>1186</v>
      </c>
      <c r="B2082" t="s">
        <v>4828</v>
      </c>
      <c r="C2082" s="92"/>
      <c r="D2082" s="17" t="s">
        <v>4879</v>
      </c>
      <c r="E2082" s="93" t="s">
        <v>4880</v>
      </c>
      <c r="F2082"/>
      <c r="G2082" s="17" t="s">
        <v>1</v>
      </c>
      <c r="H2082" s="132">
        <v>46085</v>
      </c>
      <c r="I2082" s="127">
        <v>0.40555555555555556</v>
      </c>
      <c r="J2082"/>
      <c r="K2082"/>
      <c r="L2082"/>
    </row>
    <row r="2083" spans="1:12">
      <c r="A2083" s="94" t="s">
        <v>1186</v>
      </c>
      <c r="B2083" t="s">
        <v>4828</v>
      </c>
      <c r="C2083" s="92"/>
      <c r="D2083" s="17" t="s">
        <v>4881</v>
      </c>
      <c r="E2083" s="93" t="s">
        <v>4882</v>
      </c>
      <c r="F2083"/>
      <c r="G2083" s="17" t="s">
        <v>5</v>
      </c>
      <c r="H2083" s="132">
        <v>46085</v>
      </c>
      <c r="I2083" s="127">
        <v>0.40763888888888888</v>
      </c>
      <c r="J2083"/>
      <c r="K2083"/>
      <c r="L2083" t="s">
        <v>4883</v>
      </c>
    </row>
    <row r="2084" spans="1:12">
      <c r="A2084" s="94" t="s">
        <v>1186</v>
      </c>
      <c r="B2084" t="s">
        <v>4828</v>
      </c>
      <c r="C2084" s="92"/>
      <c r="D2084" s="17" t="s">
        <v>4884</v>
      </c>
      <c r="E2084" s="93" t="s">
        <v>4885</v>
      </c>
      <c r="F2084"/>
      <c r="G2084" s="17" t="s">
        <v>1</v>
      </c>
      <c r="H2084" s="132">
        <v>46085</v>
      </c>
      <c r="I2084" s="127">
        <v>0.40972222222222221</v>
      </c>
      <c r="J2084"/>
      <c r="K2084"/>
      <c r="L2084"/>
    </row>
    <row r="2085" spans="1:12">
      <c r="A2085" s="94" t="s">
        <v>1186</v>
      </c>
      <c r="B2085" t="s">
        <v>4828</v>
      </c>
      <c r="C2085" s="92"/>
      <c r="D2085" s="17" t="s">
        <v>4886</v>
      </c>
      <c r="E2085" s="93" t="s">
        <v>4887</v>
      </c>
      <c r="F2085"/>
      <c r="G2085" s="17" t="s">
        <v>6</v>
      </c>
      <c r="H2085" s="132">
        <v>46085</v>
      </c>
      <c r="I2085" s="127">
        <v>0.41111111111111109</v>
      </c>
      <c r="J2085"/>
      <c r="K2085"/>
      <c r="L2085"/>
    </row>
    <row r="2086" spans="1:12">
      <c r="A2086" s="94" t="s">
        <v>1186</v>
      </c>
      <c r="B2086" t="s">
        <v>4828</v>
      </c>
      <c r="C2086" s="92"/>
      <c r="D2086" s="17" t="s">
        <v>4888</v>
      </c>
      <c r="E2086" s="93" t="s">
        <v>4889</v>
      </c>
      <c r="F2086"/>
      <c r="G2086" s="17" t="s">
        <v>1</v>
      </c>
      <c r="H2086" s="132">
        <v>46085</v>
      </c>
      <c r="I2086" s="127">
        <v>0.41388888888888886</v>
      </c>
      <c r="J2086"/>
      <c r="K2086"/>
      <c r="L2086"/>
    </row>
    <row r="2087" spans="1:12">
      <c r="A2087" s="94" t="s">
        <v>1186</v>
      </c>
      <c r="B2087" t="s">
        <v>4828</v>
      </c>
      <c r="C2087" s="92"/>
      <c r="D2087" s="17" t="s">
        <v>4890</v>
      </c>
      <c r="E2087" s="93" t="s">
        <v>4891</v>
      </c>
      <c r="F2087"/>
      <c r="G2087" s="17" t="s">
        <v>1</v>
      </c>
      <c r="H2087" s="132">
        <v>46085</v>
      </c>
      <c r="I2087" s="127">
        <v>0.4152777777777778</v>
      </c>
      <c r="J2087"/>
      <c r="K2087"/>
      <c r="L2087"/>
    </row>
    <row r="2088" spans="1:12">
      <c r="A2088" s="94" t="s">
        <v>1186</v>
      </c>
      <c r="B2088" t="s">
        <v>4828</v>
      </c>
      <c r="C2088" s="92"/>
      <c r="D2088" s="17" t="s">
        <v>4892</v>
      </c>
      <c r="E2088" s="93" t="s">
        <v>4893</v>
      </c>
      <c r="F2088"/>
      <c r="G2088" s="17" t="s">
        <v>1</v>
      </c>
      <c r="H2088" s="132">
        <v>46085</v>
      </c>
      <c r="I2088" s="127">
        <v>0.43541666666666667</v>
      </c>
      <c r="J2088"/>
      <c r="K2088"/>
      <c r="L2088"/>
    </row>
    <row r="2089" spans="1:12">
      <c r="A2089" s="94" t="s">
        <v>1186</v>
      </c>
      <c r="B2089" t="s">
        <v>4828</v>
      </c>
      <c r="C2089" s="92"/>
      <c r="D2089" s="17" t="s">
        <v>4894</v>
      </c>
      <c r="E2089" s="93" t="s">
        <v>4895</v>
      </c>
      <c r="F2089"/>
      <c r="G2089" s="17" t="s">
        <v>1</v>
      </c>
      <c r="H2089" s="132">
        <v>46085</v>
      </c>
      <c r="I2089" s="127">
        <v>0.43888888888888888</v>
      </c>
      <c r="J2089"/>
      <c r="K2089"/>
      <c r="L2089"/>
    </row>
    <row r="2090" spans="1:12">
      <c r="A2090" s="94" t="s">
        <v>1186</v>
      </c>
      <c r="B2090" t="s">
        <v>4828</v>
      </c>
      <c r="C2090" s="92"/>
      <c r="D2090" s="17" t="s">
        <v>4896</v>
      </c>
      <c r="E2090" s="93" t="s">
        <v>4755</v>
      </c>
      <c r="F2090"/>
      <c r="G2090" s="17" t="s">
        <v>6</v>
      </c>
      <c r="H2090" s="132">
        <v>46085</v>
      </c>
      <c r="I2090" s="127">
        <v>0.43958333333333333</v>
      </c>
      <c r="J2090"/>
      <c r="K2090"/>
      <c r="L2090"/>
    </row>
    <row r="2091" spans="1:12">
      <c r="A2091" s="94" t="s">
        <v>1186</v>
      </c>
      <c r="B2091" t="s">
        <v>4828</v>
      </c>
      <c r="C2091" s="92"/>
      <c r="D2091" s="17" t="s">
        <v>4897</v>
      </c>
      <c r="E2091" s="93" t="s">
        <v>4898</v>
      </c>
      <c r="F2091"/>
      <c r="G2091" s="17" t="s">
        <v>1</v>
      </c>
      <c r="H2091" s="132">
        <v>46085</v>
      </c>
      <c r="I2091" s="127">
        <v>0.44097222222222221</v>
      </c>
      <c r="J2091"/>
      <c r="K2091"/>
      <c r="L2091"/>
    </row>
    <row r="2092" spans="1:12">
      <c r="A2092" s="94" t="s">
        <v>1186</v>
      </c>
      <c r="B2092" t="s">
        <v>4828</v>
      </c>
      <c r="C2092" s="92"/>
      <c r="D2092" s="17" t="s">
        <v>4899</v>
      </c>
      <c r="E2092" s="93" t="s">
        <v>4900</v>
      </c>
      <c r="F2092"/>
      <c r="G2092" s="17" t="s">
        <v>9</v>
      </c>
      <c r="H2092" s="132">
        <v>46085</v>
      </c>
      <c r="I2092" s="127">
        <v>0.44236111111111109</v>
      </c>
      <c r="J2092"/>
      <c r="K2092"/>
      <c r="L2092"/>
    </row>
    <row r="2093" spans="1:12">
      <c r="A2093" s="94" t="s">
        <v>1186</v>
      </c>
      <c r="B2093" t="s">
        <v>4828</v>
      </c>
      <c r="C2093" s="92"/>
      <c r="D2093" s="17" t="s">
        <v>4901</v>
      </c>
      <c r="E2093" s="93" t="s">
        <v>4902</v>
      </c>
      <c r="F2093"/>
      <c r="G2093" s="17" t="s">
        <v>1</v>
      </c>
      <c r="H2093" s="132">
        <v>46085</v>
      </c>
      <c r="I2093" s="127">
        <v>0.44374999999999998</v>
      </c>
      <c r="J2093"/>
      <c r="K2093"/>
      <c r="L2093"/>
    </row>
    <row r="2094" spans="1:12">
      <c r="A2094" s="94" t="s">
        <v>1186</v>
      </c>
      <c r="B2094" t="s">
        <v>4828</v>
      </c>
      <c r="C2094" s="92"/>
      <c r="D2094" s="17" t="s">
        <v>4903</v>
      </c>
      <c r="E2094" s="93" t="s">
        <v>4904</v>
      </c>
      <c r="F2094"/>
      <c r="G2094" s="17" t="s">
        <v>4</v>
      </c>
      <c r="H2094" s="132">
        <v>46085</v>
      </c>
      <c r="I2094" s="127">
        <v>0.44722222222222224</v>
      </c>
      <c r="J2094"/>
      <c r="K2094"/>
      <c r="L2094"/>
    </row>
    <row r="2095" spans="1:12">
      <c r="A2095" s="94" t="s">
        <v>1186</v>
      </c>
      <c r="B2095" t="s">
        <v>4828</v>
      </c>
      <c r="C2095" s="92"/>
      <c r="D2095" s="17" t="s">
        <v>4905</v>
      </c>
      <c r="E2095" s="93" t="s">
        <v>4109</v>
      </c>
      <c r="F2095"/>
      <c r="G2095" s="17" t="s">
        <v>1</v>
      </c>
      <c r="H2095" s="132">
        <v>46085</v>
      </c>
      <c r="I2095" s="127">
        <v>0.44930555555555557</v>
      </c>
      <c r="J2095"/>
      <c r="K2095"/>
      <c r="L2095"/>
    </row>
    <row r="2096" spans="1:12">
      <c r="A2096" s="94" t="s">
        <v>1186</v>
      </c>
      <c r="B2096" t="s">
        <v>4828</v>
      </c>
      <c r="C2096" s="92"/>
      <c r="D2096" s="17" t="s">
        <v>4906</v>
      </c>
      <c r="E2096" s="93" t="s">
        <v>4907</v>
      </c>
      <c r="F2096"/>
      <c r="G2096" s="17" t="s">
        <v>1</v>
      </c>
      <c r="H2096" s="132">
        <v>46085</v>
      </c>
      <c r="I2096" s="127">
        <v>0.45069444444444445</v>
      </c>
      <c r="J2096"/>
      <c r="K2096"/>
      <c r="L2096"/>
    </row>
    <row r="2097" spans="1:12">
      <c r="A2097" s="94" t="s">
        <v>1186</v>
      </c>
      <c r="B2097" t="s">
        <v>4828</v>
      </c>
      <c r="C2097" s="92"/>
      <c r="D2097" s="17" t="s">
        <v>4908</v>
      </c>
      <c r="E2097" s="93" t="s">
        <v>4909</v>
      </c>
      <c r="F2097"/>
      <c r="G2097" s="17" t="s">
        <v>3</v>
      </c>
      <c r="H2097" s="132">
        <v>46085</v>
      </c>
      <c r="I2097" s="127">
        <v>0.45208333333333334</v>
      </c>
      <c r="J2097"/>
      <c r="K2097"/>
      <c r="L2097"/>
    </row>
    <row r="2098" spans="1:12">
      <c r="A2098" s="94" t="s">
        <v>1186</v>
      </c>
      <c r="B2098" t="s">
        <v>4828</v>
      </c>
      <c r="C2098" s="92"/>
      <c r="D2098" s="17" t="s">
        <v>4910</v>
      </c>
      <c r="E2098" s="93" t="s">
        <v>4911</v>
      </c>
      <c r="F2098"/>
      <c r="G2098" s="17" t="s">
        <v>2</v>
      </c>
      <c r="H2098" s="132">
        <v>46085</v>
      </c>
      <c r="I2098" s="127">
        <v>0.45277777777777778</v>
      </c>
      <c r="J2098"/>
      <c r="K2098"/>
      <c r="L2098"/>
    </row>
    <row r="2099" spans="1:12">
      <c r="A2099" s="94" t="s">
        <v>1186</v>
      </c>
      <c r="B2099" t="s">
        <v>4828</v>
      </c>
      <c r="C2099" s="92"/>
      <c r="D2099" s="17" t="s">
        <v>3208</v>
      </c>
      <c r="E2099" s="93" t="s">
        <v>4912</v>
      </c>
      <c r="F2099"/>
      <c r="G2099" s="17" t="s">
        <v>2</v>
      </c>
      <c r="H2099" s="132">
        <v>46085</v>
      </c>
      <c r="I2099" s="127">
        <v>0.45347222222222222</v>
      </c>
      <c r="J2099"/>
      <c r="K2099"/>
      <c r="L2099"/>
    </row>
    <row r="2100" spans="1:12">
      <c r="A2100" s="94" t="s">
        <v>1186</v>
      </c>
      <c r="B2100" t="s">
        <v>4828</v>
      </c>
      <c r="C2100" s="92"/>
      <c r="D2100" s="17" t="s">
        <v>4913</v>
      </c>
      <c r="E2100" s="93" t="s">
        <v>4914</v>
      </c>
      <c r="F2100"/>
      <c r="G2100" s="17" t="s">
        <v>1</v>
      </c>
      <c r="H2100" s="132">
        <v>46085</v>
      </c>
      <c r="I2100" s="127">
        <v>0.45555555555555555</v>
      </c>
      <c r="J2100"/>
      <c r="K2100"/>
      <c r="L2100"/>
    </row>
    <row r="2101" spans="1:12">
      <c r="A2101" s="94" t="s">
        <v>1186</v>
      </c>
      <c r="B2101" t="s">
        <v>4828</v>
      </c>
      <c r="C2101" s="92"/>
      <c r="D2101" s="17" t="s">
        <v>4915</v>
      </c>
      <c r="E2101" s="93" t="s">
        <v>4916</v>
      </c>
      <c r="F2101"/>
      <c r="G2101" s="17" t="s">
        <v>1</v>
      </c>
      <c r="H2101" s="132">
        <v>46085</v>
      </c>
      <c r="I2101" s="127">
        <v>0.45694444444444443</v>
      </c>
      <c r="J2101"/>
      <c r="K2101"/>
      <c r="L2101"/>
    </row>
    <row r="2102" spans="1:12">
      <c r="A2102" s="94" t="s">
        <v>1186</v>
      </c>
      <c r="B2102" t="s">
        <v>4828</v>
      </c>
      <c r="C2102" s="92"/>
      <c r="D2102" s="17" t="s">
        <v>4917</v>
      </c>
      <c r="E2102" s="93" t="s">
        <v>4918</v>
      </c>
      <c r="F2102"/>
      <c r="G2102" s="17" t="s">
        <v>1</v>
      </c>
      <c r="H2102" s="132">
        <v>46085</v>
      </c>
      <c r="I2102" s="127">
        <v>0.4597222222222222</v>
      </c>
      <c r="J2102"/>
      <c r="K2102"/>
      <c r="L2102"/>
    </row>
    <row r="2103" spans="1:12">
      <c r="A2103" s="94" t="s">
        <v>1186</v>
      </c>
      <c r="B2103" t="s">
        <v>4828</v>
      </c>
      <c r="C2103" s="92"/>
      <c r="D2103" s="17" t="s">
        <v>4919</v>
      </c>
      <c r="E2103" s="93" t="s">
        <v>4920</v>
      </c>
      <c r="F2103"/>
      <c r="G2103" s="17" t="s">
        <v>1</v>
      </c>
      <c r="H2103" s="132">
        <v>46085</v>
      </c>
      <c r="I2103" s="127">
        <v>0.46111111111111114</v>
      </c>
      <c r="J2103"/>
      <c r="K2103"/>
      <c r="L2103"/>
    </row>
    <row r="2104" spans="1:12">
      <c r="A2104" s="94" t="s">
        <v>1186</v>
      </c>
      <c r="B2104" t="s">
        <v>4828</v>
      </c>
      <c r="C2104" s="92"/>
      <c r="D2104" s="17" t="s">
        <v>4921</v>
      </c>
      <c r="E2104" s="93" t="s">
        <v>4922</v>
      </c>
      <c r="F2104"/>
      <c r="G2104" s="17" t="s">
        <v>1</v>
      </c>
      <c r="H2104" s="132">
        <v>46085</v>
      </c>
      <c r="I2104" s="127">
        <v>0.46250000000000002</v>
      </c>
      <c r="J2104"/>
      <c r="K2104"/>
      <c r="L2104"/>
    </row>
    <row r="2105" spans="1:12">
      <c r="A2105" s="94" t="s">
        <v>1186</v>
      </c>
      <c r="B2105" t="s">
        <v>4828</v>
      </c>
      <c r="C2105" s="92"/>
      <c r="D2105" s="17" t="s">
        <v>4923</v>
      </c>
      <c r="E2105" s="93" t="s">
        <v>4924</v>
      </c>
      <c r="F2105"/>
      <c r="G2105" s="17" t="s">
        <v>2</v>
      </c>
      <c r="H2105" s="132">
        <v>46085</v>
      </c>
      <c r="I2105" s="127">
        <v>0.46319444444444446</v>
      </c>
      <c r="J2105"/>
      <c r="K2105"/>
      <c r="L2105"/>
    </row>
    <row r="2106" spans="1:12">
      <c r="A2106" s="94" t="s">
        <v>1186</v>
      </c>
      <c r="B2106" t="s">
        <v>4828</v>
      </c>
      <c r="C2106" s="92"/>
      <c r="D2106" s="17" t="s">
        <v>4925</v>
      </c>
      <c r="E2106" s="93" t="s">
        <v>4926</v>
      </c>
      <c r="F2106"/>
      <c r="G2106" s="17" t="s">
        <v>2</v>
      </c>
      <c r="H2106" s="132">
        <v>46085</v>
      </c>
      <c r="I2106" s="127">
        <v>0.46388888888888891</v>
      </c>
      <c r="J2106"/>
      <c r="K2106"/>
      <c r="L2106"/>
    </row>
    <row r="2107" spans="1:12">
      <c r="A2107" s="94" t="s">
        <v>1186</v>
      </c>
      <c r="B2107" t="s">
        <v>4828</v>
      </c>
      <c r="C2107" s="92"/>
      <c r="D2107" s="17" t="s">
        <v>4927</v>
      </c>
      <c r="E2107" s="93" t="s">
        <v>4928</v>
      </c>
      <c r="F2107"/>
      <c r="G2107" s="17" t="s">
        <v>6</v>
      </c>
      <c r="H2107" s="132">
        <v>46085</v>
      </c>
      <c r="I2107" s="127">
        <v>0.46458333333333335</v>
      </c>
      <c r="J2107"/>
      <c r="K2107"/>
      <c r="L2107"/>
    </row>
    <row r="2108" spans="1:12">
      <c r="A2108" s="94" t="s">
        <v>1186</v>
      </c>
      <c r="B2108" t="s">
        <v>4828</v>
      </c>
      <c r="C2108" s="92"/>
      <c r="D2108" s="17" t="s">
        <v>4929</v>
      </c>
      <c r="E2108" s="93" t="s">
        <v>4930</v>
      </c>
      <c r="F2108"/>
      <c r="G2108" s="17" t="s">
        <v>1</v>
      </c>
      <c r="H2108" s="132">
        <v>46085</v>
      </c>
      <c r="I2108" s="127">
        <v>0.46666666666666667</v>
      </c>
      <c r="J2108"/>
      <c r="K2108"/>
      <c r="L2108"/>
    </row>
    <row r="2109" spans="1:12">
      <c r="A2109" s="94" t="s">
        <v>1186</v>
      </c>
      <c r="B2109" t="s">
        <v>4828</v>
      </c>
      <c r="C2109" s="92"/>
      <c r="D2109" s="17" t="s">
        <v>4931</v>
      </c>
      <c r="E2109" s="93" t="s">
        <v>4932</v>
      </c>
      <c r="F2109"/>
      <c r="G2109" s="17" t="s">
        <v>1</v>
      </c>
      <c r="H2109" s="132">
        <v>46085</v>
      </c>
      <c r="I2109" s="127">
        <v>0.46944444444444444</v>
      </c>
      <c r="J2109"/>
      <c r="K2109"/>
      <c r="L2109"/>
    </row>
    <row r="2110" spans="1:12">
      <c r="A2110" s="94" t="s">
        <v>1186</v>
      </c>
      <c r="B2110" t="s">
        <v>4828</v>
      </c>
      <c r="C2110" s="92"/>
      <c r="D2110" s="17" t="s">
        <v>4933</v>
      </c>
      <c r="E2110" s="93" t="s">
        <v>4934</v>
      </c>
      <c r="F2110"/>
      <c r="G2110" s="17" t="s">
        <v>1</v>
      </c>
      <c r="H2110" s="132">
        <v>46085</v>
      </c>
      <c r="I2110" s="127">
        <v>0.47222222222222221</v>
      </c>
      <c r="J2110"/>
      <c r="K2110"/>
      <c r="L2110"/>
    </row>
    <row r="2111" spans="1:12">
      <c r="A2111" s="94" t="s">
        <v>1186</v>
      </c>
      <c r="B2111" t="s">
        <v>4828</v>
      </c>
      <c r="C2111" s="92"/>
      <c r="D2111" s="17" t="s">
        <v>4935</v>
      </c>
      <c r="E2111" s="93" t="s">
        <v>4936</v>
      </c>
      <c r="F2111"/>
      <c r="G2111" s="17" t="s">
        <v>6</v>
      </c>
      <c r="H2111" s="132">
        <v>46085</v>
      </c>
      <c r="I2111" s="127">
        <v>0.47291666666666665</v>
      </c>
      <c r="J2111"/>
      <c r="K2111"/>
      <c r="L2111"/>
    </row>
    <row r="2112" spans="1:12">
      <c r="A2112" s="94" t="s">
        <v>1186</v>
      </c>
      <c r="B2112" t="s">
        <v>4828</v>
      </c>
      <c r="C2112" s="92"/>
      <c r="D2112" s="17" t="s">
        <v>4937</v>
      </c>
      <c r="E2112" s="93" t="s">
        <v>4938</v>
      </c>
      <c r="F2112"/>
      <c r="G2112" s="17" t="s">
        <v>1</v>
      </c>
      <c r="H2112" s="132">
        <v>46085</v>
      </c>
      <c r="I2112" s="127">
        <v>0.47499999999999998</v>
      </c>
      <c r="J2112"/>
      <c r="K2112"/>
      <c r="L2112"/>
    </row>
    <row r="2113" spans="1:12">
      <c r="A2113" s="94" t="s">
        <v>1186</v>
      </c>
      <c r="B2113" t="s">
        <v>4828</v>
      </c>
      <c r="C2113" s="92"/>
      <c r="D2113" s="17" t="s">
        <v>4939</v>
      </c>
      <c r="E2113" s="93" t="s">
        <v>4940</v>
      </c>
      <c r="F2113"/>
      <c r="G2113" s="17" t="s">
        <v>1</v>
      </c>
      <c r="H2113" s="132">
        <v>46085</v>
      </c>
      <c r="I2113" s="127">
        <v>0.48680555555555555</v>
      </c>
      <c r="J2113"/>
      <c r="K2113"/>
      <c r="L2113"/>
    </row>
    <row r="2114" spans="1:12">
      <c r="A2114" s="94" t="s">
        <v>1186</v>
      </c>
      <c r="B2114" t="s">
        <v>4828</v>
      </c>
      <c r="C2114" s="92"/>
      <c r="D2114" s="17" t="s">
        <v>4941</v>
      </c>
      <c r="E2114" s="93" t="s">
        <v>4942</v>
      </c>
      <c r="F2114"/>
      <c r="G2114" s="17" t="s">
        <v>6</v>
      </c>
      <c r="H2114" s="132">
        <v>46085</v>
      </c>
      <c r="I2114" s="127">
        <v>0.48819444444444443</v>
      </c>
      <c r="J2114"/>
      <c r="K2114"/>
      <c r="L2114"/>
    </row>
    <row r="2115" spans="1:12">
      <c r="A2115" s="94" t="s">
        <v>1186</v>
      </c>
      <c r="B2115" t="s">
        <v>4828</v>
      </c>
      <c r="C2115" s="92"/>
      <c r="D2115" s="17" t="s">
        <v>4943</v>
      </c>
      <c r="E2115" s="93" t="s">
        <v>4944</v>
      </c>
      <c r="F2115"/>
      <c r="G2115" s="17" t="s">
        <v>1</v>
      </c>
      <c r="H2115" s="132">
        <v>46085</v>
      </c>
      <c r="I2115" s="127">
        <v>0.49027777777777776</v>
      </c>
      <c r="J2115"/>
      <c r="K2115"/>
      <c r="L2115"/>
    </row>
    <row r="2116" spans="1:12">
      <c r="A2116" s="94" t="s">
        <v>1186</v>
      </c>
      <c r="B2116" t="s">
        <v>4828</v>
      </c>
      <c r="C2116" s="92"/>
      <c r="D2116" s="17" t="s">
        <v>4945</v>
      </c>
      <c r="E2116" s="93" t="s">
        <v>4946</v>
      </c>
      <c r="F2116"/>
      <c r="G2116" s="17" t="s">
        <v>1</v>
      </c>
      <c r="H2116" s="132">
        <v>46085</v>
      </c>
      <c r="I2116" s="127">
        <v>0.49166666666666664</v>
      </c>
      <c r="J2116"/>
      <c r="K2116"/>
      <c r="L2116"/>
    </row>
    <row r="2117" spans="1:12">
      <c r="A2117" s="94" t="s">
        <v>1186</v>
      </c>
      <c r="B2117" t="s">
        <v>4828</v>
      </c>
      <c r="C2117" s="92"/>
      <c r="D2117" s="17" t="s">
        <v>4947</v>
      </c>
      <c r="E2117" s="93" t="s">
        <v>4948</v>
      </c>
      <c r="F2117"/>
      <c r="G2117" s="17" t="s">
        <v>2</v>
      </c>
      <c r="H2117" s="132">
        <v>46085</v>
      </c>
      <c r="I2117" s="127">
        <v>0.49930555555555556</v>
      </c>
      <c r="J2117"/>
      <c r="K2117"/>
      <c r="L2117"/>
    </row>
    <row r="2118" spans="1:12">
      <c r="A2118" s="94" t="s">
        <v>1186</v>
      </c>
      <c r="B2118" t="s">
        <v>4828</v>
      </c>
      <c r="C2118" s="92"/>
      <c r="D2118" s="17" t="s">
        <v>4949</v>
      </c>
      <c r="E2118" s="93" t="s">
        <v>4950</v>
      </c>
      <c r="F2118"/>
      <c r="G2118" s="17" t="s">
        <v>6</v>
      </c>
      <c r="H2118" s="132">
        <v>46085</v>
      </c>
      <c r="I2118" s="127">
        <v>0.5</v>
      </c>
      <c r="J2118"/>
      <c r="K2118"/>
      <c r="L2118"/>
    </row>
    <row r="2119" spans="1:12">
      <c r="A2119" s="94" t="s">
        <v>1186</v>
      </c>
      <c r="B2119" t="s">
        <v>4828</v>
      </c>
      <c r="C2119" s="92"/>
      <c r="D2119" s="17" t="s">
        <v>4951</v>
      </c>
      <c r="E2119" s="93" t="s">
        <v>4952</v>
      </c>
      <c r="F2119"/>
      <c r="G2119" s="17" t="s">
        <v>1</v>
      </c>
      <c r="H2119" s="132">
        <v>46085</v>
      </c>
      <c r="I2119" s="127">
        <v>0.50208333333333333</v>
      </c>
      <c r="J2119"/>
      <c r="K2119"/>
      <c r="L2119"/>
    </row>
    <row r="2120" spans="1:12">
      <c r="A2120" s="94" t="s">
        <v>1186</v>
      </c>
      <c r="B2120" t="s">
        <v>4828</v>
      </c>
      <c r="C2120" s="92"/>
      <c r="D2120" s="17" t="s">
        <v>4953</v>
      </c>
      <c r="E2120" s="93" t="s">
        <v>4954</v>
      </c>
      <c r="F2120"/>
      <c r="G2120" s="17" t="s">
        <v>1</v>
      </c>
      <c r="H2120" s="132">
        <v>46085</v>
      </c>
      <c r="I2120" s="127">
        <v>0.50347222222222221</v>
      </c>
      <c r="J2120"/>
      <c r="K2120"/>
      <c r="L2120"/>
    </row>
    <row r="2121" spans="1:12">
      <c r="A2121" s="94" t="s">
        <v>1186</v>
      </c>
      <c r="B2121" t="s">
        <v>4828</v>
      </c>
      <c r="C2121" s="92"/>
      <c r="D2121" s="17" t="s">
        <v>4955</v>
      </c>
      <c r="E2121" s="93">
        <v>62291216</v>
      </c>
      <c r="F2121"/>
      <c r="G2121" s="17" t="s">
        <v>2</v>
      </c>
      <c r="H2121" s="132">
        <v>46085</v>
      </c>
      <c r="I2121" s="127">
        <v>0.50555555555555554</v>
      </c>
      <c r="J2121"/>
      <c r="K2121"/>
      <c r="L2121"/>
    </row>
    <row r="2122" spans="1:12">
      <c r="A2122" s="94" t="s">
        <v>1186</v>
      </c>
      <c r="B2122" t="s">
        <v>4828</v>
      </c>
      <c r="C2122" s="92"/>
      <c r="D2122" s="17" t="s">
        <v>4956</v>
      </c>
      <c r="E2122" s="93">
        <v>63347298</v>
      </c>
      <c r="F2122"/>
      <c r="G2122" s="17" t="s">
        <v>2</v>
      </c>
      <c r="H2122" s="132">
        <v>46085</v>
      </c>
      <c r="I2122" s="127">
        <v>0.50902777777777775</v>
      </c>
      <c r="J2122"/>
      <c r="K2122"/>
      <c r="L2122"/>
    </row>
    <row r="2123" spans="1:12">
      <c r="A2123" s="94" t="s">
        <v>1186</v>
      </c>
      <c r="B2123" t="s">
        <v>4828</v>
      </c>
      <c r="C2123" s="92"/>
      <c r="D2123" s="17" t="s">
        <v>4957</v>
      </c>
      <c r="E2123" s="93">
        <v>68530732</v>
      </c>
      <c r="F2123"/>
      <c r="G2123" s="17" t="s">
        <v>3</v>
      </c>
      <c r="H2123" s="132">
        <v>46085</v>
      </c>
      <c r="I2123" s="127">
        <v>0.51111111111111107</v>
      </c>
      <c r="J2123"/>
      <c r="K2123"/>
      <c r="L2123"/>
    </row>
    <row r="2124" spans="1:12">
      <c r="A2124" s="94" t="s">
        <v>1186</v>
      </c>
      <c r="B2124" t="s">
        <v>4828</v>
      </c>
      <c r="C2124" s="92"/>
      <c r="D2124" s="17" t="s">
        <v>4958</v>
      </c>
      <c r="E2124" s="93">
        <v>66164876</v>
      </c>
      <c r="F2124"/>
      <c r="G2124" s="17" t="s">
        <v>1</v>
      </c>
      <c r="H2124" s="132">
        <v>46085</v>
      </c>
      <c r="I2124" s="127">
        <v>0.5180555555555556</v>
      </c>
      <c r="J2124"/>
      <c r="K2124"/>
      <c r="L2124"/>
    </row>
    <row r="2125" spans="1:12">
      <c r="A2125" s="94" t="s">
        <v>1186</v>
      </c>
      <c r="B2125" t="s">
        <v>4828</v>
      </c>
      <c r="C2125" s="92"/>
      <c r="D2125" s="17" t="s">
        <v>4959</v>
      </c>
      <c r="E2125" s="93" t="s">
        <v>4960</v>
      </c>
      <c r="F2125"/>
      <c r="G2125" s="17" t="s">
        <v>1</v>
      </c>
      <c r="H2125" s="132">
        <v>46085</v>
      </c>
      <c r="I2125" s="127">
        <v>0.51944444444444449</v>
      </c>
      <c r="J2125"/>
      <c r="K2125"/>
      <c r="L2125"/>
    </row>
    <row r="2126" spans="1:12">
      <c r="A2126" s="94" t="s">
        <v>1186</v>
      </c>
      <c r="B2126" t="s">
        <v>4828</v>
      </c>
      <c r="C2126" s="92"/>
      <c r="D2126" s="17" t="s">
        <v>4961</v>
      </c>
      <c r="E2126" s="93" t="s">
        <v>4962</v>
      </c>
      <c r="F2126"/>
      <c r="G2126" s="17" t="s">
        <v>6</v>
      </c>
      <c r="H2126" s="132">
        <v>46085</v>
      </c>
      <c r="I2126" s="127">
        <v>0.52152777777777781</v>
      </c>
      <c r="J2126"/>
      <c r="K2126"/>
      <c r="L2126"/>
    </row>
    <row r="2127" spans="1:12">
      <c r="A2127" s="94" t="s">
        <v>1186</v>
      </c>
      <c r="B2127" t="s">
        <v>4828</v>
      </c>
      <c r="C2127" s="92"/>
      <c r="D2127" s="17" t="s">
        <v>4963</v>
      </c>
      <c r="E2127" s="93" t="s">
        <v>4964</v>
      </c>
      <c r="F2127"/>
      <c r="G2127" s="17" t="s">
        <v>1</v>
      </c>
      <c r="H2127" s="132">
        <v>46085</v>
      </c>
      <c r="I2127" s="127">
        <v>0.52361111111111114</v>
      </c>
      <c r="J2127"/>
      <c r="K2127"/>
      <c r="L2127"/>
    </row>
    <row r="2128" spans="1:12">
      <c r="A2128" s="94" t="s">
        <v>1186</v>
      </c>
      <c r="B2128" t="s">
        <v>4828</v>
      </c>
      <c r="C2128" s="92"/>
      <c r="D2128" s="17" t="s">
        <v>4965</v>
      </c>
      <c r="E2128" s="93" t="s">
        <v>4966</v>
      </c>
      <c r="F2128"/>
      <c r="G2128" s="17" t="s">
        <v>1</v>
      </c>
      <c r="H2128" s="132">
        <v>46085</v>
      </c>
      <c r="I2128" s="127">
        <v>0.52500000000000002</v>
      </c>
      <c r="J2128"/>
      <c r="K2128"/>
      <c r="L2128"/>
    </row>
    <row r="2129" spans="1:12">
      <c r="A2129" s="94" t="s">
        <v>1186</v>
      </c>
      <c r="B2129" t="s">
        <v>4828</v>
      </c>
      <c r="C2129" s="92"/>
      <c r="D2129" s="17" t="s">
        <v>4967</v>
      </c>
      <c r="E2129" s="93" t="s">
        <v>4968</v>
      </c>
      <c r="F2129"/>
      <c r="G2129" s="17" t="s">
        <v>1</v>
      </c>
      <c r="H2129" s="132">
        <v>46085</v>
      </c>
      <c r="I2129" s="127">
        <v>0.52638888888888891</v>
      </c>
      <c r="J2129"/>
      <c r="K2129"/>
      <c r="L2129"/>
    </row>
    <row r="2130" spans="1:12">
      <c r="A2130" s="94" t="s">
        <v>1186</v>
      </c>
      <c r="B2130" t="s">
        <v>4828</v>
      </c>
      <c r="C2130" s="92"/>
      <c r="D2130" s="17" t="s">
        <v>4969</v>
      </c>
      <c r="E2130" s="93" t="s">
        <v>4970</v>
      </c>
      <c r="F2130"/>
      <c r="G2130" s="17" t="s">
        <v>1</v>
      </c>
      <c r="H2130" s="132">
        <v>46085</v>
      </c>
      <c r="I2130" s="127">
        <v>0.52777777777777779</v>
      </c>
      <c r="J2130"/>
      <c r="K2130"/>
      <c r="L2130"/>
    </row>
    <row r="2131" spans="1:12">
      <c r="A2131" s="94" t="s">
        <v>1186</v>
      </c>
      <c r="B2131" t="s">
        <v>4828</v>
      </c>
      <c r="C2131" s="92"/>
      <c r="D2131" s="17" t="s">
        <v>4971</v>
      </c>
      <c r="E2131" s="93" t="s">
        <v>4972</v>
      </c>
      <c r="F2131"/>
      <c r="G2131" s="17" t="s">
        <v>6</v>
      </c>
      <c r="H2131" s="132">
        <v>46085</v>
      </c>
      <c r="I2131" s="127" t="s">
        <v>4973</v>
      </c>
      <c r="J2131"/>
      <c r="K2131"/>
      <c r="L2131"/>
    </row>
    <row r="2132" spans="1:12">
      <c r="A2132" s="94" t="s">
        <v>1186</v>
      </c>
      <c r="B2132" t="s">
        <v>4828</v>
      </c>
      <c r="C2132" s="92"/>
      <c r="D2132" s="17" t="s">
        <v>4974</v>
      </c>
      <c r="E2132" s="93" t="s">
        <v>4975</v>
      </c>
      <c r="F2132"/>
      <c r="G2132" s="17" t="s">
        <v>9</v>
      </c>
      <c r="H2132" s="132">
        <v>46085</v>
      </c>
      <c r="I2132" s="127" t="s">
        <v>4976</v>
      </c>
      <c r="J2132"/>
      <c r="K2132"/>
      <c r="L2132"/>
    </row>
    <row r="2133" spans="1:12">
      <c r="A2133" s="94" t="s">
        <v>1186</v>
      </c>
      <c r="B2133" t="s">
        <v>4828</v>
      </c>
      <c r="C2133" s="92"/>
      <c r="D2133" s="17" t="s">
        <v>4977</v>
      </c>
      <c r="E2133" s="93" t="s">
        <v>4978</v>
      </c>
      <c r="F2133"/>
      <c r="G2133" s="17" t="s">
        <v>1</v>
      </c>
      <c r="H2133" s="132">
        <v>46085</v>
      </c>
      <c r="I2133" s="127" t="s">
        <v>4979</v>
      </c>
      <c r="J2133"/>
      <c r="K2133"/>
      <c r="L2133"/>
    </row>
    <row r="2134" spans="1:12">
      <c r="A2134" s="94" t="s">
        <v>1186</v>
      </c>
      <c r="B2134" t="s">
        <v>4828</v>
      </c>
      <c r="C2134" s="92"/>
      <c r="D2134" s="17" t="s">
        <v>4980</v>
      </c>
      <c r="E2134" s="93" t="s">
        <v>4981</v>
      </c>
      <c r="F2134"/>
      <c r="G2134" s="17" t="s">
        <v>2</v>
      </c>
      <c r="H2134" s="132">
        <v>46085</v>
      </c>
      <c r="I2134" s="127" t="s">
        <v>4982</v>
      </c>
      <c r="J2134"/>
      <c r="K2134"/>
      <c r="L2134"/>
    </row>
    <row r="2135" spans="1:12">
      <c r="A2135" s="94" t="s">
        <v>1186</v>
      </c>
      <c r="B2135" t="s">
        <v>4828</v>
      </c>
      <c r="C2135" s="92"/>
      <c r="D2135" s="17" t="s">
        <v>4983</v>
      </c>
      <c r="E2135" s="93" t="s">
        <v>4984</v>
      </c>
      <c r="F2135"/>
      <c r="G2135" s="17" t="s">
        <v>1</v>
      </c>
      <c r="H2135" s="132">
        <v>46085</v>
      </c>
      <c r="I2135" s="127" t="s">
        <v>4985</v>
      </c>
      <c r="J2135"/>
      <c r="K2135"/>
      <c r="L2135"/>
    </row>
    <row r="2136" spans="1:12">
      <c r="A2136" s="94" t="s">
        <v>1186</v>
      </c>
      <c r="B2136" t="s">
        <v>4828</v>
      </c>
      <c r="C2136" s="92"/>
      <c r="D2136" s="17" t="s">
        <v>3625</v>
      </c>
      <c r="E2136" s="93" t="s">
        <v>4986</v>
      </c>
      <c r="F2136"/>
      <c r="G2136" s="17" t="s">
        <v>1</v>
      </c>
      <c r="H2136" s="132">
        <v>46085</v>
      </c>
      <c r="I2136" s="127" t="s">
        <v>4987</v>
      </c>
      <c r="J2136"/>
      <c r="K2136"/>
      <c r="L2136"/>
    </row>
    <row r="2137" spans="1:12">
      <c r="A2137" s="121" t="s">
        <v>1186</v>
      </c>
      <c r="B2137" s="117" t="s">
        <v>4828</v>
      </c>
      <c r="C2137" s="137"/>
      <c r="D2137" s="107" t="s">
        <v>4988</v>
      </c>
      <c r="E2137" s="123" t="s">
        <v>4989</v>
      </c>
      <c r="F2137" s="117"/>
      <c r="G2137" s="107" t="s">
        <v>1</v>
      </c>
      <c r="H2137" s="133">
        <v>46085</v>
      </c>
      <c r="I2137" s="128" t="s">
        <v>4990</v>
      </c>
      <c r="J2137" s="117"/>
      <c r="K2137" s="117"/>
      <c r="L2137" s="117"/>
    </row>
    <row r="2138" spans="1:12">
      <c r="A2138" s="94" t="s">
        <v>1186</v>
      </c>
      <c r="B2138" s="135" t="s">
        <v>4828</v>
      </c>
      <c r="C2138" s="122"/>
      <c r="D2138" s="107" t="s">
        <v>4991</v>
      </c>
      <c r="E2138" s="123" t="s">
        <v>4992</v>
      </c>
      <c r="F2138" s="117"/>
      <c r="G2138" s="107" t="s">
        <v>2</v>
      </c>
      <c r="H2138" s="133">
        <v>46085</v>
      </c>
      <c r="I2138" s="128" t="s">
        <v>4993</v>
      </c>
      <c r="J2138" s="117"/>
      <c r="K2138" s="117"/>
      <c r="L2138" s="117"/>
    </row>
    <row r="2139" spans="1:12">
      <c r="A2139" s="121" t="s">
        <v>1186</v>
      </c>
      <c r="B2139" s="135" t="s">
        <v>4828</v>
      </c>
      <c r="C2139" s="138"/>
      <c r="D2139" s="140" t="s">
        <v>4994</v>
      </c>
      <c r="E2139" s="142" t="s">
        <v>4995</v>
      </c>
      <c r="F2139" s="135"/>
      <c r="G2139" s="140" t="s">
        <v>1</v>
      </c>
      <c r="H2139" s="147">
        <v>46085</v>
      </c>
      <c r="I2139" s="149" t="s">
        <v>4996</v>
      </c>
      <c r="J2139" s="135"/>
      <c r="K2139" s="135"/>
      <c r="L2139" s="135"/>
    </row>
    <row r="2140" spans="1:12">
      <c r="A2140" s="121" t="s">
        <v>1186</v>
      </c>
      <c r="B2140" s="117" t="s">
        <v>4828</v>
      </c>
      <c r="C2140" s="122"/>
      <c r="D2140" s="107" t="s">
        <v>4997</v>
      </c>
      <c r="E2140" s="123" t="s">
        <v>4998</v>
      </c>
      <c r="F2140" s="117"/>
      <c r="G2140" s="107" t="s">
        <v>6</v>
      </c>
      <c r="H2140" s="133">
        <v>46085</v>
      </c>
      <c r="I2140" s="128" t="s">
        <v>4999</v>
      </c>
      <c r="J2140" s="117"/>
      <c r="K2140" s="117"/>
      <c r="L2140" s="117"/>
    </row>
    <row r="2141" spans="1:12">
      <c r="A2141" s="121" t="s">
        <v>1186</v>
      </c>
      <c r="B2141" s="117" t="s">
        <v>4828</v>
      </c>
      <c r="C2141" s="122"/>
      <c r="D2141" s="107" t="s">
        <v>5000</v>
      </c>
      <c r="E2141" s="123" t="s">
        <v>5001</v>
      </c>
      <c r="F2141" s="117"/>
      <c r="G2141" s="107" t="s">
        <v>1</v>
      </c>
      <c r="H2141" s="133">
        <v>46085</v>
      </c>
      <c r="I2141" s="128" t="s">
        <v>5002</v>
      </c>
      <c r="J2141" s="117"/>
      <c r="K2141" s="117"/>
      <c r="L2141" s="117"/>
    </row>
    <row r="2142" spans="1:12">
      <c r="A2142" s="121" t="s">
        <v>1186</v>
      </c>
      <c r="B2142" s="117" t="s">
        <v>4828</v>
      </c>
      <c r="C2142" s="122"/>
      <c r="D2142" s="107" t="s">
        <v>5003</v>
      </c>
      <c r="E2142" s="123" t="s">
        <v>5004</v>
      </c>
      <c r="F2142" s="117"/>
      <c r="G2142" s="107" t="s">
        <v>1</v>
      </c>
      <c r="H2142" s="133">
        <v>46085</v>
      </c>
      <c r="I2142" s="128" t="s">
        <v>5005</v>
      </c>
      <c r="J2142" s="117"/>
      <c r="K2142" s="117"/>
      <c r="L2142" s="117"/>
    </row>
    <row r="2143" spans="1:12">
      <c r="A2143" s="121" t="s">
        <v>1186</v>
      </c>
      <c r="B2143" s="117" t="s">
        <v>4828</v>
      </c>
      <c r="C2143" s="122"/>
      <c r="D2143" s="107" t="s">
        <v>5006</v>
      </c>
      <c r="E2143" s="123" t="s">
        <v>5007</v>
      </c>
      <c r="F2143" s="117"/>
      <c r="G2143" s="107" t="s">
        <v>1</v>
      </c>
      <c r="H2143" s="133">
        <v>46085</v>
      </c>
      <c r="I2143" s="128" t="s">
        <v>5008</v>
      </c>
      <c r="J2143" s="117"/>
      <c r="K2143" s="117"/>
      <c r="L2143" s="117"/>
    </row>
    <row r="2144" spans="1:12">
      <c r="A2144" s="121" t="s">
        <v>1186</v>
      </c>
      <c r="B2144" s="117" t="s">
        <v>4828</v>
      </c>
      <c r="C2144" s="122"/>
      <c r="D2144" s="107" t="s">
        <v>5009</v>
      </c>
      <c r="E2144" s="123" t="s">
        <v>5010</v>
      </c>
      <c r="F2144" s="117"/>
      <c r="G2144" s="107" t="s">
        <v>6</v>
      </c>
      <c r="H2144" s="133">
        <v>46085</v>
      </c>
      <c r="I2144" s="128" t="s">
        <v>5011</v>
      </c>
      <c r="J2144" s="117"/>
      <c r="K2144" s="117"/>
      <c r="L2144" s="117"/>
    </row>
    <row r="2145" spans="1:12">
      <c r="A2145" s="121" t="s">
        <v>1186</v>
      </c>
      <c r="B2145" s="117" t="s">
        <v>4828</v>
      </c>
      <c r="C2145" s="122"/>
      <c r="D2145" s="107" t="s">
        <v>5012</v>
      </c>
      <c r="E2145" s="123" t="s">
        <v>5013</v>
      </c>
      <c r="F2145" s="117"/>
      <c r="G2145" s="107" t="s">
        <v>6</v>
      </c>
      <c r="H2145" s="133">
        <v>46085</v>
      </c>
      <c r="I2145" s="128" t="s">
        <v>5014</v>
      </c>
      <c r="J2145" s="117"/>
      <c r="K2145" s="117"/>
      <c r="L2145" s="117"/>
    </row>
    <row r="2146" spans="1:12">
      <c r="A2146" s="121" t="s">
        <v>1186</v>
      </c>
      <c r="B2146" s="117" t="s">
        <v>4828</v>
      </c>
      <c r="C2146" s="122"/>
      <c r="D2146" s="107" t="s">
        <v>5015</v>
      </c>
      <c r="E2146" s="123" t="s">
        <v>5016</v>
      </c>
      <c r="F2146" s="117"/>
      <c r="G2146" s="107" t="s">
        <v>2</v>
      </c>
      <c r="H2146" s="133">
        <v>46085</v>
      </c>
      <c r="I2146" s="128" t="s">
        <v>5017</v>
      </c>
      <c r="J2146" s="117"/>
      <c r="K2146" s="117"/>
      <c r="L2146" s="117"/>
    </row>
    <row r="2147" spans="1:12">
      <c r="A2147" s="121" t="s">
        <v>1186</v>
      </c>
      <c r="B2147" s="117" t="s">
        <v>4828</v>
      </c>
      <c r="C2147" s="122"/>
      <c r="D2147" s="107" t="s">
        <v>5018</v>
      </c>
      <c r="E2147" s="123" t="s">
        <v>5019</v>
      </c>
      <c r="F2147" s="117"/>
      <c r="G2147" s="107" t="s">
        <v>1</v>
      </c>
      <c r="H2147" s="133">
        <v>46085</v>
      </c>
      <c r="I2147" s="128" t="s">
        <v>5020</v>
      </c>
      <c r="J2147" s="117"/>
      <c r="K2147" s="117"/>
      <c r="L2147" s="117"/>
    </row>
    <row r="2148" spans="1:12">
      <c r="A2148" s="121" t="s">
        <v>1186</v>
      </c>
      <c r="B2148" s="117" t="s">
        <v>4828</v>
      </c>
      <c r="C2148" s="122"/>
      <c r="D2148" s="107" t="s">
        <v>5021</v>
      </c>
      <c r="E2148" s="123" t="s">
        <v>5022</v>
      </c>
      <c r="F2148" s="117"/>
      <c r="G2148" s="107" t="s">
        <v>1</v>
      </c>
      <c r="H2148" s="133">
        <v>46085</v>
      </c>
      <c r="I2148" s="128" t="s">
        <v>5023</v>
      </c>
      <c r="J2148" s="117"/>
      <c r="K2148" s="117"/>
      <c r="L2148" s="117"/>
    </row>
    <row r="2149" spans="1:12">
      <c r="A2149" s="116" t="s">
        <v>1729</v>
      </c>
      <c r="B2149" s="117" t="s">
        <v>5024</v>
      </c>
      <c r="C2149" s="118" t="s">
        <v>1730</v>
      </c>
      <c r="D2149" s="119"/>
      <c r="E2149" s="120">
        <v>65373528</v>
      </c>
      <c r="F2149" s="117"/>
      <c r="G2149" s="107" t="s">
        <v>6</v>
      </c>
      <c r="H2149" s="133">
        <v>46085</v>
      </c>
      <c r="I2149" s="128">
        <v>0.39513888888888887</v>
      </c>
      <c r="J2149" s="117"/>
      <c r="K2149" s="117"/>
      <c r="L2149" s="117"/>
    </row>
    <row r="2150" spans="1:12">
      <c r="A2150" s="116" t="s">
        <v>1729</v>
      </c>
      <c r="B2150" s="117" t="s">
        <v>5024</v>
      </c>
      <c r="C2150" s="118" t="s">
        <v>1731</v>
      </c>
      <c r="D2150" s="119"/>
      <c r="E2150" s="120">
        <v>68325124</v>
      </c>
      <c r="F2150" s="117"/>
      <c r="G2150" s="107" t="s">
        <v>6</v>
      </c>
      <c r="H2150" s="133">
        <v>46085</v>
      </c>
      <c r="I2150" s="128">
        <v>0.39583333333333331</v>
      </c>
      <c r="J2150" s="117"/>
      <c r="K2150" s="117"/>
      <c r="L2150" s="117"/>
    </row>
    <row r="2151" spans="1:12">
      <c r="A2151" s="116" t="s">
        <v>1729</v>
      </c>
      <c r="B2151" s="117" t="s">
        <v>5024</v>
      </c>
      <c r="C2151" s="118" t="s">
        <v>1732</v>
      </c>
      <c r="D2151" s="119"/>
      <c r="E2151" s="120">
        <v>7309466</v>
      </c>
      <c r="F2151" s="144" t="s">
        <v>5025</v>
      </c>
      <c r="G2151" s="107" t="s">
        <v>7</v>
      </c>
      <c r="H2151" s="133">
        <v>46085</v>
      </c>
      <c r="I2151" s="128">
        <v>0.39861111111111114</v>
      </c>
      <c r="J2151" s="117"/>
      <c r="K2151" s="117"/>
      <c r="L2151" s="117" t="s">
        <v>5026</v>
      </c>
    </row>
    <row r="2152" spans="1:12">
      <c r="A2152" s="116" t="s">
        <v>1729</v>
      </c>
      <c r="B2152" s="117" t="s">
        <v>5024</v>
      </c>
      <c r="C2152" s="118" t="s">
        <v>1733</v>
      </c>
      <c r="D2152" s="119"/>
      <c r="E2152" s="120">
        <v>68870837</v>
      </c>
      <c r="F2152" s="117"/>
      <c r="G2152" s="107" t="s">
        <v>6</v>
      </c>
      <c r="H2152" s="133">
        <v>46085</v>
      </c>
      <c r="I2152" s="128">
        <v>0.40208333333333335</v>
      </c>
      <c r="J2152" s="117"/>
      <c r="K2152" s="117"/>
      <c r="L2152" s="117"/>
    </row>
    <row r="2153" spans="1:12">
      <c r="A2153" s="116" t="s">
        <v>1729</v>
      </c>
      <c r="B2153" s="117" t="s">
        <v>5024</v>
      </c>
      <c r="C2153" s="118" t="s">
        <v>1734</v>
      </c>
      <c r="D2153" s="119"/>
      <c r="E2153" s="120">
        <v>7303521</v>
      </c>
      <c r="F2153" s="117"/>
      <c r="G2153" s="107" t="s">
        <v>6</v>
      </c>
      <c r="H2153" s="133">
        <v>46085</v>
      </c>
      <c r="I2153" s="128">
        <v>0.40347222222222223</v>
      </c>
      <c r="J2153" s="117"/>
      <c r="K2153" s="117"/>
      <c r="L2153" s="117"/>
    </row>
    <row r="2154" spans="1:12">
      <c r="A2154" s="116" t="s">
        <v>1729</v>
      </c>
      <c r="B2154" s="117" t="s">
        <v>5024</v>
      </c>
      <c r="C2154" s="118" t="s">
        <v>1735</v>
      </c>
      <c r="D2154" s="119"/>
      <c r="E2154" s="120">
        <v>69804126</v>
      </c>
      <c r="F2154" s="117"/>
      <c r="G2154" s="107" t="s">
        <v>6</v>
      </c>
      <c r="H2154" s="133">
        <v>46085</v>
      </c>
      <c r="I2154" s="128">
        <v>0.40486111111111112</v>
      </c>
      <c r="J2154" s="117"/>
      <c r="K2154" s="117"/>
      <c r="L2154" s="117"/>
    </row>
    <row r="2155" spans="1:12">
      <c r="A2155" s="116" t="s">
        <v>1729</v>
      </c>
      <c r="B2155" s="117" t="s">
        <v>5024</v>
      </c>
      <c r="C2155" s="118" t="s">
        <v>1736</v>
      </c>
      <c r="D2155" s="119"/>
      <c r="E2155" s="120">
        <v>65418314</v>
      </c>
      <c r="F2155" s="117"/>
      <c r="G2155" s="107" t="s">
        <v>1</v>
      </c>
      <c r="H2155" s="133">
        <v>46085</v>
      </c>
      <c r="I2155" s="128">
        <v>0.40555555555555556</v>
      </c>
      <c r="J2155" s="117"/>
      <c r="K2155" s="117"/>
      <c r="L2155" s="117"/>
    </row>
    <row r="2156" spans="1:12">
      <c r="A2156" s="116" t="s">
        <v>1729</v>
      </c>
      <c r="B2156" s="117" t="s">
        <v>5024</v>
      </c>
      <c r="C2156" s="118" t="s">
        <v>1737</v>
      </c>
      <c r="D2156" s="119"/>
      <c r="E2156" s="120">
        <v>66573602</v>
      </c>
      <c r="F2156" s="144" t="s">
        <v>5027</v>
      </c>
      <c r="G2156" s="107" t="s">
        <v>1</v>
      </c>
      <c r="H2156" s="133">
        <v>46085</v>
      </c>
      <c r="I2156" s="128">
        <v>0.41388888888888886</v>
      </c>
      <c r="J2156" s="117"/>
      <c r="K2156" s="117"/>
      <c r="L2156" s="117"/>
    </row>
    <row r="2157" spans="1:12">
      <c r="A2157" s="116" t="s">
        <v>1729</v>
      </c>
      <c r="B2157" s="117" t="s">
        <v>5024</v>
      </c>
      <c r="C2157" s="118" t="s">
        <v>1738</v>
      </c>
      <c r="D2157" s="119"/>
      <c r="E2157" s="120">
        <v>61364315</v>
      </c>
      <c r="F2157" s="117"/>
      <c r="G2157" s="107" t="s">
        <v>4</v>
      </c>
      <c r="H2157" s="133">
        <v>46085</v>
      </c>
      <c r="I2157" s="128">
        <v>0.42083333333333334</v>
      </c>
      <c r="J2157" s="117"/>
      <c r="K2157" s="117"/>
      <c r="L2157" s="117" t="s">
        <v>3159</v>
      </c>
    </row>
    <row r="2158" spans="1:12">
      <c r="A2158" s="116" t="s">
        <v>1729</v>
      </c>
      <c r="B2158" s="117" t="s">
        <v>5024</v>
      </c>
      <c r="C2158" s="118" t="s">
        <v>1739</v>
      </c>
      <c r="D2158" s="119"/>
      <c r="E2158" s="120">
        <v>65064932</v>
      </c>
      <c r="F2158" s="117"/>
      <c r="G2158" s="107" t="s">
        <v>6</v>
      </c>
      <c r="H2158" s="133">
        <v>46085</v>
      </c>
      <c r="I2158" s="128">
        <v>0.42499999999999999</v>
      </c>
      <c r="J2158" s="117"/>
      <c r="K2158" s="117"/>
      <c r="L2158" s="117"/>
    </row>
    <row r="2159" spans="1:12">
      <c r="A2159" s="116" t="s">
        <v>1729</v>
      </c>
      <c r="B2159" s="117" t="s">
        <v>5024</v>
      </c>
      <c r="C2159" s="118" t="s">
        <v>1740</v>
      </c>
      <c r="D2159" s="119"/>
      <c r="E2159" s="120">
        <v>63264827</v>
      </c>
      <c r="F2159" s="144" t="s">
        <v>5028</v>
      </c>
      <c r="G2159" s="107" t="s">
        <v>7</v>
      </c>
      <c r="H2159" s="133">
        <v>46085</v>
      </c>
      <c r="I2159" s="128">
        <v>0.42638888888888887</v>
      </c>
      <c r="J2159" s="117"/>
      <c r="K2159" s="117"/>
      <c r="L2159" s="117"/>
    </row>
    <row r="2160" spans="1:12">
      <c r="A2160" s="116" t="s">
        <v>1729</v>
      </c>
      <c r="B2160" s="117" t="s">
        <v>5024</v>
      </c>
      <c r="C2160" s="118" t="s">
        <v>1741</v>
      </c>
      <c r="D2160" s="119"/>
      <c r="E2160" s="120">
        <v>63189695</v>
      </c>
      <c r="F2160" s="117"/>
      <c r="G2160" s="107" t="s">
        <v>6</v>
      </c>
      <c r="H2160" s="133">
        <v>46085</v>
      </c>
      <c r="I2160" s="128">
        <v>0.42638888888888887</v>
      </c>
      <c r="J2160" s="117"/>
      <c r="K2160" s="117"/>
      <c r="L2160" s="117"/>
    </row>
    <row r="2161" spans="1:12">
      <c r="A2161" s="116" t="s">
        <v>1729</v>
      </c>
      <c r="B2161" s="117" t="s">
        <v>5024</v>
      </c>
      <c r="C2161" s="118" t="s">
        <v>1742</v>
      </c>
      <c r="D2161" s="119"/>
      <c r="E2161" s="120">
        <v>65886096</v>
      </c>
      <c r="F2161" s="144" t="s">
        <v>5029</v>
      </c>
      <c r="G2161" s="107" t="s">
        <v>7</v>
      </c>
      <c r="H2161" s="133">
        <v>46085</v>
      </c>
      <c r="I2161" s="128">
        <v>0.42777777777777776</v>
      </c>
      <c r="J2161" s="117"/>
      <c r="K2161" s="117"/>
      <c r="L2161" s="117"/>
    </row>
    <row r="2162" spans="1:12">
      <c r="A2162" s="116" t="s">
        <v>1729</v>
      </c>
      <c r="B2162" s="117" t="s">
        <v>5024</v>
      </c>
      <c r="C2162" s="118" t="s">
        <v>1743</v>
      </c>
      <c r="D2162" s="119"/>
      <c r="E2162" s="120">
        <v>65564004</v>
      </c>
      <c r="F2162" s="117"/>
      <c r="G2162" s="107" t="s">
        <v>3</v>
      </c>
      <c r="H2162" s="133">
        <v>46085</v>
      </c>
      <c r="I2162" s="128">
        <v>0.45069444444444445</v>
      </c>
      <c r="J2162" s="117"/>
      <c r="K2162" s="117"/>
      <c r="L2162" s="117"/>
    </row>
    <row r="2163" spans="1:12">
      <c r="A2163" s="116" t="s">
        <v>1729</v>
      </c>
      <c r="B2163" s="117" t="s">
        <v>5024</v>
      </c>
      <c r="C2163" s="118" t="s">
        <v>1744</v>
      </c>
      <c r="D2163" s="119"/>
      <c r="E2163" s="120">
        <v>63753062</v>
      </c>
      <c r="F2163" s="117"/>
      <c r="G2163" s="107" t="s">
        <v>1</v>
      </c>
      <c r="H2163" s="133">
        <v>46085</v>
      </c>
      <c r="I2163" s="128">
        <v>0.45833333333333331</v>
      </c>
      <c r="J2163" s="117"/>
      <c r="K2163" s="117"/>
      <c r="L2163" s="117"/>
    </row>
    <row r="2164" spans="1:12">
      <c r="A2164" s="116" t="s">
        <v>1729</v>
      </c>
      <c r="B2164" s="117" t="s">
        <v>5024</v>
      </c>
      <c r="C2164" s="118" t="s">
        <v>1745</v>
      </c>
      <c r="D2164" s="119"/>
      <c r="E2164" s="120">
        <v>69298203</v>
      </c>
      <c r="F2164" s="117"/>
      <c r="G2164" s="107" t="s">
        <v>2</v>
      </c>
      <c r="H2164" s="133">
        <v>46085</v>
      </c>
      <c r="I2164" s="128">
        <v>0.46388888888888891</v>
      </c>
      <c r="J2164" s="117"/>
      <c r="K2164" s="117"/>
      <c r="L2164" s="117"/>
    </row>
    <row r="2165" spans="1:12">
      <c r="A2165" s="116" t="s">
        <v>1729</v>
      </c>
      <c r="B2165" s="117" t="s">
        <v>5024</v>
      </c>
      <c r="C2165" s="118" t="s">
        <v>1746</v>
      </c>
      <c r="D2165" s="119"/>
      <c r="E2165" s="120">
        <v>65824653</v>
      </c>
      <c r="F2165" s="117"/>
      <c r="G2165" s="107" t="s">
        <v>6</v>
      </c>
      <c r="H2165" s="133">
        <v>46085</v>
      </c>
      <c r="I2165" s="128">
        <v>0.47222222222222221</v>
      </c>
      <c r="J2165" s="117"/>
      <c r="K2165" s="117"/>
      <c r="L2165" s="117"/>
    </row>
    <row r="2166" spans="1:12">
      <c r="A2166" s="116" t="s">
        <v>1729</v>
      </c>
      <c r="B2166" s="117" t="s">
        <v>5024</v>
      </c>
      <c r="C2166" s="118" t="s">
        <v>1747</v>
      </c>
      <c r="D2166" s="119"/>
      <c r="E2166" s="120">
        <v>61692953</v>
      </c>
      <c r="F2166" s="117"/>
      <c r="G2166" s="107" t="s">
        <v>6</v>
      </c>
      <c r="H2166" s="133">
        <v>46085</v>
      </c>
      <c r="I2166" s="128">
        <v>0.47291666666666665</v>
      </c>
      <c r="J2166" s="117"/>
      <c r="K2166" s="117"/>
      <c r="L2166" s="117"/>
    </row>
    <row r="2167" spans="1:12">
      <c r="A2167" s="116" t="s">
        <v>1729</v>
      </c>
      <c r="B2167" s="117" t="s">
        <v>5024</v>
      </c>
      <c r="C2167" s="118" t="s">
        <v>1748</v>
      </c>
      <c r="D2167" s="119"/>
      <c r="E2167" s="120">
        <v>63827061</v>
      </c>
      <c r="F2167" s="117"/>
      <c r="G2167" s="107" t="s">
        <v>1</v>
      </c>
      <c r="H2167" s="133">
        <v>46085</v>
      </c>
      <c r="I2167" s="128">
        <v>0.47499999999999998</v>
      </c>
      <c r="J2167" s="117"/>
      <c r="K2167" s="117"/>
      <c r="L2167" s="117"/>
    </row>
    <row r="2168" spans="1:12">
      <c r="A2168" s="116" t="s">
        <v>1729</v>
      </c>
      <c r="B2168" s="117" t="s">
        <v>5024</v>
      </c>
      <c r="C2168" s="118" t="s">
        <v>1749</v>
      </c>
      <c r="D2168" s="119"/>
      <c r="E2168" s="120">
        <v>64478200</v>
      </c>
      <c r="F2168" s="117"/>
      <c r="G2168" s="107" t="s">
        <v>2</v>
      </c>
      <c r="H2168" s="133">
        <v>46085</v>
      </c>
      <c r="I2168" s="128">
        <v>0.47916666666666669</v>
      </c>
      <c r="J2168" s="117"/>
      <c r="K2168" s="117"/>
      <c r="L2168" s="117"/>
    </row>
    <row r="2169" spans="1:12">
      <c r="A2169" s="116" t="s">
        <v>1729</v>
      </c>
      <c r="B2169" s="117" t="s">
        <v>5024</v>
      </c>
      <c r="C2169" s="118" t="s">
        <v>1750</v>
      </c>
      <c r="D2169" s="119"/>
      <c r="E2169" s="120">
        <v>60603819</v>
      </c>
      <c r="F2169" s="117"/>
      <c r="G2169" s="107" t="s">
        <v>9</v>
      </c>
      <c r="H2169" s="133">
        <v>46085</v>
      </c>
      <c r="I2169" s="128">
        <v>0.48194444444444445</v>
      </c>
      <c r="J2169" s="117"/>
      <c r="K2169" s="117"/>
      <c r="L2169" s="117"/>
    </row>
    <row r="2170" spans="1:12">
      <c r="A2170" s="116" t="s">
        <v>1729</v>
      </c>
      <c r="B2170" s="117" t="s">
        <v>5024</v>
      </c>
      <c r="C2170" s="118" t="s">
        <v>1751</v>
      </c>
      <c r="D2170" s="119"/>
      <c r="E2170" s="120">
        <v>63990570</v>
      </c>
      <c r="F2170" s="117"/>
      <c r="G2170" s="107" t="s">
        <v>2</v>
      </c>
      <c r="H2170" s="133">
        <v>46085</v>
      </c>
      <c r="I2170" s="128">
        <v>0.5</v>
      </c>
      <c r="J2170" s="117"/>
      <c r="K2170" s="117"/>
      <c r="L2170" s="117"/>
    </row>
    <row r="2171" spans="1:12">
      <c r="A2171" s="116" t="s">
        <v>1729</v>
      </c>
      <c r="B2171" s="117" t="s">
        <v>5024</v>
      </c>
      <c r="C2171" s="118" t="s">
        <v>1752</v>
      </c>
      <c r="D2171" s="119"/>
      <c r="E2171" s="120">
        <v>69047666</v>
      </c>
      <c r="F2171" s="117"/>
      <c r="G2171" s="107" t="s">
        <v>6</v>
      </c>
      <c r="H2171" s="133">
        <v>46085</v>
      </c>
      <c r="I2171" s="128">
        <v>0.5083333333333333</v>
      </c>
      <c r="J2171" s="117"/>
      <c r="K2171" s="117"/>
      <c r="L2171" s="117"/>
    </row>
    <row r="2172" spans="1:12">
      <c r="A2172" s="116" t="s">
        <v>1729</v>
      </c>
      <c r="B2172" s="117" t="s">
        <v>5024</v>
      </c>
      <c r="C2172" s="118" t="s">
        <v>1753</v>
      </c>
      <c r="D2172" s="119"/>
      <c r="E2172" s="120">
        <v>66495186</v>
      </c>
      <c r="F2172" s="117"/>
      <c r="G2172" s="107" t="s">
        <v>6</v>
      </c>
      <c r="H2172" s="133">
        <v>46085</v>
      </c>
      <c r="I2172" s="128">
        <v>0.51041666666666663</v>
      </c>
      <c r="J2172" s="117"/>
      <c r="K2172" s="117"/>
      <c r="L2172" s="117"/>
    </row>
    <row r="2173" spans="1:12">
      <c r="A2173" s="116" t="s">
        <v>1729</v>
      </c>
      <c r="B2173" s="117" t="s">
        <v>5024</v>
      </c>
      <c r="C2173" s="118" t="s">
        <v>1754</v>
      </c>
      <c r="D2173" s="119"/>
      <c r="E2173" s="120">
        <v>67650056</v>
      </c>
      <c r="F2173" s="117"/>
      <c r="G2173" s="107" t="s">
        <v>8</v>
      </c>
      <c r="H2173" s="133">
        <v>46085</v>
      </c>
      <c r="I2173" s="128">
        <v>0.51180555555555551</v>
      </c>
      <c r="J2173" s="117"/>
      <c r="K2173" s="117"/>
      <c r="L2173" s="117"/>
    </row>
    <row r="2174" spans="1:12">
      <c r="A2174" s="116" t="s">
        <v>1729</v>
      </c>
      <c r="B2174" s="117" t="s">
        <v>5024</v>
      </c>
      <c r="C2174" s="118" t="s">
        <v>1755</v>
      </c>
      <c r="D2174" s="119"/>
      <c r="E2174" s="120">
        <v>68625593</v>
      </c>
      <c r="F2174" s="117"/>
      <c r="G2174" s="107" t="s">
        <v>6</v>
      </c>
      <c r="H2174" s="133">
        <v>46085</v>
      </c>
      <c r="I2174" s="128">
        <v>0.51249999999999996</v>
      </c>
      <c r="J2174" s="117"/>
      <c r="K2174" s="117"/>
      <c r="L2174" s="117"/>
    </row>
    <row r="2175" spans="1:12">
      <c r="A2175" s="116" t="s">
        <v>1729</v>
      </c>
      <c r="B2175" s="117" t="s">
        <v>5024</v>
      </c>
      <c r="C2175" s="118" t="s">
        <v>1756</v>
      </c>
      <c r="D2175" s="119"/>
      <c r="E2175" s="120">
        <v>66202890</v>
      </c>
      <c r="F2175" s="117"/>
      <c r="G2175" s="107" t="s">
        <v>1</v>
      </c>
      <c r="H2175" s="133">
        <v>46085</v>
      </c>
      <c r="I2175" s="128">
        <v>0.51249999999999996</v>
      </c>
      <c r="J2175" s="117"/>
      <c r="K2175" s="117"/>
      <c r="L2175" s="117"/>
    </row>
    <row r="2176" spans="1:12">
      <c r="A2176" s="116" t="s">
        <v>1729</v>
      </c>
      <c r="B2176" s="117" t="s">
        <v>5024</v>
      </c>
      <c r="C2176" s="118" t="s">
        <v>1757</v>
      </c>
      <c r="D2176" s="119"/>
      <c r="E2176" s="120">
        <v>67355371</v>
      </c>
      <c r="F2176" s="117"/>
      <c r="G2176" s="107" t="s">
        <v>2</v>
      </c>
      <c r="H2176" s="133">
        <v>46085</v>
      </c>
      <c r="I2176" s="128">
        <v>0.51458333333333328</v>
      </c>
      <c r="J2176" s="117"/>
      <c r="K2176" s="117"/>
      <c r="L2176" s="117"/>
    </row>
    <row r="2177" spans="1:12">
      <c r="A2177" s="116" t="s">
        <v>1729</v>
      </c>
      <c r="B2177" s="117" t="s">
        <v>5024</v>
      </c>
      <c r="C2177" s="118" t="s">
        <v>1758</v>
      </c>
      <c r="D2177" s="119"/>
      <c r="E2177" s="120">
        <v>7580885</v>
      </c>
      <c r="F2177" s="117"/>
      <c r="G2177" s="107" t="s">
        <v>9</v>
      </c>
      <c r="H2177" s="133">
        <v>46085</v>
      </c>
      <c r="I2177" s="128">
        <v>0.51458333333333328</v>
      </c>
      <c r="J2177" s="117"/>
      <c r="K2177" s="117"/>
      <c r="L2177" s="117"/>
    </row>
    <row r="2178" spans="1:12">
      <c r="A2178" s="116" t="s">
        <v>1729</v>
      </c>
      <c r="B2178" s="117" t="s">
        <v>5024</v>
      </c>
      <c r="C2178" s="118" t="s">
        <v>1759</v>
      </c>
      <c r="D2178" s="119"/>
      <c r="E2178" s="120">
        <v>68370119</v>
      </c>
      <c r="F2178" s="144" t="s">
        <v>5030</v>
      </c>
      <c r="G2178" s="107" t="s">
        <v>7</v>
      </c>
      <c r="H2178" s="133">
        <v>46085</v>
      </c>
      <c r="I2178" s="128">
        <v>0.51666666666666672</v>
      </c>
      <c r="J2178" s="117"/>
      <c r="K2178" s="117"/>
      <c r="L2178" s="117"/>
    </row>
    <row r="2179" spans="1:12">
      <c r="A2179" s="116" t="s">
        <v>1729</v>
      </c>
      <c r="B2179" s="117" t="s">
        <v>5024</v>
      </c>
      <c r="C2179" s="118" t="s">
        <v>1760</v>
      </c>
      <c r="D2179" s="119"/>
      <c r="E2179" s="120">
        <v>62985166</v>
      </c>
      <c r="F2179" s="117"/>
      <c r="G2179" s="107" t="s">
        <v>6</v>
      </c>
      <c r="H2179" s="133">
        <v>46085</v>
      </c>
      <c r="I2179" s="128">
        <v>0.51736111111111116</v>
      </c>
      <c r="J2179" s="117"/>
      <c r="K2179" s="117"/>
      <c r="L2179" s="117"/>
    </row>
    <row r="2180" spans="1:12">
      <c r="A2180" s="116" t="s">
        <v>1729</v>
      </c>
      <c r="B2180" s="117" t="s">
        <v>5024</v>
      </c>
      <c r="C2180" s="118" t="s">
        <v>1761</v>
      </c>
      <c r="D2180" s="119"/>
      <c r="E2180" s="120">
        <v>64647123</v>
      </c>
      <c r="F2180" s="117"/>
      <c r="G2180" s="107" t="s">
        <v>5</v>
      </c>
      <c r="H2180" s="133">
        <v>46085</v>
      </c>
      <c r="I2180" s="128">
        <v>0.52013888888888893</v>
      </c>
      <c r="J2180" s="117"/>
      <c r="K2180" s="117"/>
      <c r="L2180" s="117"/>
    </row>
    <row r="2181" spans="1:12">
      <c r="A2181" s="116" t="s">
        <v>1729</v>
      </c>
      <c r="B2181" s="117" t="s">
        <v>5024</v>
      </c>
      <c r="C2181" s="118" t="s">
        <v>1762</v>
      </c>
      <c r="D2181" s="119"/>
      <c r="E2181" s="120">
        <v>66224441</v>
      </c>
      <c r="F2181" s="117"/>
      <c r="G2181" s="107" t="s">
        <v>6</v>
      </c>
      <c r="H2181" s="133">
        <v>46085</v>
      </c>
      <c r="I2181" s="128">
        <v>0.52361111111111114</v>
      </c>
      <c r="J2181" s="117"/>
      <c r="K2181" s="117"/>
      <c r="L2181" s="117"/>
    </row>
    <row r="2182" spans="1:12">
      <c r="A2182" s="116" t="s">
        <v>1729</v>
      </c>
      <c r="B2182" s="117" t="s">
        <v>5024</v>
      </c>
      <c r="C2182" s="118" t="s">
        <v>1763</v>
      </c>
      <c r="D2182" s="119"/>
      <c r="E2182" s="120">
        <v>69381910</v>
      </c>
      <c r="F2182" s="117"/>
      <c r="G2182" s="107" t="s">
        <v>6</v>
      </c>
      <c r="H2182" s="133">
        <v>46085</v>
      </c>
      <c r="I2182" s="128">
        <v>0.52638888888888891</v>
      </c>
      <c r="J2182" s="117"/>
      <c r="K2182" s="117"/>
      <c r="L2182" s="117"/>
    </row>
    <row r="2183" spans="1:12">
      <c r="A2183" s="116" t="s">
        <v>1729</v>
      </c>
      <c r="B2183" s="117" t="s">
        <v>5024</v>
      </c>
      <c r="C2183" s="118" t="s">
        <v>1764</v>
      </c>
      <c r="D2183" s="119"/>
      <c r="E2183" s="120">
        <v>65887879</v>
      </c>
      <c r="F2183" s="117"/>
      <c r="G2183" s="107" t="s">
        <v>6</v>
      </c>
      <c r="H2183" s="133">
        <v>46085</v>
      </c>
      <c r="I2183" s="128">
        <v>0.52777777777777779</v>
      </c>
      <c r="J2183" s="117"/>
      <c r="K2183" s="117"/>
      <c r="L2183" s="117"/>
    </row>
    <row r="2184" spans="1:12">
      <c r="A2184" s="116" t="s">
        <v>1729</v>
      </c>
      <c r="B2184" s="117" t="s">
        <v>5024</v>
      </c>
      <c r="C2184" s="118" t="s">
        <v>1765</v>
      </c>
      <c r="D2184" s="119"/>
      <c r="E2184" s="120">
        <v>69777775</v>
      </c>
      <c r="F2184" s="117"/>
      <c r="G2184" s="107" t="s">
        <v>2</v>
      </c>
      <c r="H2184" s="133">
        <v>46085</v>
      </c>
      <c r="I2184" s="128">
        <v>0.52986111111111112</v>
      </c>
      <c r="J2184" s="117"/>
      <c r="K2184" s="117"/>
      <c r="L2184" s="117"/>
    </row>
    <row r="2185" spans="1:12">
      <c r="A2185" s="116" t="s">
        <v>1729</v>
      </c>
      <c r="B2185" s="117" t="s">
        <v>5024</v>
      </c>
      <c r="C2185" s="118" t="s">
        <v>1766</v>
      </c>
      <c r="D2185" s="119"/>
      <c r="E2185" s="120">
        <v>64377418</v>
      </c>
      <c r="F2185" s="117"/>
      <c r="G2185" s="107" t="s">
        <v>3</v>
      </c>
      <c r="H2185" s="133">
        <v>46085</v>
      </c>
      <c r="I2185" s="128">
        <v>0.53125</v>
      </c>
      <c r="J2185" s="117"/>
      <c r="K2185" s="117"/>
      <c r="L2185" s="117"/>
    </row>
    <row r="2186" spans="1:12">
      <c r="A2186" s="116" t="s">
        <v>1729</v>
      </c>
      <c r="B2186" s="117" t="s">
        <v>5024</v>
      </c>
      <c r="C2186" s="118" t="s">
        <v>1767</v>
      </c>
      <c r="D2186" s="119"/>
      <c r="E2186" s="120">
        <v>68286232</v>
      </c>
      <c r="F2186" s="117"/>
      <c r="G2186" s="107" t="s">
        <v>2</v>
      </c>
      <c r="H2186" s="133">
        <v>46085</v>
      </c>
      <c r="I2186" s="128">
        <v>0.53263888888888888</v>
      </c>
      <c r="J2186" s="117"/>
      <c r="K2186" s="117"/>
      <c r="L2186" s="117"/>
    </row>
    <row r="2187" spans="1:12">
      <c r="A2187" s="116" t="s">
        <v>1729</v>
      </c>
      <c r="B2187" s="117" t="s">
        <v>5024</v>
      </c>
      <c r="C2187" s="118" t="s">
        <v>1768</v>
      </c>
      <c r="D2187" s="119"/>
      <c r="E2187" s="120">
        <v>68411223</v>
      </c>
      <c r="F2187" s="117"/>
      <c r="G2187" s="107" t="s">
        <v>6</v>
      </c>
      <c r="H2187" s="133">
        <v>46085</v>
      </c>
      <c r="I2187" s="128">
        <v>0.53333333333333333</v>
      </c>
      <c r="J2187" s="117"/>
      <c r="K2187" s="117"/>
      <c r="L2187" s="117"/>
    </row>
    <row r="2188" spans="1:12">
      <c r="A2188" s="116" t="s">
        <v>1729</v>
      </c>
      <c r="B2188" s="117" t="s">
        <v>5024</v>
      </c>
      <c r="C2188" s="118" t="s">
        <v>1769</v>
      </c>
      <c r="D2188" s="119"/>
      <c r="E2188" s="120">
        <v>65617406</v>
      </c>
      <c r="F2188" s="117"/>
      <c r="G2188" s="107" t="s">
        <v>6</v>
      </c>
      <c r="H2188" s="133">
        <v>46085</v>
      </c>
      <c r="I2188" s="128">
        <v>0.53472222222222221</v>
      </c>
      <c r="J2188" s="117"/>
      <c r="K2188" s="117"/>
      <c r="L2188" s="117"/>
    </row>
    <row r="2189" spans="1:12">
      <c r="A2189" s="116" t="s">
        <v>1729</v>
      </c>
      <c r="B2189" s="117" t="s">
        <v>5024</v>
      </c>
      <c r="C2189" s="118" t="s">
        <v>1770</v>
      </c>
      <c r="D2189" s="119"/>
      <c r="E2189" s="120">
        <v>68769492</v>
      </c>
      <c r="F2189" s="117"/>
      <c r="G2189" s="107" t="s">
        <v>9</v>
      </c>
      <c r="H2189" s="133">
        <v>46085</v>
      </c>
      <c r="I2189" s="128">
        <v>0.53749999999999998</v>
      </c>
      <c r="J2189" s="117"/>
      <c r="K2189" s="117"/>
      <c r="L2189" s="117"/>
    </row>
    <row r="2190" spans="1:12">
      <c r="A2190" s="116" t="s">
        <v>1729</v>
      </c>
      <c r="B2190" s="117" t="s">
        <v>5024</v>
      </c>
      <c r="C2190" s="118" t="s">
        <v>1771</v>
      </c>
      <c r="D2190" s="119"/>
      <c r="E2190" s="120">
        <v>67311498</v>
      </c>
      <c r="F2190" s="117"/>
      <c r="G2190" s="107" t="s">
        <v>6</v>
      </c>
      <c r="H2190" s="133">
        <v>46085</v>
      </c>
      <c r="I2190" s="128">
        <v>0.61319444444444449</v>
      </c>
      <c r="J2190" s="117"/>
      <c r="K2190" s="117"/>
      <c r="L2190" s="117"/>
    </row>
    <row r="2191" spans="1:12">
      <c r="A2191" s="116" t="s">
        <v>1729</v>
      </c>
      <c r="B2191" s="117" t="s">
        <v>5024</v>
      </c>
      <c r="C2191" s="118" t="s">
        <v>1772</v>
      </c>
      <c r="D2191" s="119"/>
      <c r="E2191" s="120">
        <v>62837363</v>
      </c>
      <c r="F2191" s="117"/>
      <c r="G2191" s="107" t="s">
        <v>2</v>
      </c>
      <c r="H2191" s="133">
        <v>46085</v>
      </c>
      <c r="I2191" s="128">
        <v>0.61319444444444449</v>
      </c>
      <c r="J2191" s="117"/>
      <c r="K2191" s="117"/>
      <c r="L2191" s="117"/>
    </row>
    <row r="2192" spans="1:12">
      <c r="A2192" s="116" t="s">
        <v>1729</v>
      </c>
      <c r="B2192" s="117" t="s">
        <v>5024</v>
      </c>
      <c r="C2192" s="118" t="s">
        <v>1773</v>
      </c>
      <c r="D2192" s="119"/>
      <c r="E2192" s="120">
        <v>62410510</v>
      </c>
      <c r="F2192" s="117"/>
      <c r="G2192" s="107" t="s">
        <v>6</v>
      </c>
      <c r="H2192" s="133">
        <v>46085</v>
      </c>
      <c r="I2192" s="128">
        <v>0.61458333333333337</v>
      </c>
      <c r="J2192" s="117"/>
      <c r="K2192" s="117"/>
      <c r="L2192" s="117"/>
    </row>
    <row r="2193" spans="1:12">
      <c r="A2193" s="116" t="s">
        <v>1729</v>
      </c>
      <c r="B2193" s="117" t="s">
        <v>5024</v>
      </c>
      <c r="C2193" s="118" t="s">
        <v>1774</v>
      </c>
      <c r="D2193" s="119"/>
      <c r="E2193" s="120">
        <v>62443832</v>
      </c>
      <c r="F2193" s="117"/>
      <c r="G2193" s="107" t="s">
        <v>2</v>
      </c>
      <c r="H2193" s="133">
        <v>46085</v>
      </c>
      <c r="I2193" s="128">
        <v>0.61458333333333337</v>
      </c>
      <c r="J2193" s="117"/>
      <c r="K2193" s="117"/>
      <c r="L2193" s="117"/>
    </row>
    <row r="2194" spans="1:12">
      <c r="A2194" s="116" t="s">
        <v>1729</v>
      </c>
      <c r="B2194" s="117" t="s">
        <v>5024</v>
      </c>
      <c r="C2194" s="118" t="s">
        <v>1775</v>
      </c>
      <c r="D2194" s="119"/>
      <c r="E2194" s="120">
        <v>66267925</v>
      </c>
      <c r="F2194" s="117"/>
      <c r="G2194" s="107" t="s">
        <v>6</v>
      </c>
      <c r="H2194" s="133">
        <v>46085</v>
      </c>
      <c r="I2194" s="128">
        <v>0.61458333333333337</v>
      </c>
      <c r="J2194" s="117"/>
      <c r="K2194" s="117"/>
      <c r="L2194" s="117"/>
    </row>
    <row r="2195" spans="1:12">
      <c r="A2195" s="116" t="s">
        <v>1729</v>
      </c>
      <c r="B2195" s="117" t="s">
        <v>5024</v>
      </c>
      <c r="C2195" s="118" t="s">
        <v>1776</v>
      </c>
      <c r="D2195" s="119"/>
      <c r="E2195" s="120">
        <v>63510457</v>
      </c>
      <c r="F2195" s="117"/>
      <c r="G2195" s="107" t="s">
        <v>6</v>
      </c>
      <c r="H2195" s="133">
        <v>46085</v>
      </c>
      <c r="I2195" s="128">
        <v>0.61527777777777781</v>
      </c>
      <c r="J2195" s="117"/>
      <c r="K2195" s="117"/>
      <c r="L2195" s="117"/>
    </row>
    <row r="2196" spans="1:12">
      <c r="A2196" s="116" t="s">
        <v>1729</v>
      </c>
      <c r="B2196" s="117" t="s">
        <v>5024</v>
      </c>
      <c r="C2196" s="118" t="s">
        <v>1777</v>
      </c>
      <c r="D2196" s="119"/>
      <c r="E2196" s="120">
        <v>63708603</v>
      </c>
      <c r="F2196" s="117"/>
      <c r="G2196" s="107" t="s">
        <v>2</v>
      </c>
      <c r="H2196" s="133">
        <v>46085</v>
      </c>
      <c r="I2196" s="128">
        <v>0.61736111111111114</v>
      </c>
      <c r="J2196" s="117"/>
      <c r="K2196" s="117"/>
      <c r="L2196" s="117"/>
    </row>
    <row r="2197" spans="1:12">
      <c r="A2197" s="116" t="s">
        <v>1729</v>
      </c>
      <c r="B2197" s="117" t="s">
        <v>5024</v>
      </c>
      <c r="C2197" s="118" t="s">
        <v>1778</v>
      </c>
      <c r="D2197" s="119"/>
      <c r="E2197" s="120">
        <v>68949786</v>
      </c>
      <c r="F2197" s="117"/>
      <c r="G2197" s="107" t="s">
        <v>2</v>
      </c>
      <c r="H2197" s="133">
        <v>46085</v>
      </c>
      <c r="I2197" s="128">
        <v>0.61805555555555558</v>
      </c>
      <c r="J2197" s="117"/>
      <c r="K2197" s="117"/>
      <c r="L2197" s="117"/>
    </row>
    <row r="2198" spans="1:12">
      <c r="A2198" s="116" t="s">
        <v>1729</v>
      </c>
      <c r="B2198" s="117" t="s">
        <v>5024</v>
      </c>
      <c r="C2198" s="118" t="s">
        <v>1779</v>
      </c>
      <c r="D2198" s="119"/>
      <c r="E2198" s="120">
        <v>65944631</v>
      </c>
      <c r="F2198" s="117"/>
      <c r="G2198" s="107" t="s">
        <v>6</v>
      </c>
      <c r="H2198" s="133">
        <v>46085</v>
      </c>
      <c r="I2198" s="128">
        <v>0.62638888888888888</v>
      </c>
      <c r="J2198" s="117"/>
      <c r="K2198" s="117"/>
      <c r="L2198" s="117"/>
    </row>
    <row r="2199" spans="1:12">
      <c r="A2199" s="116" t="s">
        <v>1729</v>
      </c>
      <c r="B2199" s="117" t="s">
        <v>5024</v>
      </c>
      <c r="C2199" s="118" t="s">
        <v>1780</v>
      </c>
      <c r="D2199" s="119"/>
      <c r="E2199" s="120">
        <v>66267382</v>
      </c>
      <c r="F2199" s="117"/>
      <c r="G2199" s="107" t="s">
        <v>6</v>
      </c>
      <c r="H2199" s="133">
        <v>46085</v>
      </c>
      <c r="I2199" s="128">
        <v>0.62708333333333333</v>
      </c>
      <c r="J2199" s="117"/>
      <c r="K2199" s="117"/>
      <c r="L2199" s="117"/>
    </row>
    <row r="2200" spans="1:12">
      <c r="A2200" s="116" t="s">
        <v>1729</v>
      </c>
      <c r="B2200" s="117" t="s">
        <v>5024</v>
      </c>
      <c r="C2200" s="118" t="s">
        <v>1781</v>
      </c>
      <c r="D2200" s="119"/>
      <c r="E2200" s="120">
        <v>66065104</v>
      </c>
      <c r="F2200" s="117"/>
      <c r="G2200" s="107" t="s">
        <v>9</v>
      </c>
      <c r="H2200" s="133">
        <v>46085</v>
      </c>
      <c r="I2200" s="128">
        <v>0.63124999999999998</v>
      </c>
      <c r="J2200" s="117"/>
      <c r="K2200" s="117"/>
      <c r="L2200" s="117"/>
    </row>
    <row r="2201" spans="1:12">
      <c r="A2201" s="116" t="s">
        <v>1729</v>
      </c>
      <c r="B2201" s="117" t="s">
        <v>5024</v>
      </c>
      <c r="C2201" s="118" t="s">
        <v>1782</v>
      </c>
      <c r="D2201" s="119"/>
      <c r="E2201" s="120">
        <v>63409485</v>
      </c>
      <c r="F2201" s="117"/>
      <c r="G2201" s="107" t="s">
        <v>9</v>
      </c>
      <c r="H2201" s="133">
        <v>46085</v>
      </c>
      <c r="I2201" s="128">
        <v>0.63124999999999998</v>
      </c>
      <c r="J2201" s="117"/>
      <c r="K2201" s="117"/>
      <c r="L2201" s="117"/>
    </row>
    <row r="2202" spans="1:12">
      <c r="A2202" s="116" t="s">
        <v>1729</v>
      </c>
      <c r="B2202" s="117" t="s">
        <v>5024</v>
      </c>
      <c r="C2202" s="118" t="s">
        <v>1783</v>
      </c>
      <c r="D2202" s="119"/>
      <c r="E2202" s="120">
        <v>6859388</v>
      </c>
      <c r="F2202" s="117"/>
      <c r="G2202" s="107" t="s">
        <v>4</v>
      </c>
      <c r="H2202" s="133">
        <v>46085</v>
      </c>
      <c r="I2202" s="128">
        <v>0.63194444444444442</v>
      </c>
      <c r="J2202" s="117"/>
      <c r="K2202" s="117"/>
      <c r="L2202" s="117" t="s">
        <v>3159</v>
      </c>
    </row>
    <row r="2203" spans="1:12">
      <c r="A2203" s="116" t="s">
        <v>1729</v>
      </c>
      <c r="B2203" s="117" t="s">
        <v>5024</v>
      </c>
      <c r="C2203" s="118" t="s">
        <v>1784</v>
      </c>
      <c r="D2203" s="119"/>
      <c r="E2203" s="120">
        <v>64116016</v>
      </c>
      <c r="F2203" s="117"/>
      <c r="G2203" s="107" t="s">
        <v>8</v>
      </c>
      <c r="H2203" s="133">
        <v>46085</v>
      </c>
      <c r="I2203" s="128">
        <v>0.63194444444444442</v>
      </c>
      <c r="J2203" s="117"/>
      <c r="K2203" s="117"/>
      <c r="L2203" s="117"/>
    </row>
    <row r="2204" spans="1:12">
      <c r="A2204" s="116" t="s">
        <v>1729</v>
      </c>
      <c r="B2204" s="117" t="s">
        <v>5024</v>
      </c>
      <c r="C2204" s="118" t="s">
        <v>1785</v>
      </c>
      <c r="D2204" s="119"/>
      <c r="E2204" s="120">
        <v>66410171</v>
      </c>
      <c r="F2204" s="117"/>
      <c r="G2204" s="107" t="s">
        <v>6</v>
      </c>
      <c r="H2204" s="133">
        <v>46085</v>
      </c>
      <c r="I2204" s="128">
        <v>0.63402777777777775</v>
      </c>
      <c r="J2204" s="117"/>
      <c r="K2204" s="117"/>
      <c r="L2204" s="117"/>
    </row>
    <row r="2205" spans="1:12">
      <c r="A2205" s="116" t="s">
        <v>1729</v>
      </c>
      <c r="B2205" s="117" t="s">
        <v>5024</v>
      </c>
      <c r="C2205" s="118" t="s">
        <v>1786</v>
      </c>
      <c r="D2205" s="119"/>
      <c r="E2205" s="120">
        <v>67361399</v>
      </c>
      <c r="F2205" s="117"/>
      <c r="G2205" s="107" t="s">
        <v>2</v>
      </c>
      <c r="H2205" s="133">
        <v>46086</v>
      </c>
      <c r="I2205" s="128">
        <v>0.42083333333333334</v>
      </c>
      <c r="J2205" s="117"/>
      <c r="K2205" s="117"/>
      <c r="L2205" s="117"/>
    </row>
    <row r="2206" spans="1:12">
      <c r="A2206" s="116" t="s">
        <v>1729</v>
      </c>
      <c r="B2206" s="117" t="s">
        <v>5024</v>
      </c>
      <c r="C2206" s="118" t="s">
        <v>1787</v>
      </c>
      <c r="D2206" s="119"/>
      <c r="E2206" s="120">
        <v>65967995</v>
      </c>
      <c r="F2206" s="117"/>
      <c r="G2206" s="107" t="s">
        <v>6</v>
      </c>
      <c r="H2206" s="133">
        <v>46086</v>
      </c>
      <c r="I2206" s="128">
        <v>0.42083333333333334</v>
      </c>
      <c r="J2206" s="117"/>
      <c r="K2206" s="117"/>
      <c r="L2206" s="117"/>
    </row>
    <row r="2207" spans="1:12">
      <c r="A2207" s="116" t="s">
        <v>1729</v>
      </c>
      <c r="B2207" s="117" t="s">
        <v>5024</v>
      </c>
      <c r="C2207" s="118" t="s">
        <v>1788</v>
      </c>
      <c r="D2207" s="119"/>
      <c r="E2207" s="120">
        <v>65180079</v>
      </c>
      <c r="F2207" s="117"/>
      <c r="G2207" s="107" t="s">
        <v>2</v>
      </c>
      <c r="H2207" s="133">
        <v>46086</v>
      </c>
      <c r="I2207" s="128">
        <v>0.42152777777777778</v>
      </c>
      <c r="J2207" s="117"/>
      <c r="K2207" s="117"/>
      <c r="L2207" s="117"/>
    </row>
    <row r="2208" spans="1:12">
      <c r="A2208" s="116" t="s">
        <v>1729</v>
      </c>
      <c r="B2208" s="117" t="s">
        <v>5024</v>
      </c>
      <c r="C2208" s="118" t="s">
        <v>1789</v>
      </c>
      <c r="D2208" s="119"/>
      <c r="E2208" s="120">
        <v>64494911</v>
      </c>
      <c r="F2208" s="117"/>
      <c r="G2208" s="107" t="s">
        <v>2</v>
      </c>
      <c r="H2208" s="133">
        <v>46086</v>
      </c>
      <c r="I2208" s="128">
        <v>0.42152777777777778</v>
      </c>
      <c r="J2208" s="117"/>
      <c r="K2208" s="117"/>
      <c r="L2208" s="117"/>
    </row>
    <row r="2209" spans="1:12">
      <c r="A2209" s="116" t="s">
        <v>1729</v>
      </c>
      <c r="B2209" s="117" t="s">
        <v>5024</v>
      </c>
      <c r="C2209" s="118" t="s">
        <v>1790</v>
      </c>
      <c r="D2209" s="119"/>
      <c r="E2209" s="120">
        <v>65340102</v>
      </c>
      <c r="F2209" s="117"/>
      <c r="G2209" s="107" t="s">
        <v>6</v>
      </c>
      <c r="H2209" s="133">
        <v>46086</v>
      </c>
      <c r="I2209" s="128">
        <v>0.42222222222222222</v>
      </c>
      <c r="J2209" s="117"/>
      <c r="K2209" s="117"/>
      <c r="L2209" s="117"/>
    </row>
    <row r="2210" spans="1:12">
      <c r="A2210" s="116" t="s">
        <v>1729</v>
      </c>
      <c r="B2210" s="117" t="s">
        <v>5024</v>
      </c>
      <c r="C2210" s="118" t="s">
        <v>1791</v>
      </c>
      <c r="D2210" s="119"/>
      <c r="E2210" s="120">
        <v>62238499</v>
      </c>
      <c r="F2210" s="117"/>
      <c r="G2210" s="107" t="s">
        <v>2</v>
      </c>
      <c r="H2210" s="133">
        <v>46086</v>
      </c>
      <c r="I2210" s="128">
        <v>0.4236111111111111</v>
      </c>
      <c r="J2210" s="117"/>
      <c r="K2210" s="117"/>
      <c r="L2210" s="117"/>
    </row>
    <row r="2211" spans="1:12">
      <c r="A2211" s="116" t="s">
        <v>1729</v>
      </c>
      <c r="B2211" s="117" t="s">
        <v>5024</v>
      </c>
      <c r="C2211" s="118" t="s">
        <v>1792</v>
      </c>
      <c r="D2211" s="119"/>
      <c r="E2211" s="120">
        <v>63402950</v>
      </c>
      <c r="F2211" s="117"/>
      <c r="G2211" s="107" t="s">
        <v>8</v>
      </c>
      <c r="H2211" s="133">
        <v>46086</v>
      </c>
      <c r="I2211" s="128">
        <v>0.4236111111111111</v>
      </c>
      <c r="J2211" s="117"/>
      <c r="K2211" s="117"/>
      <c r="L2211" s="117"/>
    </row>
    <row r="2212" spans="1:12">
      <c r="A2212" s="116" t="s">
        <v>1729</v>
      </c>
      <c r="B2212" s="117" t="s">
        <v>5024</v>
      </c>
      <c r="C2212" s="118" t="s">
        <v>1793</v>
      </c>
      <c r="D2212" s="119"/>
      <c r="E2212" s="120">
        <v>65410341</v>
      </c>
      <c r="F2212" s="117"/>
      <c r="G2212" s="107" t="s">
        <v>4</v>
      </c>
      <c r="H2212" s="133">
        <v>46086</v>
      </c>
      <c r="I2212" s="128">
        <v>0.42986111111111114</v>
      </c>
      <c r="J2212" s="117"/>
      <c r="K2212" s="117"/>
      <c r="L2212" s="117"/>
    </row>
    <row r="2213" spans="1:12">
      <c r="A2213" s="116" t="s">
        <v>1729</v>
      </c>
      <c r="B2213" s="117" t="s">
        <v>5024</v>
      </c>
      <c r="C2213" s="118" t="s">
        <v>1794</v>
      </c>
      <c r="D2213" s="119" t="s">
        <v>5031</v>
      </c>
      <c r="E2213" s="120">
        <v>66768475</v>
      </c>
      <c r="F2213" s="144" t="s">
        <v>5032</v>
      </c>
      <c r="G2213" s="107" t="s">
        <v>1</v>
      </c>
      <c r="H2213" s="133">
        <v>46086</v>
      </c>
      <c r="I2213" s="128">
        <v>0.43055555555555558</v>
      </c>
      <c r="J2213" s="117"/>
      <c r="K2213" s="117"/>
      <c r="L2213" s="117" t="s">
        <v>5026</v>
      </c>
    </row>
    <row r="2214" spans="1:12">
      <c r="A2214" s="116" t="s">
        <v>1729</v>
      </c>
      <c r="B2214" s="117" t="s">
        <v>5024</v>
      </c>
      <c r="C2214" s="118" t="s">
        <v>1795</v>
      </c>
      <c r="D2214" s="119"/>
      <c r="E2214" s="120">
        <v>63902040</v>
      </c>
      <c r="F2214" s="117"/>
      <c r="G2214" s="107" t="s">
        <v>2</v>
      </c>
      <c r="H2214" s="133">
        <v>46086</v>
      </c>
      <c r="I2214" s="128">
        <v>0.43888888888888888</v>
      </c>
      <c r="J2214" s="117"/>
      <c r="K2214" s="117"/>
      <c r="L2214" s="117"/>
    </row>
    <row r="2215" spans="1:12">
      <c r="A2215" s="116" t="s">
        <v>1729</v>
      </c>
      <c r="B2215" s="117" t="s">
        <v>5024</v>
      </c>
      <c r="C2215" s="118" t="s">
        <v>1796</v>
      </c>
      <c r="D2215" s="119" t="s">
        <v>5033</v>
      </c>
      <c r="E2215" s="120">
        <v>66529750</v>
      </c>
      <c r="F2215" s="144" t="s">
        <v>5034</v>
      </c>
      <c r="G2215" s="107" t="s">
        <v>1</v>
      </c>
      <c r="H2215" s="133">
        <v>46086</v>
      </c>
      <c r="I2215" s="128">
        <v>0.43888888888888888</v>
      </c>
      <c r="J2215" s="117"/>
      <c r="K2215" s="117"/>
      <c r="L2215" s="117"/>
    </row>
    <row r="2216" spans="1:12">
      <c r="A2216" s="116" t="s">
        <v>1729</v>
      </c>
      <c r="B2216" s="117" t="s">
        <v>5024</v>
      </c>
      <c r="C2216" s="118" t="s">
        <v>1797</v>
      </c>
      <c r="D2216" s="119" t="s">
        <v>5035</v>
      </c>
      <c r="E2216" s="120">
        <v>64101659</v>
      </c>
      <c r="F2216" s="117"/>
      <c r="G2216" s="107" t="s">
        <v>8</v>
      </c>
      <c r="H2216" s="133">
        <v>46086</v>
      </c>
      <c r="I2216" s="128">
        <v>0.44930555555555557</v>
      </c>
      <c r="J2216" s="117"/>
      <c r="K2216" s="117"/>
      <c r="L2216" s="117"/>
    </row>
    <row r="2217" spans="1:12">
      <c r="A2217" s="116" t="s">
        <v>1729</v>
      </c>
      <c r="B2217" s="117" t="s">
        <v>5024</v>
      </c>
      <c r="C2217" s="118" t="s">
        <v>1798</v>
      </c>
      <c r="D2217" s="119"/>
      <c r="E2217" s="120">
        <v>7758810</v>
      </c>
      <c r="F2217" s="117"/>
      <c r="G2217" s="107" t="s">
        <v>9</v>
      </c>
      <c r="H2217" s="133">
        <v>46086</v>
      </c>
      <c r="I2217" s="128">
        <v>0.45069444444444445</v>
      </c>
      <c r="J2217" s="117"/>
      <c r="K2217" s="117"/>
      <c r="L2217" s="117"/>
    </row>
    <row r="2218" spans="1:12">
      <c r="A2218" s="116" t="s">
        <v>1729</v>
      </c>
      <c r="B2218" s="117" t="s">
        <v>5024</v>
      </c>
      <c r="C2218" s="118" t="s">
        <v>1799</v>
      </c>
      <c r="D2218" s="119"/>
      <c r="E2218" s="120">
        <v>7212522</v>
      </c>
      <c r="F2218" s="117"/>
      <c r="G2218" s="107" t="s">
        <v>9</v>
      </c>
      <c r="H2218" s="133">
        <v>46086</v>
      </c>
      <c r="I2218" s="128">
        <v>0.52847222222222223</v>
      </c>
      <c r="J2218" s="117"/>
      <c r="K2218" s="117"/>
      <c r="L2218" s="117"/>
    </row>
    <row r="2219" spans="1:12">
      <c r="A2219" s="116" t="s">
        <v>1729</v>
      </c>
      <c r="B2219" s="117" t="s">
        <v>5024</v>
      </c>
      <c r="C2219" s="118" t="s">
        <v>1800</v>
      </c>
      <c r="D2219" s="119"/>
      <c r="E2219" s="120">
        <v>66445572</v>
      </c>
      <c r="F2219" s="117"/>
      <c r="G2219" s="107" t="s">
        <v>2</v>
      </c>
      <c r="H2219" s="133">
        <v>46086</v>
      </c>
      <c r="I2219" s="128">
        <v>0.52847222222222223</v>
      </c>
      <c r="J2219" s="117"/>
      <c r="K2219" s="117"/>
      <c r="L2219" s="117"/>
    </row>
    <row r="2220" spans="1:12">
      <c r="A2220" s="116" t="s">
        <v>1729</v>
      </c>
      <c r="B2220" s="117" t="s">
        <v>5024</v>
      </c>
      <c r="C2220" s="118" t="s">
        <v>1801</v>
      </c>
      <c r="D2220" s="119" t="s">
        <v>5036</v>
      </c>
      <c r="E2220" s="120">
        <v>65710511</v>
      </c>
      <c r="F2220" s="117"/>
      <c r="G2220" s="107" t="s">
        <v>1</v>
      </c>
      <c r="H2220" s="133">
        <v>46086</v>
      </c>
      <c r="I2220" s="128">
        <v>0.52847222222222223</v>
      </c>
      <c r="J2220" s="117"/>
      <c r="K2220" s="117"/>
      <c r="L2220" s="117"/>
    </row>
    <row r="2221" spans="1:12">
      <c r="A2221" s="116" t="s">
        <v>1729</v>
      </c>
      <c r="B2221" s="117" t="s">
        <v>5024</v>
      </c>
      <c r="C2221" s="118" t="s">
        <v>1802</v>
      </c>
      <c r="D2221" s="119"/>
      <c r="E2221" s="120">
        <v>63626578</v>
      </c>
      <c r="F2221" s="117"/>
      <c r="G2221" s="107" t="s">
        <v>6</v>
      </c>
      <c r="H2221" s="133">
        <v>46086</v>
      </c>
      <c r="I2221" s="128">
        <v>0.53055555555555556</v>
      </c>
      <c r="J2221" s="117"/>
      <c r="K2221" s="117"/>
      <c r="L2221" s="117"/>
    </row>
    <row r="2222" spans="1:12">
      <c r="A2222" s="116" t="s">
        <v>1729</v>
      </c>
      <c r="B2222" s="117" t="s">
        <v>5024</v>
      </c>
      <c r="C2222" s="118" t="s">
        <v>1803</v>
      </c>
      <c r="D2222" s="119"/>
      <c r="E2222" s="120">
        <v>67223045</v>
      </c>
      <c r="F2222" s="117"/>
      <c r="G2222" s="107" t="s">
        <v>3</v>
      </c>
      <c r="H2222" s="133">
        <v>46086</v>
      </c>
      <c r="I2222" s="128">
        <v>0.53125</v>
      </c>
      <c r="J2222" s="117"/>
      <c r="K2222" s="117"/>
      <c r="L2222" s="117"/>
    </row>
    <row r="2223" spans="1:12">
      <c r="A2223" s="116" t="s">
        <v>1729</v>
      </c>
      <c r="B2223" s="117" t="s">
        <v>5024</v>
      </c>
      <c r="C2223" s="118" t="s">
        <v>1804</v>
      </c>
      <c r="D2223" s="119"/>
      <c r="E2223" s="120">
        <v>62366707</v>
      </c>
      <c r="F2223" s="117"/>
      <c r="G2223" s="107" t="s">
        <v>8</v>
      </c>
      <c r="H2223" s="133">
        <v>46086</v>
      </c>
      <c r="I2223" s="128">
        <v>0.53194444444444444</v>
      </c>
      <c r="J2223" s="117"/>
      <c r="K2223" s="117"/>
      <c r="L2223" s="117"/>
    </row>
    <row r="2224" spans="1:12">
      <c r="A2224" s="116" t="s">
        <v>1729</v>
      </c>
      <c r="B2224" s="117" t="s">
        <v>5024</v>
      </c>
      <c r="C2224" s="118" t="s">
        <v>1805</v>
      </c>
      <c r="D2224" s="119"/>
      <c r="E2224" s="120">
        <v>64819441</v>
      </c>
      <c r="F2224" s="117"/>
      <c r="G2224" s="107" t="s">
        <v>9</v>
      </c>
      <c r="H2224" s="133">
        <v>46086</v>
      </c>
      <c r="I2224" s="128">
        <v>0.56805555555555554</v>
      </c>
      <c r="J2224" s="117"/>
      <c r="K2224" s="117"/>
      <c r="L2224" s="117"/>
    </row>
    <row r="2225" spans="1:12">
      <c r="A2225" s="116" t="s">
        <v>1729</v>
      </c>
      <c r="B2225" s="117" t="s">
        <v>5024</v>
      </c>
      <c r="C2225" s="118" t="s">
        <v>1806</v>
      </c>
      <c r="D2225" s="119"/>
      <c r="E2225" s="120">
        <v>68473225</v>
      </c>
      <c r="F2225" s="117"/>
      <c r="G2225" s="107" t="s">
        <v>9</v>
      </c>
      <c r="H2225" s="133">
        <v>46086</v>
      </c>
      <c r="I2225" s="128">
        <v>0.56874999999999998</v>
      </c>
      <c r="J2225" s="117"/>
      <c r="K2225" s="117"/>
      <c r="L2225" s="117"/>
    </row>
    <row r="2226" spans="1:12">
      <c r="A2226" s="116" t="s">
        <v>1729</v>
      </c>
      <c r="B2226" s="117" t="s">
        <v>5024</v>
      </c>
      <c r="C2226" s="118" t="s">
        <v>1807</v>
      </c>
      <c r="D2226" s="119" t="s">
        <v>5037</v>
      </c>
      <c r="E2226" s="120">
        <v>66360991</v>
      </c>
      <c r="F2226" s="117"/>
      <c r="G2226" s="107" t="s">
        <v>3</v>
      </c>
      <c r="H2226" s="133">
        <v>46086</v>
      </c>
      <c r="I2226" s="128">
        <v>0.56944444444444442</v>
      </c>
      <c r="J2226" s="117"/>
      <c r="K2226" s="117"/>
      <c r="L2226" s="117"/>
    </row>
    <row r="2227" spans="1:12">
      <c r="A2227" s="95" t="s">
        <v>1729</v>
      </c>
      <c r="B2227" t="s">
        <v>5024</v>
      </c>
      <c r="C2227" s="87" t="s">
        <v>1808</v>
      </c>
      <c r="D2227" s="88" t="s">
        <v>5038</v>
      </c>
      <c r="E2227" s="89">
        <v>65261285</v>
      </c>
      <c r="F2227"/>
      <c r="G2227" s="17" t="s">
        <v>8</v>
      </c>
      <c r="H2227" s="133">
        <v>46086</v>
      </c>
      <c r="I2227" s="127">
        <v>0.57013888888888886</v>
      </c>
      <c r="J2227"/>
      <c r="K2227"/>
      <c r="L2227"/>
    </row>
    <row r="2228" spans="1:12">
      <c r="A2228" s="95" t="s">
        <v>1729</v>
      </c>
      <c r="B2228" t="s">
        <v>5024</v>
      </c>
      <c r="C2228" s="87" t="s">
        <v>1809</v>
      </c>
      <c r="D2228" s="88" t="s">
        <v>5039</v>
      </c>
      <c r="E2228" s="89">
        <v>67241114</v>
      </c>
      <c r="F2228" s="99" t="s">
        <v>5040</v>
      </c>
      <c r="G2228" s="17" t="s">
        <v>3</v>
      </c>
      <c r="H2228" s="133">
        <v>46086</v>
      </c>
      <c r="I2228" s="127">
        <v>0.5708333333333333</v>
      </c>
      <c r="J2228"/>
      <c r="K2228"/>
      <c r="L2228"/>
    </row>
    <row r="2229" spans="1:12">
      <c r="A2229" s="95" t="s">
        <v>1729</v>
      </c>
      <c r="B2229" t="s">
        <v>5024</v>
      </c>
      <c r="C2229" s="87" t="s">
        <v>1810</v>
      </c>
      <c r="D2229" s="88"/>
      <c r="E2229" s="89">
        <v>65796963</v>
      </c>
      <c r="F2229"/>
      <c r="G2229" s="17" t="s">
        <v>6</v>
      </c>
      <c r="H2229" s="133">
        <v>46086</v>
      </c>
      <c r="I2229" s="127">
        <v>0.57291666666666663</v>
      </c>
      <c r="J2229"/>
      <c r="K2229"/>
      <c r="L2229"/>
    </row>
    <row r="2230" spans="1:12">
      <c r="A2230" s="95" t="s">
        <v>1729</v>
      </c>
      <c r="B2230" t="s">
        <v>5024</v>
      </c>
      <c r="C2230" s="87" t="s">
        <v>1811</v>
      </c>
      <c r="D2230" s="88"/>
      <c r="E2230" s="89">
        <v>64338212</v>
      </c>
      <c r="F2230"/>
      <c r="G2230" s="17" t="s">
        <v>2</v>
      </c>
      <c r="H2230" s="133">
        <v>46086</v>
      </c>
      <c r="I2230" s="127">
        <v>0.57291666666666663</v>
      </c>
      <c r="J2230"/>
      <c r="K2230"/>
      <c r="L2230"/>
    </row>
    <row r="2231" spans="1:12">
      <c r="A2231" s="95" t="s">
        <v>1729</v>
      </c>
      <c r="B2231" t="s">
        <v>5024</v>
      </c>
      <c r="C2231" s="87" t="s">
        <v>1812</v>
      </c>
      <c r="D2231" s="88"/>
      <c r="E2231" s="89">
        <v>3010431</v>
      </c>
      <c r="F2231"/>
      <c r="G2231" s="17" t="s">
        <v>6</v>
      </c>
      <c r="H2231" s="133">
        <v>46086</v>
      </c>
      <c r="I2231" s="127">
        <v>0.62986111111111109</v>
      </c>
      <c r="J2231"/>
      <c r="K2231"/>
      <c r="L2231"/>
    </row>
    <row r="2232" spans="1:12">
      <c r="A2232" s="95" t="s">
        <v>1729</v>
      </c>
      <c r="B2232" t="s">
        <v>5024</v>
      </c>
      <c r="C2232" s="87" t="s">
        <v>1813</v>
      </c>
      <c r="D2232" s="88"/>
      <c r="E2232" s="89">
        <v>7875950</v>
      </c>
      <c r="F2232"/>
      <c r="G2232" s="17" t="s">
        <v>6</v>
      </c>
      <c r="H2232" s="133">
        <v>46086</v>
      </c>
      <c r="I2232" s="127">
        <v>0.63888888888888884</v>
      </c>
      <c r="J2232"/>
      <c r="K2232"/>
      <c r="L2232"/>
    </row>
    <row r="2233" spans="1:12">
      <c r="A2233" s="95" t="s">
        <v>1729</v>
      </c>
      <c r="B2233" t="s">
        <v>5024</v>
      </c>
      <c r="C2233" s="87" t="s">
        <v>1814</v>
      </c>
      <c r="D2233" s="88"/>
      <c r="E2233" s="89">
        <v>7309390</v>
      </c>
      <c r="F2233"/>
      <c r="G2233" s="17" t="s">
        <v>3</v>
      </c>
      <c r="H2233" s="133">
        <v>46086</v>
      </c>
      <c r="I2233" s="127">
        <v>0.64097222222222228</v>
      </c>
      <c r="J2233"/>
      <c r="K2233"/>
      <c r="L2233"/>
    </row>
    <row r="2234" spans="1:12">
      <c r="A2234" s="95" t="s">
        <v>1729</v>
      </c>
      <c r="B2234" t="s">
        <v>5024</v>
      </c>
      <c r="C2234" s="87" t="s">
        <v>1815</v>
      </c>
      <c r="D2234" s="88" t="s">
        <v>5041</v>
      </c>
      <c r="E2234" s="89">
        <v>62186726</v>
      </c>
      <c r="F2234" s="99" t="s">
        <v>5042</v>
      </c>
      <c r="G2234" s="17" t="s">
        <v>8</v>
      </c>
      <c r="H2234" s="133">
        <v>46086</v>
      </c>
      <c r="I2234" s="127">
        <v>0.64097222222222228</v>
      </c>
      <c r="J2234"/>
      <c r="K2234"/>
      <c r="L2234" t="s">
        <v>5026</v>
      </c>
    </row>
    <row r="2235" spans="1:12">
      <c r="A2235" s="95" t="s">
        <v>1729</v>
      </c>
      <c r="B2235" t="s">
        <v>5024</v>
      </c>
      <c r="C2235" s="87" t="s">
        <v>1816</v>
      </c>
      <c r="D2235" s="88"/>
      <c r="E2235" s="89">
        <v>69768453</v>
      </c>
      <c r="F2235"/>
      <c r="G2235" s="17" t="s">
        <v>2</v>
      </c>
      <c r="H2235" s="133">
        <v>46086</v>
      </c>
      <c r="I2235" s="127">
        <v>0.64375000000000004</v>
      </c>
      <c r="J2235"/>
      <c r="K2235"/>
      <c r="L2235"/>
    </row>
    <row r="2236" spans="1:12">
      <c r="A2236" s="95" t="s">
        <v>1729</v>
      </c>
      <c r="B2236" t="s">
        <v>5024</v>
      </c>
      <c r="C2236" s="87" t="s">
        <v>1817</v>
      </c>
      <c r="D2236" s="88" t="s">
        <v>5043</v>
      </c>
      <c r="E2236" s="89">
        <v>64685499</v>
      </c>
      <c r="F2236" s="99" t="s">
        <v>5044</v>
      </c>
      <c r="G2236" s="17" t="s">
        <v>1</v>
      </c>
      <c r="H2236" s="133">
        <v>46086</v>
      </c>
      <c r="I2236" s="127">
        <v>0.64444444444444449</v>
      </c>
      <c r="J2236"/>
      <c r="K2236"/>
      <c r="L2236" t="s">
        <v>5026</v>
      </c>
    </row>
    <row r="2237" spans="1:12">
      <c r="A2237" s="95" t="s">
        <v>1729</v>
      </c>
      <c r="B2237" t="s">
        <v>5024</v>
      </c>
      <c r="C2237" s="87" t="s">
        <v>1818</v>
      </c>
      <c r="D2237" s="88"/>
      <c r="E2237" s="89">
        <v>69109756</v>
      </c>
      <c r="F2237"/>
      <c r="G2237" s="17" t="s">
        <v>6</v>
      </c>
      <c r="H2237" s="133">
        <v>46086</v>
      </c>
      <c r="I2237" s="127">
        <v>0.64722222222222225</v>
      </c>
      <c r="J2237"/>
      <c r="K2237"/>
      <c r="L2237"/>
    </row>
    <row r="2238" spans="1:12">
      <c r="A2238" s="95" t="s">
        <v>1729</v>
      </c>
      <c r="B2238" t="s">
        <v>5024</v>
      </c>
      <c r="C2238" s="87" t="s">
        <v>1819</v>
      </c>
      <c r="D2238" s="88"/>
      <c r="E2238" s="89">
        <v>66960881</v>
      </c>
      <c r="F2238"/>
      <c r="G2238" s="17" t="s">
        <v>2</v>
      </c>
      <c r="H2238" s="133">
        <v>46086</v>
      </c>
      <c r="I2238" s="127">
        <v>0.64722222222222225</v>
      </c>
      <c r="J2238"/>
      <c r="K2238"/>
      <c r="L2238"/>
    </row>
    <row r="2239" spans="1:12">
      <c r="A2239" s="95" t="s">
        <v>1729</v>
      </c>
      <c r="B2239" t="s">
        <v>5024</v>
      </c>
      <c r="C2239" s="87" t="s">
        <v>1820</v>
      </c>
      <c r="D2239" s="88"/>
      <c r="E2239" s="89">
        <v>68605417</v>
      </c>
      <c r="F2239"/>
      <c r="G2239" s="17" t="s">
        <v>6</v>
      </c>
      <c r="H2239" s="133">
        <v>46086</v>
      </c>
      <c r="I2239" s="127">
        <v>0.66319444444444442</v>
      </c>
      <c r="J2239"/>
      <c r="K2239"/>
      <c r="L2239"/>
    </row>
    <row r="2240" spans="1:12">
      <c r="A2240" s="95" t="s">
        <v>1729</v>
      </c>
      <c r="B2240" t="s">
        <v>5024</v>
      </c>
      <c r="C2240" s="87" t="s">
        <v>1821</v>
      </c>
      <c r="D2240" s="88"/>
      <c r="E2240" s="89">
        <v>63013078</v>
      </c>
      <c r="F2240"/>
      <c r="G2240" s="17" t="s">
        <v>6</v>
      </c>
      <c r="H2240" s="132">
        <v>46087</v>
      </c>
      <c r="I2240" s="127">
        <v>0.35138888888888886</v>
      </c>
      <c r="J2240"/>
      <c r="K2240"/>
      <c r="L2240"/>
    </row>
    <row r="2241" spans="1:12">
      <c r="A2241" s="95" t="s">
        <v>1729</v>
      </c>
      <c r="B2241" t="s">
        <v>5024</v>
      </c>
      <c r="C2241" s="87" t="s">
        <v>1822</v>
      </c>
      <c r="D2241" s="88"/>
      <c r="E2241" s="89">
        <v>65428599</v>
      </c>
      <c r="F2241"/>
      <c r="G2241" s="17" t="s">
        <v>2</v>
      </c>
      <c r="H2241" s="132">
        <v>46087</v>
      </c>
      <c r="I2241" s="127">
        <v>0.3527777777777778</v>
      </c>
      <c r="J2241"/>
      <c r="K2241"/>
      <c r="L2241"/>
    </row>
    <row r="2242" spans="1:12">
      <c r="A2242" s="95" t="s">
        <v>1729</v>
      </c>
      <c r="B2242" t="s">
        <v>5024</v>
      </c>
      <c r="C2242" s="87" t="s">
        <v>1823</v>
      </c>
      <c r="D2242" s="88"/>
      <c r="E2242" s="89">
        <v>61604936</v>
      </c>
      <c r="F2242"/>
      <c r="G2242" s="17" t="s">
        <v>2</v>
      </c>
      <c r="H2242" s="132">
        <v>46087</v>
      </c>
      <c r="I2242" s="127">
        <v>0.3527777777777778</v>
      </c>
      <c r="J2242"/>
      <c r="K2242"/>
      <c r="L2242"/>
    </row>
    <row r="2243" spans="1:12">
      <c r="A2243" s="95" t="s">
        <v>1729</v>
      </c>
      <c r="B2243" t="s">
        <v>5024</v>
      </c>
      <c r="C2243" s="87" t="s">
        <v>1824</v>
      </c>
      <c r="D2243" s="88"/>
      <c r="E2243" s="89">
        <v>64830823</v>
      </c>
      <c r="F2243"/>
      <c r="G2243" s="17" t="s">
        <v>6</v>
      </c>
      <c r="H2243" s="132">
        <v>46087</v>
      </c>
      <c r="I2243" s="127">
        <v>0.35347222222222224</v>
      </c>
      <c r="J2243"/>
      <c r="K2243"/>
      <c r="L2243"/>
    </row>
    <row r="2244" spans="1:12">
      <c r="A2244" s="95" t="s">
        <v>1729</v>
      </c>
      <c r="B2244" t="s">
        <v>5024</v>
      </c>
      <c r="C2244" s="87" t="s">
        <v>1825</v>
      </c>
      <c r="D2244" s="88"/>
      <c r="E2244" s="89">
        <v>67685578</v>
      </c>
      <c r="F2244"/>
      <c r="G2244" s="17" t="s">
        <v>2</v>
      </c>
      <c r="H2244" s="132">
        <v>46087</v>
      </c>
      <c r="I2244" s="127">
        <v>0.35416666666666669</v>
      </c>
      <c r="J2244"/>
      <c r="K2244"/>
      <c r="L2244"/>
    </row>
    <row r="2245" spans="1:12">
      <c r="A2245" s="95" t="s">
        <v>1729</v>
      </c>
      <c r="B2245" t="s">
        <v>5024</v>
      </c>
      <c r="C2245" s="87" t="s">
        <v>1826</v>
      </c>
      <c r="D2245" s="88"/>
      <c r="E2245" s="89">
        <v>62025443</v>
      </c>
      <c r="F2245"/>
      <c r="G2245" s="17" t="s">
        <v>9</v>
      </c>
      <c r="H2245" s="132">
        <v>46087</v>
      </c>
      <c r="I2245" s="127">
        <v>0.35416666666666669</v>
      </c>
      <c r="J2245"/>
      <c r="K2245"/>
      <c r="L2245"/>
    </row>
    <row r="2246" spans="1:12">
      <c r="A2246" s="95" t="s">
        <v>1729</v>
      </c>
      <c r="B2246" t="s">
        <v>5024</v>
      </c>
      <c r="C2246" s="87" t="s">
        <v>1827</v>
      </c>
      <c r="D2246" s="88"/>
      <c r="E2246" s="89">
        <v>66313688</v>
      </c>
      <c r="F2246"/>
      <c r="G2246" s="17" t="s">
        <v>6</v>
      </c>
      <c r="H2246" s="132">
        <v>46087</v>
      </c>
      <c r="I2246" s="127">
        <v>0.35486111111111113</v>
      </c>
      <c r="J2246"/>
      <c r="K2246"/>
      <c r="L2246"/>
    </row>
    <row r="2247" spans="1:12">
      <c r="A2247" s="95" t="s">
        <v>1729</v>
      </c>
      <c r="B2247" t="s">
        <v>5024</v>
      </c>
      <c r="C2247" s="87" t="s">
        <v>1828</v>
      </c>
      <c r="D2247" s="88" t="s">
        <v>5045</v>
      </c>
      <c r="E2247" s="89">
        <v>62112947</v>
      </c>
      <c r="F2247" s="99" t="s">
        <v>5046</v>
      </c>
      <c r="G2247" s="17" t="s">
        <v>1</v>
      </c>
      <c r="H2247" s="132">
        <v>46087</v>
      </c>
      <c r="I2247" s="127">
        <v>0.35555555555555557</v>
      </c>
      <c r="J2247"/>
      <c r="K2247"/>
      <c r="L2247"/>
    </row>
    <row r="2248" spans="1:12">
      <c r="A2248" s="95" t="s">
        <v>1729</v>
      </c>
      <c r="B2248" t="s">
        <v>5024</v>
      </c>
      <c r="C2248" s="87" t="s">
        <v>1829</v>
      </c>
      <c r="D2248" s="88" t="s">
        <v>5047</v>
      </c>
      <c r="E2248" s="89">
        <v>64859766</v>
      </c>
      <c r="F2248"/>
      <c r="G2248" s="17" t="s">
        <v>1</v>
      </c>
      <c r="H2248" s="132">
        <v>46087</v>
      </c>
      <c r="I2248" s="127">
        <v>0.35694444444444445</v>
      </c>
      <c r="J2248"/>
      <c r="K2248"/>
      <c r="L2248"/>
    </row>
    <row r="2249" spans="1:12">
      <c r="A2249" s="95" t="s">
        <v>1729</v>
      </c>
      <c r="B2249" t="s">
        <v>5024</v>
      </c>
      <c r="C2249" s="87" t="s">
        <v>1830</v>
      </c>
      <c r="D2249" s="88" t="s">
        <v>5048</v>
      </c>
      <c r="E2249" s="89">
        <v>64221545</v>
      </c>
      <c r="F2249"/>
      <c r="G2249" s="17" t="s">
        <v>1</v>
      </c>
      <c r="H2249" s="132">
        <v>46087</v>
      </c>
      <c r="I2249" s="127">
        <v>0.40277777777777779</v>
      </c>
      <c r="J2249"/>
      <c r="K2249"/>
      <c r="L2249"/>
    </row>
    <row r="2250" spans="1:12">
      <c r="A2250" s="95" t="s">
        <v>1729</v>
      </c>
      <c r="B2250" t="s">
        <v>5024</v>
      </c>
      <c r="C2250" s="87" t="s">
        <v>1831</v>
      </c>
      <c r="D2250" s="88"/>
      <c r="E2250" s="89">
        <v>69169841</v>
      </c>
      <c r="F2250"/>
      <c r="G2250" s="17" t="s">
        <v>9</v>
      </c>
      <c r="H2250" s="132">
        <v>46087</v>
      </c>
      <c r="I2250" s="127">
        <v>0.40347222222222223</v>
      </c>
      <c r="J2250"/>
      <c r="K2250"/>
      <c r="L2250"/>
    </row>
    <row r="2251" spans="1:12">
      <c r="A2251" s="95" t="s">
        <v>1729</v>
      </c>
      <c r="B2251" t="s">
        <v>5024</v>
      </c>
      <c r="C2251" s="87" t="s">
        <v>1832</v>
      </c>
      <c r="D2251" s="88"/>
      <c r="E2251" s="89">
        <v>67708920</v>
      </c>
      <c r="F2251"/>
      <c r="G2251" s="17" t="s">
        <v>6</v>
      </c>
      <c r="H2251" s="132">
        <v>46087</v>
      </c>
      <c r="I2251" s="127">
        <v>0.40347222222222223</v>
      </c>
      <c r="J2251"/>
      <c r="K2251"/>
      <c r="L2251"/>
    </row>
    <row r="2252" spans="1:12">
      <c r="A2252" s="95" t="s">
        <v>1729</v>
      </c>
      <c r="B2252" t="s">
        <v>5024</v>
      </c>
      <c r="C2252" s="87" t="s">
        <v>1833</v>
      </c>
      <c r="D2252" s="88"/>
      <c r="E2252" s="89">
        <v>65631873</v>
      </c>
      <c r="F2252"/>
      <c r="G2252" s="17" t="s">
        <v>2</v>
      </c>
      <c r="H2252" s="132">
        <v>46087</v>
      </c>
      <c r="I2252" s="127">
        <v>0.40416666666666667</v>
      </c>
      <c r="J2252"/>
      <c r="K2252"/>
      <c r="L2252"/>
    </row>
    <row r="2253" spans="1:12">
      <c r="A2253" s="95" t="s">
        <v>1729</v>
      </c>
      <c r="B2253" t="s">
        <v>5024</v>
      </c>
      <c r="C2253" s="87" t="s">
        <v>1834</v>
      </c>
      <c r="D2253" s="88"/>
      <c r="E2253" s="89">
        <v>68584276</v>
      </c>
      <c r="F2253"/>
      <c r="G2253" s="17" t="s">
        <v>6</v>
      </c>
      <c r="H2253" s="132">
        <v>46087</v>
      </c>
      <c r="I2253" s="127">
        <v>0.40486111111111112</v>
      </c>
      <c r="J2253"/>
      <c r="K2253"/>
      <c r="L2253"/>
    </row>
    <row r="2254" spans="1:12">
      <c r="A2254" s="95" t="s">
        <v>1729</v>
      </c>
      <c r="B2254" t="s">
        <v>5024</v>
      </c>
      <c r="C2254" s="87" t="s">
        <v>1835</v>
      </c>
      <c r="D2254" s="88"/>
      <c r="E2254" s="89">
        <v>69424145</v>
      </c>
      <c r="F2254"/>
      <c r="G2254" s="17" t="s">
        <v>6</v>
      </c>
      <c r="H2254" s="132">
        <v>46087</v>
      </c>
      <c r="I2254" s="127">
        <v>0.41597222222222224</v>
      </c>
      <c r="J2254"/>
      <c r="K2254"/>
      <c r="L2254"/>
    </row>
    <row r="2255" spans="1:12">
      <c r="A2255" s="95" t="s">
        <v>1729</v>
      </c>
      <c r="B2255" t="s">
        <v>5024</v>
      </c>
      <c r="C2255" s="87" t="s">
        <v>1836</v>
      </c>
      <c r="D2255" s="88"/>
      <c r="E2255" s="89">
        <v>68881909</v>
      </c>
      <c r="F2255"/>
      <c r="G2255" s="17" t="s">
        <v>2</v>
      </c>
      <c r="H2255" s="132">
        <v>46087</v>
      </c>
      <c r="I2255" s="127">
        <v>0.41597222222222224</v>
      </c>
      <c r="J2255"/>
      <c r="K2255"/>
      <c r="L2255"/>
    </row>
    <row r="2256" spans="1:12">
      <c r="A2256" s="95" t="s">
        <v>1729</v>
      </c>
      <c r="B2256" t="s">
        <v>5024</v>
      </c>
      <c r="C2256" s="87" t="s">
        <v>1837</v>
      </c>
      <c r="D2256" s="88" t="s">
        <v>5049</v>
      </c>
      <c r="E2256" s="89">
        <v>64608245</v>
      </c>
      <c r="F2256" s="99" t="s">
        <v>5050</v>
      </c>
      <c r="G2256" s="17" t="s">
        <v>1</v>
      </c>
      <c r="H2256" s="132">
        <v>46087</v>
      </c>
      <c r="I2256" s="127">
        <v>0.41666666666666669</v>
      </c>
      <c r="J2256"/>
      <c r="K2256"/>
      <c r="L2256"/>
    </row>
    <row r="2257" spans="1:12">
      <c r="A2257" s="95" t="s">
        <v>1729</v>
      </c>
      <c r="B2257" t="s">
        <v>5024</v>
      </c>
      <c r="C2257" s="87" t="s">
        <v>1838</v>
      </c>
      <c r="D2257" s="88"/>
      <c r="E2257" s="89">
        <v>65340337</v>
      </c>
      <c r="F2257"/>
      <c r="G2257" s="17" t="s">
        <v>9</v>
      </c>
      <c r="H2257" s="132">
        <v>46087</v>
      </c>
      <c r="I2257" s="127">
        <v>0.41875000000000001</v>
      </c>
      <c r="J2257"/>
      <c r="K2257"/>
      <c r="L2257"/>
    </row>
    <row r="2258" spans="1:12">
      <c r="A2258" s="95" t="s">
        <v>1729</v>
      </c>
      <c r="B2258" t="s">
        <v>5024</v>
      </c>
      <c r="C2258" s="87" t="s">
        <v>1839</v>
      </c>
      <c r="D2258" s="88"/>
      <c r="E2258" s="89">
        <v>7307473</v>
      </c>
      <c r="F2258"/>
      <c r="G2258" s="17" t="s">
        <v>6</v>
      </c>
      <c r="H2258" s="132">
        <v>46087</v>
      </c>
      <c r="I2258" s="127">
        <v>0.42083333333333334</v>
      </c>
      <c r="J2258"/>
      <c r="K2258"/>
      <c r="L2258"/>
    </row>
    <row r="2259" spans="1:12">
      <c r="A2259" s="95" t="s">
        <v>1729</v>
      </c>
      <c r="B2259" t="s">
        <v>5024</v>
      </c>
      <c r="C2259" s="87" t="s">
        <v>1840</v>
      </c>
      <c r="D2259" s="88"/>
      <c r="E2259" s="89">
        <v>64868010</v>
      </c>
      <c r="F2259"/>
      <c r="G2259" s="17" t="s">
        <v>1</v>
      </c>
      <c r="H2259" s="132">
        <v>46087</v>
      </c>
      <c r="I2259" s="127">
        <v>0.42083333333333334</v>
      </c>
      <c r="J2259"/>
      <c r="K2259"/>
      <c r="L2259"/>
    </row>
    <row r="2260" spans="1:12">
      <c r="A2260" s="95" t="s">
        <v>1729</v>
      </c>
      <c r="B2260" t="s">
        <v>5024</v>
      </c>
      <c r="C2260" s="87" t="s">
        <v>1841</v>
      </c>
      <c r="D2260" s="88"/>
      <c r="E2260" s="89">
        <v>62999760</v>
      </c>
      <c r="F2260"/>
      <c r="G2260" s="17" t="s">
        <v>6</v>
      </c>
      <c r="H2260" s="132">
        <v>46087</v>
      </c>
      <c r="I2260" s="127">
        <v>0.4236111111111111</v>
      </c>
      <c r="J2260"/>
      <c r="K2260"/>
      <c r="L2260"/>
    </row>
    <row r="2261" spans="1:12">
      <c r="A2261" s="95" t="s">
        <v>1729</v>
      </c>
      <c r="B2261" t="s">
        <v>5024</v>
      </c>
      <c r="C2261" s="87" t="s">
        <v>1842</v>
      </c>
      <c r="D2261" s="88" t="s">
        <v>5051</v>
      </c>
      <c r="E2261" s="89">
        <v>62736598</v>
      </c>
      <c r="F2261" s="99" t="s">
        <v>5052</v>
      </c>
      <c r="G2261" s="17" t="s">
        <v>1</v>
      </c>
      <c r="H2261" s="132">
        <v>46087</v>
      </c>
      <c r="I2261" s="127">
        <v>0.42430555555555555</v>
      </c>
      <c r="J2261"/>
      <c r="K2261"/>
      <c r="L2261"/>
    </row>
    <row r="2262" spans="1:12">
      <c r="A2262" s="95" t="s">
        <v>1729</v>
      </c>
      <c r="B2262" t="s">
        <v>5024</v>
      </c>
      <c r="C2262" s="87" t="s">
        <v>1843</v>
      </c>
      <c r="D2262" s="88"/>
      <c r="E2262" s="89">
        <v>65293864</v>
      </c>
      <c r="F2262"/>
      <c r="G2262" s="17" t="s">
        <v>6</v>
      </c>
      <c r="H2262" s="132">
        <v>46087</v>
      </c>
      <c r="I2262" s="127">
        <v>0.42916666666666664</v>
      </c>
      <c r="J2262"/>
      <c r="K2262"/>
      <c r="L2262"/>
    </row>
    <row r="2263" spans="1:12">
      <c r="A2263" s="95" t="s">
        <v>1729</v>
      </c>
      <c r="B2263" t="s">
        <v>5024</v>
      </c>
      <c r="C2263" s="87" t="s">
        <v>1844</v>
      </c>
      <c r="D2263" s="88" t="s">
        <v>5053</v>
      </c>
      <c r="E2263" s="89">
        <v>64049347</v>
      </c>
      <c r="F2263"/>
      <c r="G2263" s="17" t="s">
        <v>1</v>
      </c>
      <c r="H2263" s="132">
        <v>46087</v>
      </c>
      <c r="I2263" s="127">
        <v>0.42430555555555555</v>
      </c>
      <c r="J2263"/>
      <c r="K2263"/>
      <c r="L2263"/>
    </row>
    <row r="2264" spans="1:12">
      <c r="A2264" s="95" t="s">
        <v>1729</v>
      </c>
      <c r="B2264" t="s">
        <v>5024</v>
      </c>
      <c r="C2264" s="87" t="s">
        <v>1845</v>
      </c>
      <c r="D2264" s="88"/>
      <c r="E2264" s="89">
        <v>64101997</v>
      </c>
      <c r="F2264"/>
      <c r="G2264" s="17" t="s">
        <v>6</v>
      </c>
      <c r="H2264" s="132">
        <v>46087</v>
      </c>
      <c r="I2264" s="127">
        <v>0.46597222222222223</v>
      </c>
      <c r="J2264"/>
      <c r="K2264"/>
      <c r="L2264"/>
    </row>
    <row r="2265" spans="1:12">
      <c r="A2265" s="95" t="s">
        <v>1729</v>
      </c>
      <c r="B2265" t="s">
        <v>5024</v>
      </c>
      <c r="C2265" s="87" t="s">
        <v>1846</v>
      </c>
      <c r="D2265" s="88"/>
      <c r="E2265" s="89">
        <v>69958910</v>
      </c>
      <c r="F2265"/>
      <c r="G2265" s="17" t="s">
        <v>4</v>
      </c>
      <c r="H2265" s="132">
        <v>46087</v>
      </c>
      <c r="I2265" s="127">
        <v>0.46666666666666667</v>
      </c>
      <c r="J2265"/>
      <c r="K2265"/>
      <c r="L2265" t="s">
        <v>5054</v>
      </c>
    </row>
    <row r="2266" spans="1:12">
      <c r="A2266" s="95" t="s">
        <v>1729</v>
      </c>
      <c r="B2266" t="s">
        <v>5024</v>
      </c>
      <c r="C2266" s="87" t="s">
        <v>1847</v>
      </c>
      <c r="D2266" s="88"/>
      <c r="E2266" s="89">
        <v>6568341</v>
      </c>
      <c r="F2266"/>
      <c r="G2266" s="17" t="s">
        <v>4</v>
      </c>
      <c r="H2266" s="132">
        <v>46087</v>
      </c>
      <c r="I2266" s="127">
        <v>0.46944444444444444</v>
      </c>
      <c r="J2266"/>
      <c r="K2266"/>
      <c r="L2266" t="s">
        <v>5055</v>
      </c>
    </row>
    <row r="2267" spans="1:12">
      <c r="A2267" s="95" t="s">
        <v>1729</v>
      </c>
      <c r="B2267" t="s">
        <v>5024</v>
      </c>
      <c r="C2267" s="87" t="s">
        <v>1848</v>
      </c>
      <c r="D2267" s="88"/>
      <c r="E2267" s="89">
        <v>61644647</v>
      </c>
      <c r="F2267"/>
      <c r="G2267" s="17" t="s">
        <v>2</v>
      </c>
      <c r="H2267" s="132">
        <v>46087</v>
      </c>
      <c r="I2267" s="127">
        <v>0.47013888888888888</v>
      </c>
      <c r="J2267"/>
      <c r="K2267"/>
      <c r="L2267"/>
    </row>
    <row r="2268" spans="1:12">
      <c r="A2268" s="95" t="s">
        <v>1729</v>
      </c>
      <c r="B2268" t="s">
        <v>5024</v>
      </c>
      <c r="C2268" s="87" t="s">
        <v>1849</v>
      </c>
      <c r="D2268" s="88"/>
      <c r="E2268" s="89">
        <v>7213039</v>
      </c>
      <c r="F2268"/>
      <c r="G2268" s="17" t="s">
        <v>9</v>
      </c>
      <c r="H2268" s="132">
        <v>46087</v>
      </c>
      <c r="I2268" s="127">
        <v>0.47083333333333333</v>
      </c>
      <c r="J2268"/>
      <c r="K2268"/>
      <c r="L2268"/>
    </row>
    <row r="2269" spans="1:12">
      <c r="A2269" s="95" t="s">
        <v>1729</v>
      </c>
      <c r="B2269" t="s">
        <v>5024</v>
      </c>
      <c r="C2269" s="87" t="s">
        <v>1850</v>
      </c>
      <c r="D2269" s="88" t="s">
        <v>5056</v>
      </c>
      <c r="E2269" s="89">
        <v>65011899</v>
      </c>
      <c r="F2269"/>
      <c r="G2269" s="17" t="s">
        <v>1</v>
      </c>
      <c r="H2269" s="132">
        <v>46087</v>
      </c>
      <c r="I2269" s="127">
        <v>0.47083333333333333</v>
      </c>
      <c r="J2269"/>
      <c r="K2269"/>
      <c r="L2269"/>
    </row>
    <row r="2270" spans="1:12">
      <c r="A2270" s="95" t="s">
        <v>1729</v>
      </c>
      <c r="B2270" t="s">
        <v>5024</v>
      </c>
      <c r="C2270" s="87" t="s">
        <v>1851</v>
      </c>
      <c r="D2270" s="88"/>
      <c r="E2270" s="89">
        <v>63452528</v>
      </c>
      <c r="F2270"/>
      <c r="G2270" s="17" t="s">
        <v>2</v>
      </c>
      <c r="H2270" s="132">
        <v>46087</v>
      </c>
      <c r="I2270" s="127">
        <v>0.47291666666666665</v>
      </c>
      <c r="J2270"/>
      <c r="K2270"/>
      <c r="L2270"/>
    </row>
    <row r="2271" spans="1:12">
      <c r="A2271" s="95" t="s">
        <v>1729</v>
      </c>
      <c r="B2271" t="s">
        <v>5024</v>
      </c>
      <c r="C2271" s="87" t="s">
        <v>1852</v>
      </c>
      <c r="D2271" s="88"/>
      <c r="E2271" s="89">
        <v>65834583</v>
      </c>
      <c r="F2271"/>
      <c r="G2271" s="17" t="s">
        <v>6</v>
      </c>
      <c r="H2271" s="132">
        <v>46087</v>
      </c>
      <c r="I2271" s="127">
        <v>0.47291666666666665</v>
      </c>
      <c r="J2271"/>
      <c r="K2271"/>
      <c r="L2271"/>
    </row>
    <row r="2272" spans="1:12">
      <c r="A2272" s="95" t="s">
        <v>1729</v>
      </c>
      <c r="B2272" t="s">
        <v>5024</v>
      </c>
      <c r="C2272" s="87" t="s">
        <v>1853</v>
      </c>
      <c r="D2272" s="88"/>
      <c r="E2272" s="89">
        <v>69880543</v>
      </c>
      <c r="F2272"/>
      <c r="G2272" s="17" t="s">
        <v>6</v>
      </c>
      <c r="H2272" s="132">
        <v>46087</v>
      </c>
      <c r="I2272" s="127">
        <v>0.47361111111111109</v>
      </c>
      <c r="J2272"/>
      <c r="K2272"/>
      <c r="L2272"/>
    </row>
    <row r="2273" spans="1:12">
      <c r="A2273" s="95" t="s">
        <v>1729</v>
      </c>
      <c r="B2273" t="s">
        <v>5024</v>
      </c>
      <c r="C2273" s="87" t="s">
        <v>1854</v>
      </c>
      <c r="D2273" s="88"/>
      <c r="E2273" s="89">
        <v>7765064</v>
      </c>
      <c r="F2273"/>
      <c r="G2273" s="17" t="s">
        <v>9</v>
      </c>
      <c r="H2273" s="132">
        <v>46087</v>
      </c>
      <c r="I2273" s="127">
        <v>0.47569444444444442</v>
      </c>
      <c r="J2273"/>
      <c r="K2273"/>
      <c r="L2273"/>
    </row>
    <row r="2274" spans="1:12">
      <c r="A2274" s="95" t="s">
        <v>1729</v>
      </c>
      <c r="B2274" t="s">
        <v>5024</v>
      </c>
      <c r="C2274" s="87" t="s">
        <v>1855</v>
      </c>
      <c r="D2274" s="88"/>
      <c r="E2274" s="89">
        <v>64940301</v>
      </c>
      <c r="F2274"/>
      <c r="G2274" s="17" t="s">
        <v>2</v>
      </c>
      <c r="H2274" s="132">
        <v>46087</v>
      </c>
      <c r="I2274" s="127">
        <v>0.47569444444444442</v>
      </c>
      <c r="J2274"/>
      <c r="K2274"/>
      <c r="L2274"/>
    </row>
    <row r="2275" spans="1:12">
      <c r="A2275" s="95" t="s">
        <v>1729</v>
      </c>
      <c r="B2275" t="s">
        <v>5024</v>
      </c>
      <c r="C2275" s="87" t="s">
        <v>1856</v>
      </c>
      <c r="D2275" s="88"/>
      <c r="E2275" s="89">
        <v>63431437</v>
      </c>
      <c r="F2275"/>
      <c r="G2275" s="17" t="s">
        <v>4</v>
      </c>
      <c r="H2275" s="132">
        <v>46087</v>
      </c>
      <c r="I2275" s="127">
        <v>0.47638888888888886</v>
      </c>
      <c r="J2275"/>
      <c r="K2275"/>
      <c r="L2275" t="s">
        <v>5057</v>
      </c>
    </row>
    <row r="2276" spans="1:12">
      <c r="A2276" s="95" t="s">
        <v>1729</v>
      </c>
      <c r="B2276" t="s">
        <v>5024</v>
      </c>
      <c r="C2276" s="87" t="s">
        <v>1857</v>
      </c>
      <c r="D2276" s="88"/>
      <c r="E2276" s="89">
        <v>69069652</v>
      </c>
      <c r="F2276"/>
      <c r="G2276" s="17" t="s">
        <v>5</v>
      </c>
      <c r="H2276" s="132">
        <v>46087</v>
      </c>
      <c r="I2276" s="127">
        <v>0.47638888888888886</v>
      </c>
      <c r="J2276"/>
      <c r="K2276"/>
      <c r="L2276"/>
    </row>
    <row r="2277" spans="1:12">
      <c r="A2277" s="95" t="s">
        <v>1729</v>
      </c>
      <c r="B2277" t="s">
        <v>5024</v>
      </c>
      <c r="C2277" s="87" t="s">
        <v>1858</v>
      </c>
      <c r="D2277" s="88"/>
      <c r="E2277" s="89">
        <v>65998430</v>
      </c>
      <c r="F2277"/>
      <c r="G2277" s="17" t="s">
        <v>9</v>
      </c>
      <c r="H2277" s="132">
        <v>46087</v>
      </c>
      <c r="I2277" s="127">
        <v>0.47708333333333336</v>
      </c>
      <c r="J2277"/>
      <c r="K2277"/>
      <c r="L2277"/>
    </row>
    <row r="2278" spans="1:12">
      <c r="A2278" s="95" t="s">
        <v>1729</v>
      </c>
      <c r="B2278" t="s">
        <v>5024</v>
      </c>
      <c r="C2278" s="87" t="s">
        <v>1859</v>
      </c>
      <c r="D2278" s="88"/>
      <c r="E2278" s="89">
        <v>2648701</v>
      </c>
      <c r="F2278"/>
      <c r="G2278" s="17" t="s">
        <v>9</v>
      </c>
      <c r="H2278" s="132">
        <v>46087</v>
      </c>
      <c r="I2278" s="127">
        <v>0.4777777777777778</v>
      </c>
      <c r="J2278"/>
      <c r="K2278"/>
      <c r="L2278"/>
    </row>
    <row r="2279" spans="1:12">
      <c r="A2279" s="95" t="s">
        <v>1729</v>
      </c>
      <c r="B2279" t="s">
        <v>5024</v>
      </c>
      <c r="C2279" s="87" t="s">
        <v>1860</v>
      </c>
      <c r="D2279" s="88"/>
      <c r="E2279" s="89">
        <v>64026381</v>
      </c>
      <c r="F2279"/>
      <c r="G2279" s="17" t="s">
        <v>4</v>
      </c>
      <c r="H2279" s="132">
        <v>46087</v>
      </c>
      <c r="I2279" s="127">
        <v>0.4777777777777778</v>
      </c>
      <c r="J2279"/>
      <c r="K2279"/>
      <c r="L2279" t="s">
        <v>5058</v>
      </c>
    </row>
    <row r="2280" spans="1:12">
      <c r="A2280" s="95" t="s">
        <v>1729</v>
      </c>
      <c r="B2280" t="s">
        <v>5024</v>
      </c>
      <c r="C2280" s="87" t="s">
        <v>1861</v>
      </c>
      <c r="D2280" s="88"/>
      <c r="E2280" s="89">
        <v>68106085</v>
      </c>
      <c r="F2280"/>
      <c r="G2280" s="17" t="s">
        <v>6</v>
      </c>
      <c r="H2280" s="132">
        <v>46087</v>
      </c>
      <c r="I2280" s="127">
        <v>0.47847222222222224</v>
      </c>
      <c r="J2280"/>
      <c r="K2280"/>
      <c r="L2280"/>
    </row>
    <row r="2281" spans="1:12">
      <c r="A2281" s="95" t="s">
        <v>1729</v>
      </c>
      <c r="B2281" t="s">
        <v>5024</v>
      </c>
      <c r="C2281" s="87" t="s">
        <v>1862</v>
      </c>
      <c r="D2281" s="88"/>
      <c r="E2281" s="89">
        <v>7748440</v>
      </c>
      <c r="F2281"/>
      <c r="G2281" s="17" t="s">
        <v>6</v>
      </c>
      <c r="H2281" s="132">
        <v>46087</v>
      </c>
      <c r="I2281" s="127">
        <v>0.47916666666666669</v>
      </c>
      <c r="J2281"/>
      <c r="K2281"/>
      <c r="L2281"/>
    </row>
    <row r="2282" spans="1:12">
      <c r="A2282" s="95" t="s">
        <v>1729</v>
      </c>
      <c r="B2282" t="s">
        <v>5059</v>
      </c>
      <c r="C2282" s="87" t="s">
        <v>1863</v>
      </c>
      <c r="D2282" s="88"/>
      <c r="E2282" s="89">
        <v>64940869</v>
      </c>
      <c r="F2282"/>
      <c r="G2282" s="17" t="s">
        <v>1</v>
      </c>
      <c r="H2282" s="132"/>
      <c r="I2282" s="127" t="s">
        <v>5060</v>
      </c>
      <c r="J2282"/>
      <c r="K2282"/>
      <c r="L2282"/>
    </row>
    <row r="2283" spans="1:12">
      <c r="A2283" s="95" t="s">
        <v>1729</v>
      </c>
      <c r="B2283" t="s">
        <v>5059</v>
      </c>
      <c r="C2283" s="87" t="s">
        <v>1864</v>
      </c>
      <c r="D2283" s="88"/>
      <c r="E2283" s="89">
        <v>64344258</v>
      </c>
      <c r="F2283"/>
      <c r="G2283" s="17" t="s">
        <v>6</v>
      </c>
      <c r="H2283" s="132"/>
      <c r="I2283" s="127" t="s">
        <v>5061</v>
      </c>
      <c r="J2283"/>
      <c r="K2283"/>
      <c r="L2283"/>
    </row>
    <row r="2284" spans="1:12">
      <c r="A2284" s="95" t="s">
        <v>1729</v>
      </c>
      <c r="B2284" t="s">
        <v>5059</v>
      </c>
      <c r="C2284" s="87" t="s">
        <v>1865</v>
      </c>
      <c r="D2284" s="88"/>
      <c r="E2284" s="89">
        <v>62534264</v>
      </c>
      <c r="F2284"/>
      <c r="G2284" s="17" t="s">
        <v>8</v>
      </c>
      <c r="H2284" s="132"/>
      <c r="I2284" s="127" t="s">
        <v>5062</v>
      </c>
      <c r="J2284"/>
      <c r="K2284"/>
      <c r="L2284"/>
    </row>
    <row r="2285" spans="1:12">
      <c r="A2285" s="95" t="s">
        <v>1729</v>
      </c>
      <c r="B2285" t="s">
        <v>5059</v>
      </c>
      <c r="C2285" s="87" t="s">
        <v>1866</v>
      </c>
      <c r="D2285" s="88"/>
      <c r="E2285" s="89">
        <v>66433443</v>
      </c>
      <c r="F2285"/>
      <c r="G2285" s="17" t="s">
        <v>4</v>
      </c>
      <c r="H2285" s="132"/>
      <c r="I2285" s="127" t="s">
        <v>5063</v>
      </c>
      <c r="J2285"/>
      <c r="K2285"/>
      <c r="L2285" t="s">
        <v>5064</v>
      </c>
    </row>
    <row r="2286" spans="1:12">
      <c r="A2286" s="95" t="s">
        <v>1729</v>
      </c>
      <c r="B2286" t="s">
        <v>5059</v>
      </c>
      <c r="C2286" s="87" t="s">
        <v>1868</v>
      </c>
      <c r="D2286" s="88"/>
      <c r="E2286" s="89">
        <v>66142839</v>
      </c>
      <c r="F2286"/>
      <c r="G2286" s="17" t="s">
        <v>6</v>
      </c>
      <c r="H2286" s="132"/>
      <c r="I2286" s="127" t="s">
        <v>5065</v>
      </c>
      <c r="J2286"/>
      <c r="K2286"/>
      <c r="L2286"/>
    </row>
    <row r="2287" spans="1:12">
      <c r="A2287" s="95" t="s">
        <v>1729</v>
      </c>
      <c r="B2287" t="s">
        <v>5059</v>
      </c>
      <c r="C2287" s="87" t="s">
        <v>1869</v>
      </c>
      <c r="D2287" s="88"/>
      <c r="E2287" s="89">
        <v>65068917</v>
      </c>
      <c r="F2287"/>
      <c r="G2287" s="17" t="s">
        <v>1</v>
      </c>
      <c r="H2287" s="132"/>
      <c r="I2287" s="127" t="s">
        <v>5066</v>
      </c>
      <c r="J2287"/>
      <c r="K2287"/>
      <c r="L2287"/>
    </row>
    <row r="2288" spans="1:12">
      <c r="A2288" s="95" t="s">
        <v>1729</v>
      </c>
      <c r="B2288" t="s">
        <v>5059</v>
      </c>
      <c r="C2288" s="87" t="s">
        <v>1870</v>
      </c>
      <c r="D2288" s="88"/>
      <c r="E2288" s="89">
        <v>64250612</v>
      </c>
      <c r="F2288"/>
      <c r="G2288" s="17" t="s">
        <v>1</v>
      </c>
      <c r="H2288" s="132"/>
      <c r="I2288" s="127">
        <v>0.42638888888888887</v>
      </c>
      <c r="J2288"/>
      <c r="K2288"/>
      <c r="L2288"/>
    </row>
    <row r="2289" spans="1:12">
      <c r="A2289" s="95" t="s">
        <v>1729</v>
      </c>
      <c r="B2289" t="s">
        <v>5059</v>
      </c>
      <c r="C2289" s="87" t="s">
        <v>1871</v>
      </c>
      <c r="D2289" s="88"/>
      <c r="E2289" s="89">
        <v>63039392</v>
      </c>
      <c r="F2289"/>
      <c r="G2289" s="17" t="s">
        <v>2</v>
      </c>
      <c r="H2289" s="132"/>
      <c r="I2289" s="127" t="s">
        <v>5067</v>
      </c>
      <c r="J2289"/>
      <c r="K2289"/>
      <c r="L2289"/>
    </row>
    <row r="2290" spans="1:12">
      <c r="A2290" s="95" t="s">
        <v>1729</v>
      </c>
      <c r="B2290" t="s">
        <v>5059</v>
      </c>
      <c r="C2290" s="87" t="s">
        <v>1872</v>
      </c>
      <c r="D2290" s="88"/>
      <c r="E2290" s="89">
        <v>63793167</v>
      </c>
      <c r="F2290"/>
      <c r="G2290" s="17" t="s">
        <v>1</v>
      </c>
      <c r="H2290" s="132"/>
      <c r="I2290" s="127" t="s">
        <v>5068</v>
      </c>
      <c r="J2290"/>
      <c r="K2290"/>
      <c r="L2290"/>
    </row>
    <row r="2291" spans="1:12">
      <c r="A2291" s="95" t="s">
        <v>1729</v>
      </c>
      <c r="B2291" t="s">
        <v>5059</v>
      </c>
      <c r="C2291" s="87" t="s">
        <v>1873</v>
      </c>
      <c r="D2291" s="88"/>
      <c r="E2291" s="89">
        <v>69798787</v>
      </c>
      <c r="F2291"/>
      <c r="G2291" s="17" t="s">
        <v>6</v>
      </c>
      <c r="H2291" s="132"/>
      <c r="I2291" s="127" t="s">
        <v>5069</v>
      </c>
      <c r="J2291"/>
      <c r="K2291"/>
      <c r="L2291"/>
    </row>
    <row r="2292" spans="1:12">
      <c r="A2292" s="95" t="s">
        <v>1729</v>
      </c>
      <c r="B2292" t="s">
        <v>5059</v>
      </c>
      <c r="C2292" s="87" t="s">
        <v>1874</v>
      </c>
      <c r="D2292" s="88"/>
      <c r="E2292" s="89">
        <v>64980996</v>
      </c>
      <c r="F2292"/>
      <c r="G2292" s="17" t="s">
        <v>2</v>
      </c>
      <c r="H2292" s="132"/>
      <c r="I2292" s="127" t="s">
        <v>5070</v>
      </c>
      <c r="J2292"/>
      <c r="K2292"/>
      <c r="L2292"/>
    </row>
    <row r="2293" spans="1:12">
      <c r="A2293" s="95" t="s">
        <v>1729</v>
      </c>
      <c r="B2293" t="s">
        <v>5059</v>
      </c>
      <c r="C2293" s="87" t="s">
        <v>1875</v>
      </c>
      <c r="D2293" s="88"/>
      <c r="E2293" s="89">
        <v>68638234</v>
      </c>
      <c r="F2293"/>
      <c r="G2293" s="17" t="s">
        <v>6</v>
      </c>
      <c r="H2293" s="132"/>
      <c r="I2293" s="127" t="s">
        <v>5071</v>
      </c>
      <c r="J2293"/>
      <c r="K2293"/>
      <c r="L2293"/>
    </row>
    <row r="2294" spans="1:12">
      <c r="A2294" s="95" t="s">
        <v>1729</v>
      </c>
      <c r="B2294" t="s">
        <v>5059</v>
      </c>
      <c r="C2294" s="87" t="s">
        <v>1876</v>
      </c>
      <c r="D2294" s="88"/>
      <c r="E2294" s="89">
        <v>64757323</v>
      </c>
      <c r="F2294"/>
      <c r="G2294" s="17" t="s">
        <v>8</v>
      </c>
      <c r="H2294" s="132"/>
      <c r="I2294" s="127" t="s">
        <v>5072</v>
      </c>
      <c r="J2294"/>
      <c r="K2294"/>
      <c r="L2294"/>
    </row>
    <row r="2295" spans="1:12">
      <c r="A2295" s="95" t="s">
        <v>1729</v>
      </c>
      <c r="B2295" t="s">
        <v>5059</v>
      </c>
      <c r="C2295" s="87" t="s">
        <v>1877</v>
      </c>
      <c r="D2295" s="88"/>
      <c r="E2295" s="89">
        <v>65092261</v>
      </c>
      <c r="F2295"/>
      <c r="G2295" s="17" t="s">
        <v>1</v>
      </c>
      <c r="H2295" s="132"/>
      <c r="I2295" s="127" t="s">
        <v>5073</v>
      </c>
      <c r="J2295"/>
      <c r="K2295"/>
      <c r="L2295"/>
    </row>
    <row r="2296" spans="1:12">
      <c r="A2296" s="95" t="s">
        <v>1729</v>
      </c>
      <c r="B2296" t="s">
        <v>5059</v>
      </c>
      <c r="C2296" s="87" t="s">
        <v>1878</v>
      </c>
      <c r="D2296" s="88"/>
      <c r="E2296" s="89">
        <v>69963766</v>
      </c>
      <c r="F2296"/>
      <c r="G2296" s="17" t="s">
        <v>2</v>
      </c>
      <c r="H2296" s="132"/>
      <c r="I2296" s="127" t="s">
        <v>5074</v>
      </c>
      <c r="J2296"/>
      <c r="K2296"/>
      <c r="L2296"/>
    </row>
    <row r="2297" spans="1:12">
      <c r="A2297" s="95" t="s">
        <v>1729</v>
      </c>
      <c r="B2297" t="s">
        <v>5059</v>
      </c>
      <c r="C2297" s="87" t="s">
        <v>1879</v>
      </c>
      <c r="D2297" s="88"/>
      <c r="E2297" s="89">
        <v>66013521</v>
      </c>
      <c r="F2297"/>
      <c r="G2297" s="17" t="s">
        <v>1</v>
      </c>
      <c r="H2297" s="132"/>
      <c r="I2297" s="127" t="s">
        <v>5075</v>
      </c>
      <c r="J2297"/>
      <c r="K2297"/>
      <c r="L2297"/>
    </row>
    <row r="2298" spans="1:12">
      <c r="A2298" s="95" t="s">
        <v>1729</v>
      </c>
      <c r="B2298" t="s">
        <v>5059</v>
      </c>
      <c r="C2298" s="87" t="s">
        <v>1880</v>
      </c>
      <c r="D2298" s="88"/>
      <c r="E2298" s="89">
        <v>67588039</v>
      </c>
      <c r="F2298"/>
      <c r="G2298" s="17" t="s">
        <v>2</v>
      </c>
      <c r="H2298" s="132"/>
      <c r="I2298" s="127" t="s">
        <v>5076</v>
      </c>
      <c r="J2298"/>
      <c r="K2298"/>
      <c r="L2298"/>
    </row>
    <row r="2299" spans="1:12">
      <c r="A2299" s="95" t="s">
        <v>1729</v>
      </c>
      <c r="B2299" t="s">
        <v>5059</v>
      </c>
      <c r="C2299" s="87" t="s">
        <v>1881</v>
      </c>
      <c r="D2299" s="88"/>
      <c r="E2299" s="89">
        <v>7201000</v>
      </c>
      <c r="F2299"/>
      <c r="G2299" s="17" t="s">
        <v>8</v>
      </c>
      <c r="H2299" s="132"/>
      <c r="I2299" s="127" t="s">
        <v>5077</v>
      </c>
      <c r="J2299"/>
      <c r="K2299"/>
      <c r="L2299"/>
    </row>
    <row r="2300" spans="1:12">
      <c r="A2300" s="95" t="s">
        <v>1729</v>
      </c>
      <c r="B2300" t="s">
        <v>5059</v>
      </c>
      <c r="C2300" s="87" t="s">
        <v>1882</v>
      </c>
      <c r="D2300" s="88"/>
      <c r="E2300" s="89">
        <v>7222129</v>
      </c>
      <c r="F2300"/>
      <c r="G2300" s="17" t="s">
        <v>9</v>
      </c>
      <c r="H2300" s="132"/>
      <c r="I2300" s="127" t="s">
        <v>5077</v>
      </c>
      <c r="J2300"/>
      <c r="K2300"/>
      <c r="L2300"/>
    </row>
    <row r="2301" spans="1:12">
      <c r="A2301" s="95" t="s">
        <v>1729</v>
      </c>
      <c r="B2301" t="s">
        <v>5059</v>
      </c>
      <c r="C2301" s="87" t="s">
        <v>1883</v>
      </c>
      <c r="D2301" s="88"/>
      <c r="E2301" s="89">
        <v>65378183</v>
      </c>
      <c r="F2301"/>
      <c r="G2301" s="17" t="s">
        <v>1</v>
      </c>
      <c r="H2301" s="132"/>
      <c r="I2301" s="127">
        <v>0.60347222222222219</v>
      </c>
      <c r="J2301"/>
      <c r="K2301"/>
      <c r="L2301"/>
    </row>
    <row r="2302" spans="1:12">
      <c r="A2302" s="95" t="s">
        <v>1729</v>
      </c>
      <c r="B2302" t="s">
        <v>5059</v>
      </c>
      <c r="C2302" s="87" t="s">
        <v>1884</v>
      </c>
      <c r="D2302" s="88"/>
      <c r="E2302" s="89">
        <v>68564486</v>
      </c>
      <c r="F2302"/>
      <c r="G2302" s="17" t="s">
        <v>6</v>
      </c>
      <c r="H2302" s="132"/>
      <c r="I2302" s="127" t="s">
        <v>5078</v>
      </c>
      <c r="J2302"/>
      <c r="K2302"/>
      <c r="L2302"/>
    </row>
    <row r="2303" spans="1:12">
      <c r="A2303" s="95" t="s">
        <v>1729</v>
      </c>
      <c r="B2303" t="s">
        <v>5059</v>
      </c>
      <c r="C2303" s="87" t="s">
        <v>1885</v>
      </c>
      <c r="D2303" s="88"/>
      <c r="E2303" s="89">
        <v>69278217</v>
      </c>
      <c r="F2303"/>
      <c r="G2303" s="17" t="s">
        <v>1</v>
      </c>
      <c r="H2303" s="132"/>
      <c r="I2303" s="127" t="s">
        <v>5079</v>
      </c>
      <c r="J2303"/>
      <c r="K2303"/>
      <c r="L2303"/>
    </row>
    <row r="2304" spans="1:12">
      <c r="A2304" s="95" t="s">
        <v>1729</v>
      </c>
      <c r="B2304" t="s">
        <v>5059</v>
      </c>
      <c r="C2304" s="87" t="s">
        <v>1886</v>
      </c>
      <c r="D2304" s="88"/>
      <c r="E2304" s="89">
        <v>61462302</v>
      </c>
      <c r="F2304"/>
      <c r="G2304" s="17" t="s">
        <v>6</v>
      </c>
      <c r="H2304" s="132"/>
      <c r="I2304" s="127" t="s">
        <v>5080</v>
      </c>
      <c r="J2304"/>
      <c r="K2304"/>
      <c r="L2304"/>
    </row>
    <row r="2305" spans="1:12">
      <c r="A2305" s="95" t="s">
        <v>1729</v>
      </c>
      <c r="B2305" t="s">
        <v>5059</v>
      </c>
      <c r="C2305" s="87" t="s">
        <v>1887</v>
      </c>
      <c r="D2305" s="88"/>
      <c r="E2305" s="89">
        <v>62568666</v>
      </c>
      <c r="F2305"/>
      <c r="G2305" s="17" t="s">
        <v>6</v>
      </c>
      <c r="H2305" s="132"/>
      <c r="I2305" s="127" t="s">
        <v>5081</v>
      </c>
      <c r="J2305"/>
      <c r="K2305"/>
      <c r="L2305"/>
    </row>
    <row r="2306" spans="1:12">
      <c r="A2306" s="95" t="s">
        <v>1729</v>
      </c>
      <c r="B2306" t="s">
        <v>5059</v>
      </c>
      <c r="C2306" s="87" t="s">
        <v>1888</v>
      </c>
      <c r="D2306" s="88"/>
      <c r="E2306" s="89">
        <v>65102743</v>
      </c>
      <c r="F2306"/>
      <c r="G2306" s="17" t="s">
        <v>2</v>
      </c>
      <c r="H2306" s="132"/>
      <c r="I2306" s="127" t="s">
        <v>5082</v>
      </c>
      <c r="J2306"/>
      <c r="K2306"/>
      <c r="L2306"/>
    </row>
    <row r="2307" spans="1:12">
      <c r="A2307" s="95" t="s">
        <v>1729</v>
      </c>
      <c r="B2307" t="s">
        <v>5059</v>
      </c>
      <c r="C2307" s="87" t="s">
        <v>1889</v>
      </c>
      <c r="D2307" s="88"/>
      <c r="E2307" s="89">
        <v>64347471</v>
      </c>
      <c r="F2307"/>
      <c r="G2307" s="17" t="s">
        <v>3</v>
      </c>
      <c r="H2307" s="132"/>
      <c r="I2307" s="127" t="s">
        <v>5083</v>
      </c>
      <c r="J2307"/>
      <c r="K2307"/>
      <c r="L2307"/>
    </row>
    <row r="2308" spans="1:12">
      <c r="A2308" s="95" t="s">
        <v>1729</v>
      </c>
      <c r="B2308" t="s">
        <v>5059</v>
      </c>
      <c r="C2308" s="87" t="s">
        <v>1890</v>
      </c>
      <c r="D2308" s="88"/>
      <c r="E2308" s="89">
        <v>65674647</v>
      </c>
      <c r="F2308"/>
      <c r="G2308" s="17" t="s">
        <v>6</v>
      </c>
      <c r="H2308" s="132"/>
      <c r="I2308" s="127" t="s">
        <v>5084</v>
      </c>
      <c r="J2308"/>
      <c r="K2308"/>
      <c r="L2308"/>
    </row>
    <row r="2309" spans="1:12">
      <c r="A2309" s="95" t="s">
        <v>1729</v>
      </c>
      <c r="B2309" t="s">
        <v>5085</v>
      </c>
      <c r="C2309" s="87" t="s">
        <v>1891</v>
      </c>
      <c r="D2309" s="88"/>
      <c r="E2309" s="89">
        <v>64616135</v>
      </c>
      <c r="F2309"/>
      <c r="G2309" s="17" t="s">
        <v>9</v>
      </c>
      <c r="H2309" s="132"/>
      <c r="I2309" s="127" t="s">
        <v>5086</v>
      </c>
      <c r="J2309"/>
      <c r="K2309"/>
      <c r="L2309"/>
    </row>
    <row r="2310" spans="1:12">
      <c r="A2310" s="95" t="s">
        <v>1729</v>
      </c>
      <c r="B2310" t="s">
        <v>5059</v>
      </c>
      <c r="C2310" s="87" t="s">
        <v>1892</v>
      </c>
      <c r="D2310" s="88"/>
      <c r="E2310" s="89">
        <v>69340092</v>
      </c>
      <c r="F2310"/>
      <c r="G2310" s="17" t="s">
        <v>2</v>
      </c>
      <c r="H2310" s="132"/>
      <c r="I2310" s="127" t="s">
        <v>5087</v>
      </c>
      <c r="J2310"/>
      <c r="K2310"/>
      <c r="L2310"/>
    </row>
    <row r="2311" spans="1:12">
      <c r="A2311" s="95" t="s">
        <v>1729</v>
      </c>
      <c r="B2311" t="s">
        <v>5059</v>
      </c>
      <c r="C2311" s="87" t="s">
        <v>1893</v>
      </c>
      <c r="D2311" s="88"/>
      <c r="E2311" s="89">
        <v>65571836</v>
      </c>
      <c r="F2311"/>
      <c r="G2311" s="17" t="s">
        <v>9</v>
      </c>
      <c r="H2311" s="132"/>
      <c r="I2311" s="127" t="s">
        <v>5088</v>
      </c>
      <c r="J2311"/>
      <c r="K2311"/>
      <c r="L2311"/>
    </row>
    <row r="2312" spans="1:12">
      <c r="A2312" s="95" t="s">
        <v>1729</v>
      </c>
      <c r="B2312" t="s">
        <v>5059</v>
      </c>
      <c r="C2312" s="87" t="s">
        <v>1894</v>
      </c>
      <c r="D2312" s="88"/>
      <c r="E2312" s="89">
        <v>63158139</v>
      </c>
      <c r="F2312"/>
      <c r="G2312" s="17" t="s">
        <v>2</v>
      </c>
      <c r="H2312" s="132"/>
      <c r="I2312" s="127" t="s">
        <v>5089</v>
      </c>
      <c r="J2312"/>
      <c r="K2312"/>
      <c r="L2312"/>
    </row>
    <row r="2313" spans="1:12">
      <c r="A2313" s="95" t="s">
        <v>1729</v>
      </c>
      <c r="B2313" t="s">
        <v>5059</v>
      </c>
      <c r="C2313" s="87" t="s">
        <v>1895</v>
      </c>
      <c r="D2313" s="88"/>
      <c r="E2313" s="89">
        <v>7201735</v>
      </c>
      <c r="F2313"/>
      <c r="G2313" s="17" t="s">
        <v>3</v>
      </c>
      <c r="H2313" s="132"/>
      <c r="I2313" s="127" t="s">
        <v>5090</v>
      </c>
      <c r="J2313"/>
      <c r="K2313"/>
      <c r="L2313"/>
    </row>
    <row r="2314" spans="1:12">
      <c r="A2314" s="95" t="s">
        <v>1729</v>
      </c>
      <c r="B2314" t="s">
        <v>5059</v>
      </c>
      <c r="C2314" s="87" t="s">
        <v>1896</v>
      </c>
      <c r="D2314" s="88"/>
      <c r="E2314" s="89">
        <v>7718388</v>
      </c>
      <c r="F2314"/>
      <c r="G2314" s="17" t="s">
        <v>8</v>
      </c>
      <c r="H2314" s="132"/>
      <c r="I2314" s="127" t="s">
        <v>5083</v>
      </c>
      <c r="J2314"/>
      <c r="K2314"/>
      <c r="L2314"/>
    </row>
    <row r="2315" spans="1:12">
      <c r="A2315" s="95" t="s">
        <v>1729</v>
      </c>
      <c r="B2315" t="s">
        <v>5059</v>
      </c>
      <c r="C2315" s="87" t="s">
        <v>1897</v>
      </c>
      <c r="D2315" s="88"/>
      <c r="E2315" s="89">
        <v>7092256</v>
      </c>
      <c r="F2315"/>
      <c r="G2315" s="17" t="s">
        <v>1</v>
      </c>
      <c r="H2315" s="132"/>
      <c r="I2315" s="127" t="s">
        <v>5091</v>
      </c>
      <c r="J2315"/>
      <c r="K2315"/>
      <c r="L2315"/>
    </row>
    <row r="2316" spans="1:12">
      <c r="A2316" s="95" t="s">
        <v>1729</v>
      </c>
      <c r="B2316" t="s">
        <v>5059</v>
      </c>
      <c r="C2316" s="87" t="s">
        <v>1898</v>
      </c>
      <c r="D2316" s="88"/>
      <c r="E2316" s="89">
        <v>7790920</v>
      </c>
      <c r="F2316"/>
      <c r="G2316" s="17" t="s">
        <v>5</v>
      </c>
      <c r="H2316" s="132"/>
      <c r="I2316" s="127" t="s">
        <v>5092</v>
      </c>
      <c r="J2316"/>
      <c r="K2316"/>
      <c r="L2316"/>
    </row>
    <row r="2317" spans="1:12">
      <c r="A2317" s="95" t="s">
        <v>1729</v>
      </c>
      <c r="B2317" t="s">
        <v>5059</v>
      </c>
      <c r="C2317" s="87" t="s">
        <v>1899</v>
      </c>
      <c r="D2317" s="88"/>
      <c r="E2317" s="89">
        <v>7744711</v>
      </c>
      <c r="F2317"/>
      <c r="G2317" s="17" t="s">
        <v>2</v>
      </c>
      <c r="H2317" s="132"/>
      <c r="I2317" s="127">
        <v>0.43263888888888891</v>
      </c>
      <c r="J2317"/>
      <c r="K2317"/>
      <c r="L2317"/>
    </row>
    <row r="2318" spans="1:12">
      <c r="A2318" s="95" t="s">
        <v>1729</v>
      </c>
      <c r="B2318" t="s">
        <v>5059</v>
      </c>
      <c r="C2318" s="87" t="s">
        <v>1900</v>
      </c>
      <c r="D2318" s="88"/>
      <c r="E2318" s="89">
        <v>7743350</v>
      </c>
      <c r="F2318"/>
      <c r="G2318" s="17" t="s">
        <v>1</v>
      </c>
      <c r="H2318" s="132"/>
      <c r="I2318" s="127" t="s">
        <v>5093</v>
      </c>
      <c r="J2318"/>
      <c r="K2318"/>
      <c r="L2318"/>
    </row>
    <row r="2319" spans="1:12">
      <c r="A2319" s="95" t="s">
        <v>1729</v>
      </c>
      <c r="B2319" t="s">
        <v>5059</v>
      </c>
      <c r="C2319" s="87" t="s">
        <v>1901</v>
      </c>
      <c r="D2319" s="88"/>
      <c r="E2319" s="89">
        <v>63047024</v>
      </c>
      <c r="F2319"/>
      <c r="G2319" s="17" t="s">
        <v>6</v>
      </c>
      <c r="H2319" s="132"/>
      <c r="I2319" s="127" t="s">
        <v>5094</v>
      </c>
      <c r="J2319"/>
      <c r="K2319"/>
      <c r="L2319"/>
    </row>
    <row r="2320" spans="1:12">
      <c r="A2320" s="95" t="s">
        <v>1729</v>
      </c>
      <c r="B2320" t="s">
        <v>5059</v>
      </c>
      <c r="C2320" s="87" t="s">
        <v>1902</v>
      </c>
      <c r="D2320" s="88"/>
      <c r="E2320" s="89">
        <v>7746880</v>
      </c>
      <c r="F2320"/>
      <c r="G2320" s="17" t="s">
        <v>9</v>
      </c>
      <c r="H2320" s="132"/>
      <c r="I2320" s="127" t="s">
        <v>5095</v>
      </c>
      <c r="J2320"/>
      <c r="K2320"/>
      <c r="L2320"/>
    </row>
    <row r="2321" spans="1:12">
      <c r="A2321" s="95" t="s">
        <v>1729</v>
      </c>
      <c r="B2321" t="s">
        <v>5059</v>
      </c>
      <c r="C2321" s="87" t="s">
        <v>1903</v>
      </c>
      <c r="D2321" s="88"/>
      <c r="E2321" s="89">
        <v>7211675</v>
      </c>
      <c r="F2321"/>
      <c r="G2321" s="17" t="s">
        <v>9</v>
      </c>
      <c r="H2321" s="132"/>
      <c r="I2321" s="127" t="s">
        <v>5095</v>
      </c>
      <c r="J2321"/>
      <c r="K2321"/>
      <c r="L2321"/>
    </row>
    <row r="2322" spans="1:12">
      <c r="A2322" s="95" t="s">
        <v>1729</v>
      </c>
      <c r="B2322" t="s">
        <v>5059</v>
      </c>
      <c r="C2322" s="87" t="s">
        <v>1904</v>
      </c>
      <c r="D2322" s="88"/>
      <c r="E2322" s="89">
        <v>62785002</v>
      </c>
      <c r="F2322"/>
      <c r="G2322" s="17" t="s">
        <v>1</v>
      </c>
      <c r="H2322" s="132"/>
      <c r="I2322" s="127" t="s">
        <v>5096</v>
      </c>
      <c r="J2322"/>
      <c r="K2322"/>
      <c r="L2322"/>
    </row>
    <row r="2323" spans="1:12">
      <c r="A2323" s="95" t="s">
        <v>1729</v>
      </c>
      <c r="B2323" t="s">
        <v>5059</v>
      </c>
      <c r="C2323" s="87" t="s">
        <v>1905</v>
      </c>
      <c r="D2323" s="88"/>
      <c r="E2323" s="89">
        <v>7708164</v>
      </c>
      <c r="F2323"/>
      <c r="G2323" s="17" t="s">
        <v>6</v>
      </c>
      <c r="H2323" s="132"/>
      <c r="I2323" s="127" t="s">
        <v>5097</v>
      </c>
      <c r="J2323"/>
      <c r="K2323"/>
      <c r="L2323"/>
    </row>
    <row r="2324" spans="1:12">
      <c r="A2324" s="95" t="s">
        <v>1729</v>
      </c>
      <c r="B2324" t="s">
        <v>5059</v>
      </c>
      <c r="C2324" s="87" t="s">
        <v>1906</v>
      </c>
      <c r="D2324" s="88"/>
      <c r="E2324" s="89">
        <v>65751712</v>
      </c>
      <c r="F2324"/>
      <c r="G2324" s="17" t="s">
        <v>6</v>
      </c>
      <c r="H2324" s="132"/>
      <c r="I2324" s="127" t="s">
        <v>5097</v>
      </c>
      <c r="J2324"/>
      <c r="K2324"/>
      <c r="L2324"/>
    </row>
    <row r="2325" spans="1:12">
      <c r="A2325" s="95" t="s">
        <v>1729</v>
      </c>
      <c r="B2325" t="s">
        <v>5059</v>
      </c>
      <c r="C2325" s="87" t="s">
        <v>1907</v>
      </c>
      <c r="D2325" s="88"/>
      <c r="E2325" s="89">
        <v>7774142</v>
      </c>
      <c r="F2325"/>
      <c r="G2325" s="17" t="s">
        <v>6</v>
      </c>
      <c r="H2325" s="132"/>
      <c r="I2325" s="127" t="s">
        <v>5098</v>
      </c>
      <c r="J2325"/>
      <c r="K2325"/>
      <c r="L2325"/>
    </row>
    <row r="2326" spans="1:12">
      <c r="A2326" s="95" t="s">
        <v>1729</v>
      </c>
      <c r="B2326" t="s">
        <v>5059</v>
      </c>
      <c r="C2326" s="87" t="s">
        <v>1908</v>
      </c>
      <c r="D2326" s="88"/>
      <c r="E2326" s="89">
        <v>7744426</v>
      </c>
      <c r="F2326"/>
      <c r="G2326" s="17" t="s">
        <v>6</v>
      </c>
      <c r="H2326" s="132"/>
      <c r="I2326" s="127" t="s">
        <v>5099</v>
      </c>
      <c r="J2326"/>
      <c r="K2326"/>
      <c r="L2326"/>
    </row>
    <row r="2327" spans="1:12">
      <c r="A2327" s="95" t="s">
        <v>1729</v>
      </c>
      <c r="B2327" t="s">
        <v>5059</v>
      </c>
      <c r="C2327" s="87" t="s">
        <v>1909</v>
      </c>
      <c r="D2327" s="88"/>
      <c r="E2327" s="89">
        <v>7742164</v>
      </c>
      <c r="F2327"/>
      <c r="G2327" s="17" t="s">
        <v>8</v>
      </c>
      <c r="H2327" s="132"/>
      <c r="I2327" s="127" t="s">
        <v>5100</v>
      </c>
      <c r="J2327"/>
      <c r="K2327"/>
      <c r="L2327"/>
    </row>
    <row r="2328" spans="1:12">
      <c r="A2328" s="94" t="s">
        <v>1729</v>
      </c>
      <c r="B2328" t="s">
        <v>5059</v>
      </c>
      <c r="C2328" s="92"/>
      <c r="D2328" s="17" t="s">
        <v>5101</v>
      </c>
      <c r="E2328" s="93" t="s">
        <v>5102</v>
      </c>
      <c r="F2328"/>
      <c r="G2328" s="17" t="s">
        <v>2</v>
      </c>
      <c r="H2328" s="132"/>
      <c r="I2328" s="127" t="s">
        <v>5103</v>
      </c>
      <c r="J2328"/>
      <c r="K2328"/>
      <c r="L2328"/>
    </row>
    <row r="2329" spans="1:12">
      <c r="A2329" s="94" t="s">
        <v>1729</v>
      </c>
      <c r="B2329" t="s">
        <v>5059</v>
      </c>
      <c r="C2329" s="92"/>
      <c r="D2329" s="17" t="s">
        <v>5104</v>
      </c>
      <c r="E2329" s="93" t="s">
        <v>5105</v>
      </c>
      <c r="F2329"/>
      <c r="G2329" s="17" t="s">
        <v>6</v>
      </c>
      <c r="H2329" s="132"/>
      <c r="I2329" s="127" t="s">
        <v>5106</v>
      </c>
      <c r="J2329"/>
      <c r="K2329"/>
      <c r="L2329"/>
    </row>
    <row r="2330" spans="1:12">
      <c r="A2330" s="94" t="s">
        <v>1729</v>
      </c>
      <c r="B2330" t="s">
        <v>5059</v>
      </c>
      <c r="C2330" s="92"/>
      <c r="D2330" s="17" t="s">
        <v>5107</v>
      </c>
      <c r="E2330" s="93" t="s">
        <v>5108</v>
      </c>
      <c r="F2330"/>
      <c r="G2330" s="17" t="s">
        <v>1</v>
      </c>
      <c r="H2330" s="132"/>
      <c r="I2330" s="127" t="s">
        <v>5109</v>
      </c>
      <c r="J2330"/>
      <c r="K2330"/>
      <c r="L2330" t="s">
        <v>5110</v>
      </c>
    </row>
    <row r="2331" spans="1:12">
      <c r="A2331" s="94" t="s">
        <v>1729</v>
      </c>
      <c r="B2331" t="s">
        <v>5059</v>
      </c>
      <c r="C2331" s="92"/>
      <c r="D2331" s="17" t="s">
        <v>5111</v>
      </c>
      <c r="E2331" s="93" t="s">
        <v>5112</v>
      </c>
      <c r="F2331"/>
      <c r="G2331" s="17" t="s">
        <v>3</v>
      </c>
      <c r="H2331" s="132"/>
      <c r="I2331" s="127" t="s">
        <v>5113</v>
      </c>
      <c r="J2331"/>
      <c r="K2331"/>
      <c r="L2331"/>
    </row>
    <row r="2332" spans="1:12">
      <c r="A2332" s="94" t="s">
        <v>1729</v>
      </c>
      <c r="B2332" t="s">
        <v>5059</v>
      </c>
      <c r="C2332" s="92"/>
      <c r="D2332" s="17" t="s">
        <v>5114</v>
      </c>
      <c r="E2332" s="93" t="s">
        <v>5115</v>
      </c>
      <c r="F2332"/>
      <c r="G2332" s="17" t="s">
        <v>1</v>
      </c>
      <c r="H2332" s="132"/>
      <c r="I2332" s="127" t="s">
        <v>5116</v>
      </c>
      <c r="J2332"/>
      <c r="K2332"/>
      <c r="L2332"/>
    </row>
    <row r="2333" spans="1:12">
      <c r="A2333" s="94" t="s">
        <v>1729</v>
      </c>
      <c r="B2333" t="s">
        <v>5059</v>
      </c>
      <c r="C2333" s="92"/>
      <c r="D2333" s="17" t="s">
        <v>5117</v>
      </c>
      <c r="E2333" s="93" t="s">
        <v>5118</v>
      </c>
      <c r="F2333"/>
      <c r="G2333" s="17" t="s">
        <v>2</v>
      </c>
      <c r="H2333" s="132"/>
      <c r="I2333" s="127" t="s">
        <v>5119</v>
      </c>
      <c r="J2333"/>
      <c r="K2333"/>
      <c r="L2333"/>
    </row>
    <row r="2334" spans="1:12">
      <c r="A2334" s="94" t="s">
        <v>1729</v>
      </c>
      <c r="B2334" t="s">
        <v>5059</v>
      </c>
      <c r="C2334" s="92"/>
      <c r="D2334" s="17" t="s">
        <v>5120</v>
      </c>
      <c r="E2334" s="93" t="s">
        <v>5121</v>
      </c>
      <c r="F2334"/>
      <c r="G2334" s="17" t="s">
        <v>6</v>
      </c>
      <c r="H2334" s="132"/>
      <c r="I2334" s="127" t="s">
        <v>5122</v>
      </c>
      <c r="J2334"/>
      <c r="K2334"/>
      <c r="L2334"/>
    </row>
    <row r="2335" spans="1:12">
      <c r="A2335" s="94" t="s">
        <v>1729</v>
      </c>
      <c r="B2335" t="s">
        <v>5059</v>
      </c>
      <c r="C2335" s="92"/>
      <c r="D2335" s="17" t="s">
        <v>5123</v>
      </c>
      <c r="E2335" s="93" t="s">
        <v>5124</v>
      </c>
      <c r="F2335"/>
      <c r="G2335" s="17" t="s">
        <v>1</v>
      </c>
      <c r="H2335" s="132"/>
      <c r="I2335" s="127" t="s">
        <v>5125</v>
      </c>
      <c r="J2335"/>
      <c r="K2335"/>
      <c r="L2335"/>
    </row>
    <row r="2336" spans="1:12">
      <c r="A2336" s="94" t="s">
        <v>1729</v>
      </c>
      <c r="B2336" t="s">
        <v>5059</v>
      </c>
      <c r="C2336" s="92"/>
      <c r="D2336" s="17" t="s">
        <v>5126</v>
      </c>
      <c r="E2336" s="93" t="s">
        <v>5127</v>
      </c>
      <c r="F2336"/>
      <c r="G2336" s="17" t="s">
        <v>1</v>
      </c>
      <c r="H2336" s="132"/>
      <c r="I2336" s="127" t="s">
        <v>5128</v>
      </c>
      <c r="J2336"/>
      <c r="K2336"/>
      <c r="L2336"/>
    </row>
    <row r="2337" spans="1:12">
      <c r="A2337" s="94" t="s">
        <v>1729</v>
      </c>
      <c r="B2337" t="s">
        <v>5059</v>
      </c>
      <c r="C2337" s="92"/>
      <c r="D2337" s="17" t="s">
        <v>5129</v>
      </c>
      <c r="E2337" s="93" t="s">
        <v>5130</v>
      </c>
      <c r="F2337"/>
      <c r="G2337" s="17" t="s">
        <v>6</v>
      </c>
      <c r="H2337" s="132"/>
      <c r="I2337" s="127" t="s">
        <v>5131</v>
      </c>
      <c r="J2337"/>
      <c r="K2337"/>
      <c r="L2337"/>
    </row>
    <row r="2338" spans="1:12">
      <c r="A2338" s="94" t="s">
        <v>1729</v>
      </c>
      <c r="B2338" t="s">
        <v>5059</v>
      </c>
      <c r="C2338" s="92"/>
      <c r="D2338" s="17" t="s">
        <v>5132</v>
      </c>
      <c r="E2338" s="93" t="s">
        <v>5133</v>
      </c>
      <c r="F2338"/>
      <c r="G2338" s="17" t="s">
        <v>1</v>
      </c>
      <c r="H2338" s="132"/>
      <c r="I2338" s="127" t="s">
        <v>5134</v>
      </c>
      <c r="J2338"/>
      <c r="K2338"/>
      <c r="L2338"/>
    </row>
    <row r="2339" spans="1:12">
      <c r="A2339" s="94" t="s">
        <v>1729</v>
      </c>
      <c r="B2339" t="s">
        <v>5059</v>
      </c>
      <c r="C2339" s="92"/>
      <c r="D2339" s="17" t="s">
        <v>5135</v>
      </c>
      <c r="E2339" s="93" t="s">
        <v>4547</v>
      </c>
      <c r="F2339"/>
      <c r="G2339" s="17" t="s">
        <v>1</v>
      </c>
      <c r="H2339" s="132"/>
      <c r="I2339" s="127" t="s">
        <v>5136</v>
      </c>
      <c r="J2339"/>
      <c r="K2339"/>
      <c r="L2339"/>
    </row>
    <row r="2340" spans="1:12">
      <c r="A2340" s="94" t="s">
        <v>1729</v>
      </c>
      <c r="B2340" t="s">
        <v>5059</v>
      </c>
      <c r="C2340" s="92"/>
      <c r="D2340" s="17" t="s">
        <v>5137</v>
      </c>
      <c r="E2340" s="93" t="s">
        <v>5138</v>
      </c>
      <c r="F2340"/>
      <c r="G2340" s="17" t="s">
        <v>6</v>
      </c>
      <c r="H2340" s="132"/>
      <c r="I2340" s="127" t="s">
        <v>5139</v>
      </c>
      <c r="J2340"/>
      <c r="K2340"/>
      <c r="L2340"/>
    </row>
    <row r="2341" spans="1:12">
      <c r="A2341" s="94" t="s">
        <v>1729</v>
      </c>
      <c r="B2341" t="s">
        <v>5059</v>
      </c>
      <c r="C2341" s="92"/>
      <c r="D2341" s="17" t="s">
        <v>5140</v>
      </c>
      <c r="E2341" s="93" t="s">
        <v>4666</v>
      </c>
      <c r="F2341"/>
      <c r="G2341" s="17" t="s">
        <v>2</v>
      </c>
      <c r="H2341" s="132"/>
      <c r="I2341" s="127" t="s">
        <v>5141</v>
      </c>
      <c r="J2341"/>
      <c r="K2341"/>
      <c r="L2341"/>
    </row>
    <row r="2342" spans="1:12">
      <c r="A2342" s="94" t="s">
        <v>1729</v>
      </c>
      <c r="B2342" t="s">
        <v>5059</v>
      </c>
      <c r="C2342" s="92"/>
      <c r="D2342" s="17" t="s">
        <v>5142</v>
      </c>
      <c r="E2342" s="93" t="s">
        <v>5143</v>
      </c>
      <c r="F2342"/>
      <c r="G2342" s="17" t="s">
        <v>2</v>
      </c>
      <c r="H2342" s="132"/>
      <c r="I2342" s="127" t="s">
        <v>5144</v>
      </c>
      <c r="J2342"/>
      <c r="K2342"/>
      <c r="L2342"/>
    </row>
    <row r="2343" spans="1:12">
      <c r="A2343" s="94" t="s">
        <v>1729</v>
      </c>
      <c r="B2343" t="s">
        <v>5059</v>
      </c>
      <c r="C2343" s="92"/>
      <c r="D2343" s="17" t="s">
        <v>5145</v>
      </c>
      <c r="E2343" s="93" t="s">
        <v>5146</v>
      </c>
      <c r="F2343"/>
      <c r="G2343" s="17" t="s">
        <v>9</v>
      </c>
      <c r="H2343" s="132"/>
      <c r="I2343" s="127" t="s">
        <v>5147</v>
      </c>
      <c r="J2343"/>
      <c r="K2343"/>
      <c r="L2343"/>
    </row>
    <row r="2344" spans="1:12">
      <c r="A2344" s="94" t="s">
        <v>1729</v>
      </c>
      <c r="B2344" t="s">
        <v>5059</v>
      </c>
      <c r="C2344" s="92"/>
      <c r="D2344" s="17" t="s">
        <v>5148</v>
      </c>
      <c r="E2344" s="93" t="s">
        <v>5149</v>
      </c>
      <c r="F2344"/>
      <c r="G2344" s="17" t="s">
        <v>1</v>
      </c>
      <c r="H2344" s="132"/>
      <c r="I2344" s="127" t="s">
        <v>5150</v>
      </c>
      <c r="J2344"/>
      <c r="K2344"/>
      <c r="L2344"/>
    </row>
    <row r="2345" spans="1:12">
      <c r="A2345" s="94" t="s">
        <v>1729</v>
      </c>
      <c r="B2345" t="s">
        <v>5059</v>
      </c>
      <c r="C2345" s="92"/>
      <c r="D2345" s="17" t="s">
        <v>5151</v>
      </c>
      <c r="E2345" s="93" t="s">
        <v>5152</v>
      </c>
      <c r="F2345"/>
      <c r="G2345" s="17" t="s">
        <v>6</v>
      </c>
      <c r="H2345" s="132"/>
      <c r="I2345" s="127" t="s">
        <v>5153</v>
      </c>
      <c r="J2345"/>
      <c r="K2345"/>
      <c r="L2345"/>
    </row>
    <row r="2346" spans="1:12">
      <c r="A2346" s="94" t="s">
        <v>1729</v>
      </c>
      <c r="B2346" t="s">
        <v>5059</v>
      </c>
      <c r="C2346" s="92"/>
      <c r="D2346" s="17" t="s">
        <v>5154</v>
      </c>
      <c r="E2346" s="93" t="s">
        <v>5155</v>
      </c>
      <c r="F2346"/>
      <c r="G2346" s="17" t="s">
        <v>1</v>
      </c>
      <c r="H2346" s="132"/>
      <c r="I2346" s="127" t="s">
        <v>5156</v>
      </c>
      <c r="J2346"/>
      <c r="K2346"/>
      <c r="L2346"/>
    </row>
    <row r="2347" spans="1:12">
      <c r="A2347" s="94" t="s">
        <v>1729</v>
      </c>
      <c r="B2347" t="s">
        <v>5059</v>
      </c>
      <c r="C2347" s="92"/>
      <c r="D2347" s="17" t="s">
        <v>5157</v>
      </c>
      <c r="E2347" s="93" t="s">
        <v>5158</v>
      </c>
      <c r="F2347"/>
      <c r="G2347" s="17" t="s">
        <v>8</v>
      </c>
      <c r="H2347" s="132"/>
      <c r="I2347" s="127" t="s">
        <v>5159</v>
      </c>
      <c r="J2347"/>
      <c r="K2347"/>
      <c r="L2347"/>
    </row>
    <row r="2348" spans="1:12">
      <c r="A2348" s="94" t="s">
        <v>1729</v>
      </c>
      <c r="B2348" t="s">
        <v>5059</v>
      </c>
      <c r="C2348" s="92"/>
      <c r="D2348" s="17" t="s">
        <v>5160</v>
      </c>
      <c r="E2348" s="93" t="s">
        <v>5161</v>
      </c>
      <c r="F2348"/>
      <c r="G2348" s="17" t="s">
        <v>6</v>
      </c>
      <c r="H2348" s="132"/>
      <c r="I2348" s="127" t="s">
        <v>5162</v>
      </c>
      <c r="J2348"/>
      <c r="K2348"/>
      <c r="L2348"/>
    </row>
    <row r="2349" spans="1:12">
      <c r="A2349" s="94" t="s">
        <v>1729</v>
      </c>
      <c r="B2349" t="s">
        <v>5059</v>
      </c>
      <c r="C2349" s="92"/>
      <c r="D2349" s="17" t="s">
        <v>5163</v>
      </c>
      <c r="E2349" s="93" t="s">
        <v>5164</v>
      </c>
      <c r="F2349"/>
      <c r="G2349" s="17" t="s">
        <v>2</v>
      </c>
      <c r="H2349" s="132"/>
      <c r="I2349" s="127" t="s">
        <v>5165</v>
      </c>
      <c r="J2349"/>
      <c r="K2349"/>
      <c r="L2349"/>
    </row>
    <row r="2350" spans="1:12">
      <c r="A2350" s="94" t="s">
        <v>1729</v>
      </c>
      <c r="B2350" t="s">
        <v>5059</v>
      </c>
      <c r="C2350" s="92"/>
      <c r="D2350" s="17" t="s">
        <v>5166</v>
      </c>
      <c r="E2350" s="93" t="s">
        <v>5167</v>
      </c>
      <c r="F2350"/>
      <c r="G2350" s="17" t="s">
        <v>6</v>
      </c>
      <c r="H2350" s="132"/>
      <c r="I2350" s="127" t="s">
        <v>5168</v>
      </c>
      <c r="J2350"/>
      <c r="K2350"/>
      <c r="L2350"/>
    </row>
    <row r="2351" spans="1:12">
      <c r="A2351" s="94" t="s">
        <v>1729</v>
      </c>
      <c r="B2351" t="s">
        <v>5059</v>
      </c>
      <c r="C2351" s="92"/>
      <c r="D2351" s="17" t="s">
        <v>5169</v>
      </c>
      <c r="E2351" s="93" t="s">
        <v>5170</v>
      </c>
      <c r="F2351"/>
      <c r="G2351" s="17" t="s">
        <v>1</v>
      </c>
      <c r="H2351" s="132"/>
      <c r="I2351" s="127" t="s">
        <v>5171</v>
      </c>
      <c r="J2351"/>
      <c r="K2351"/>
      <c r="L2351"/>
    </row>
    <row r="2352" spans="1:12">
      <c r="A2352" s="94" t="s">
        <v>1729</v>
      </c>
      <c r="B2352" t="s">
        <v>5059</v>
      </c>
      <c r="C2352" s="92"/>
      <c r="D2352" s="17" t="s">
        <v>5172</v>
      </c>
      <c r="E2352" s="93" t="s">
        <v>5173</v>
      </c>
      <c r="F2352"/>
      <c r="G2352" s="17" t="s">
        <v>2</v>
      </c>
      <c r="H2352" s="132"/>
      <c r="I2352" s="127" t="s">
        <v>5174</v>
      </c>
      <c r="J2352"/>
      <c r="K2352"/>
      <c r="L2352"/>
    </row>
    <row r="2353" spans="1:12">
      <c r="A2353" s="94" t="s">
        <v>1729</v>
      </c>
      <c r="B2353" t="s">
        <v>5059</v>
      </c>
      <c r="C2353" s="92"/>
      <c r="D2353" s="17" t="s">
        <v>5175</v>
      </c>
      <c r="E2353" s="93" t="s">
        <v>5176</v>
      </c>
      <c r="F2353"/>
      <c r="G2353" s="17" t="s">
        <v>1</v>
      </c>
      <c r="H2353" s="132"/>
      <c r="I2353" s="127" t="s">
        <v>5177</v>
      </c>
      <c r="J2353"/>
      <c r="K2353"/>
      <c r="L2353"/>
    </row>
    <row r="2354" spans="1:12">
      <c r="A2354" s="94" t="s">
        <v>1729</v>
      </c>
      <c r="B2354" t="s">
        <v>5059</v>
      </c>
      <c r="C2354" s="92"/>
      <c r="D2354" s="17" t="s">
        <v>3636</v>
      </c>
      <c r="E2354" s="93" t="s">
        <v>3637</v>
      </c>
      <c r="F2354"/>
      <c r="G2354" s="17" t="s">
        <v>1</v>
      </c>
      <c r="H2354" s="132"/>
      <c r="I2354" s="127" t="s">
        <v>5178</v>
      </c>
      <c r="J2354"/>
      <c r="K2354"/>
      <c r="L2354"/>
    </row>
    <row r="2355" spans="1:12">
      <c r="A2355" s="94" t="s">
        <v>1729</v>
      </c>
      <c r="B2355" t="s">
        <v>5059</v>
      </c>
      <c r="C2355" s="92"/>
      <c r="D2355" s="17" t="s">
        <v>3142</v>
      </c>
      <c r="E2355" s="93" t="s">
        <v>5179</v>
      </c>
      <c r="F2355"/>
      <c r="G2355" s="17" t="s">
        <v>6</v>
      </c>
      <c r="H2355" s="132"/>
      <c r="I2355" s="127" t="s">
        <v>5180</v>
      </c>
      <c r="J2355"/>
      <c r="K2355"/>
      <c r="L2355"/>
    </row>
    <row r="2356" spans="1:12">
      <c r="A2356" s="94" t="s">
        <v>1729</v>
      </c>
      <c r="B2356" t="s">
        <v>5059</v>
      </c>
      <c r="C2356" s="92"/>
      <c r="D2356" s="17" t="s">
        <v>5181</v>
      </c>
      <c r="E2356" s="93" t="s">
        <v>5182</v>
      </c>
      <c r="F2356"/>
      <c r="G2356" s="17" t="s">
        <v>6</v>
      </c>
      <c r="H2356" s="132"/>
      <c r="I2356" s="127" t="s">
        <v>5180</v>
      </c>
      <c r="J2356"/>
      <c r="K2356"/>
      <c r="L2356"/>
    </row>
    <row r="2357" spans="1:12">
      <c r="A2357" s="94" t="s">
        <v>1729</v>
      </c>
      <c r="B2357" t="s">
        <v>5059</v>
      </c>
      <c r="C2357" s="92"/>
      <c r="D2357" s="17" t="s">
        <v>5183</v>
      </c>
      <c r="E2357" s="93" t="s">
        <v>5184</v>
      </c>
      <c r="F2357"/>
      <c r="G2357" s="17" t="s">
        <v>9</v>
      </c>
      <c r="H2357" s="132"/>
      <c r="I2357" s="127" t="s">
        <v>5185</v>
      </c>
      <c r="J2357"/>
      <c r="K2357"/>
      <c r="L2357"/>
    </row>
    <row r="2358" spans="1:12">
      <c r="A2358" s="94" t="s">
        <v>1729</v>
      </c>
      <c r="B2358" t="s">
        <v>5059</v>
      </c>
      <c r="C2358" s="92"/>
      <c r="D2358" s="17" t="s">
        <v>5186</v>
      </c>
      <c r="E2358" s="93" t="s">
        <v>5187</v>
      </c>
      <c r="F2358"/>
      <c r="G2358" s="17" t="s">
        <v>2</v>
      </c>
      <c r="H2358" s="132"/>
      <c r="I2358" s="127" t="s">
        <v>5188</v>
      </c>
      <c r="J2358"/>
      <c r="K2358"/>
      <c r="L2358"/>
    </row>
    <row r="2359" spans="1:12">
      <c r="A2359" s="94" t="s">
        <v>1729</v>
      </c>
      <c r="B2359" t="s">
        <v>5059</v>
      </c>
      <c r="C2359" s="92"/>
      <c r="D2359" s="17" t="s">
        <v>5189</v>
      </c>
      <c r="E2359" s="93" t="s">
        <v>5190</v>
      </c>
      <c r="F2359"/>
      <c r="G2359" s="17" t="s">
        <v>1</v>
      </c>
      <c r="H2359" s="132"/>
      <c r="I2359" s="127" t="s">
        <v>5188</v>
      </c>
      <c r="J2359"/>
      <c r="K2359"/>
      <c r="L2359"/>
    </row>
    <row r="2360" spans="1:12">
      <c r="A2360" s="94" t="s">
        <v>1729</v>
      </c>
      <c r="B2360" t="s">
        <v>5059</v>
      </c>
      <c r="C2360" s="92"/>
      <c r="D2360" s="17" t="s">
        <v>5191</v>
      </c>
      <c r="E2360" s="93" t="s">
        <v>5192</v>
      </c>
      <c r="F2360"/>
      <c r="G2360" s="17" t="s">
        <v>1</v>
      </c>
      <c r="H2360" s="132"/>
      <c r="I2360" s="127" t="s">
        <v>5193</v>
      </c>
      <c r="J2360"/>
      <c r="K2360"/>
      <c r="L2360"/>
    </row>
    <row r="2361" spans="1:12">
      <c r="A2361" s="94" t="s">
        <v>1729</v>
      </c>
      <c r="B2361" t="s">
        <v>5059</v>
      </c>
      <c r="C2361" s="92"/>
      <c r="D2361" s="17" t="s">
        <v>5194</v>
      </c>
      <c r="E2361" s="93" t="s">
        <v>5195</v>
      </c>
      <c r="F2361"/>
      <c r="G2361" s="17" t="s">
        <v>1</v>
      </c>
      <c r="H2361" s="132"/>
      <c r="I2361" s="127" t="s">
        <v>5196</v>
      </c>
      <c r="J2361"/>
      <c r="K2361"/>
      <c r="L2361"/>
    </row>
    <row r="2362" spans="1:12">
      <c r="A2362" s="94" t="s">
        <v>1729</v>
      </c>
      <c r="B2362" t="s">
        <v>5059</v>
      </c>
      <c r="C2362" s="92"/>
      <c r="D2362" s="17" t="s">
        <v>5197</v>
      </c>
      <c r="E2362" s="93" t="s">
        <v>5198</v>
      </c>
      <c r="F2362"/>
      <c r="G2362" s="17" t="s">
        <v>2</v>
      </c>
      <c r="H2362" s="132"/>
      <c r="I2362" s="127" t="s">
        <v>5199</v>
      </c>
      <c r="J2362"/>
      <c r="K2362"/>
      <c r="L2362"/>
    </row>
    <row r="2363" spans="1:12">
      <c r="A2363" s="94" t="s">
        <v>1729</v>
      </c>
      <c r="B2363" t="s">
        <v>5059</v>
      </c>
      <c r="C2363" s="92"/>
      <c r="D2363" s="17" t="s">
        <v>5200</v>
      </c>
      <c r="E2363" s="93" t="s">
        <v>5201</v>
      </c>
      <c r="F2363"/>
      <c r="G2363" s="17" t="s">
        <v>1</v>
      </c>
      <c r="H2363" s="132"/>
      <c r="I2363" s="127" t="s">
        <v>5202</v>
      </c>
      <c r="J2363"/>
      <c r="K2363"/>
      <c r="L2363"/>
    </row>
    <row r="2364" spans="1:12">
      <c r="A2364" s="94" t="s">
        <v>1729</v>
      </c>
      <c r="B2364" t="s">
        <v>5059</v>
      </c>
      <c r="C2364" s="92"/>
      <c r="D2364" s="17" t="s">
        <v>5203</v>
      </c>
      <c r="E2364" s="93" t="s">
        <v>5204</v>
      </c>
      <c r="F2364"/>
      <c r="G2364" s="17" t="s">
        <v>1</v>
      </c>
      <c r="H2364" s="132"/>
      <c r="I2364" s="127" t="s">
        <v>5205</v>
      </c>
      <c r="J2364"/>
      <c r="K2364"/>
      <c r="L2364"/>
    </row>
    <row r="2365" spans="1:12">
      <c r="A2365" s="94" t="s">
        <v>1729</v>
      </c>
      <c r="B2365" t="s">
        <v>5059</v>
      </c>
      <c r="C2365" s="92"/>
      <c r="D2365" s="17" t="s">
        <v>5206</v>
      </c>
      <c r="E2365" s="93" t="s">
        <v>3969</v>
      </c>
      <c r="F2365"/>
      <c r="G2365" s="17" t="s">
        <v>6</v>
      </c>
      <c r="H2365" s="132"/>
      <c r="I2365" s="127" t="s">
        <v>5207</v>
      </c>
      <c r="J2365"/>
      <c r="K2365"/>
      <c r="L2365"/>
    </row>
    <row r="2366" spans="1:12">
      <c r="A2366" s="94" t="s">
        <v>1729</v>
      </c>
      <c r="B2366" t="s">
        <v>5059</v>
      </c>
      <c r="C2366" s="92"/>
      <c r="D2366" s="17" t="s">
        <v>5208</v>
      </c>
      <c r="E2366" s="93" t="s">
        <v>5209</v>
      </c>
      <c r="F2366"/>
      <c r="G2366" s="17" t="s">
        <v>6</v>
      </c>
      <c r="H2366" s="132"/>
      <c r="I2366" s="127" t="s">
        <v>5210</v>
      </c>
      <c r="J2366"/>
      <c r="K2366"/>
      <c r="L2366"/>
    </row>
    <row r="2367" spans="1:12">
      <c r="A2367" s="94" t="s">
        <v>1729</v>
      </c>
      <c r="B2367" t="s">
        <v>5059</v>
      </c>
      <c r="C2367" s="92"/>
      <c r="D2367" s="17" t="s">
        <v>5211</v>
      </c>
      <c r="E2367" s="93" t="s">
        <v>5212</v>
      </c>
      <c r="F2367"/>
      <c r="G2367" s="17" t="s">
        <v>6</v>
      </c>
      <c r="H2367" s="132"/>
      <c r="I2367" s="127" t="s">
        <v>5213</v>
      </c>
      <c r="J2367"/>
      <c r="K2367"/>
      <c r="L2367"/>
    </row>
    <row r="2368" spans="1:12">
      <c r="A2368" s="94" t="s">
        <v>1729</v>
      </c>
      <c r="B2368" t="s">
        <v>5059</v>
      </c>
      <c r="C2368" s="92"/>
      <c r="D2368" s="17" t="s">
        <v>5214</v>
      </c>
      <c r="E2368" s="93" t="s">
        <v>5215</v>
      </c>
      <c r="F2368"/>
      <c r="G2368" s="17" t="s">
        <v>6</v>
      </c>
      <c r="H2368" s="132"/>
      <c r="I2368" s="127" t="s">
        <v>5216</v>
      </c>
      <c r="J2368"/>
      <c r="K2368"/>
      <c r="L2368"/>
    </row>
    <row r="2369" spans="1:12">
      <c r="A2369" s="94" t="s">
        <v>1729</v>
      </c>
      <c r="B2369" t="s">
        <v>5059</v>
      </c>
      <c r="C2369" s="92"/>
      <c r="D2369" s="17" t="s">
        <v>5217</v>
      </c>
      <c r="E2369" s="93" t="s">
        <v>5218</v>
      </c>
      <c r="F2369"/>
      <c r="G2369" s="17" t="s">
        <v>9</v>
      </c>
      <c r="H2369" s="132"/>
      <c r="I2369" s="127" t="s">
        <v>5219</v>
      </c>
      <c r="J2369"/>
      <c r="K2369"/>
      <c r="L2369"/>
    </row>
    <row r="2370" spans="1:12">
      <c r="A2370" s="94" t="s">
        <v>1729</v>
      </c>
      <c r="B2370" t="s">
        <v>5059</v>
      </c>
      <c r="C2370" s="92"/>
      <c r="D2370" s="17" t="s">
        <v>5220</v>
      </c>
      <c r="E2370" s="93" t="s">
        <v>5221</v>
      </c>
      <c r="F2370"/>
      <c r="G2370" s="17" t="s">
        <v>2</v>
      </c>
      <c r="H2370" s="132"/>
      <c r="I2370" s="127" t="s">
        <v>5222</v>
      </c>
      <c r="J2370"/>
      <c r="K2370"/>
      <c r="L2370"/>
    </row>
    <row r="2371" spans="1:12">
      <c r="A2371" s="94" t="s">
        <v>1729</v>
      </c>
      <c r="B2371" t="s">
        <v>5059</v>
      </c>
      <c r="C2371" s="92"/>
      <c r="D2371" s="17" t="s">
        <v>5223</v>
      </c>
      <c r="E2371" s="93" t="s">
        <v>5224</v>
      </c>
      <c r="F2371"/>
      <c r="G2371" s="17" t="s">
        <v>1</v>
      </c>
      <c r="H2371" s="132"/>
      <c r="I2371" s="127" t="s">
        <v>5225</v>
      </c>
      <c r="J2371"/>
      <c r="K2371"/>
      <c r="L2371"/>
    </row>
    <row r="2372" spans="1:12">
      <c r="A2372" s="94" t="s">
        <v>1729</v>
      </c>
      <c r="B2372" t="s">
        <v>5059</v>
      </c>
      <c r="C2372" s="92"/>
      <c r="D2372" s="17" t="s">
        <v>5226</v>
      </c>
      <c r="E2372" s="93" t="s">
        <v>5227</v>
      </c>
      <c r="F2372"/>
      <c r="G2372" s="17" t="s">
        <v>2</v>
      </c>
      <c r="H2372" s="132"/>
      <c r="I2372" s="127" t="s">
        <v>5228</v>
      </c>
      <c r="J2372"/>
      <c r="K2372"/>
      <c r="L2372"/>
    </row>
    <row r="2373" spans="1:12">
      <c r="A2373" s="94" t="s">
        <v>1729</v>
      </c>
      <c r="B2373" t="s">
        <v>5059</v>
      </c>
      <c r="C2373" s="92"/>
      <c r="D2373" s="17" t="s">
        <v>5229</v>
      </c>
      <c r="E2373" s="93" t="s">
        <v>5230</v>
      </c>
      <c r="F2373"/>
      <c r="G2373" s="17" t="s">
        <v>3</v>
      </c>
      <c r="H2373" s="132"/>
      <c r="I2373" s="127" t="s">
        <v>5231</v>
      </c>
      <c r="J2373"/>
      <c r="K2373"/>
      <c r="L2373"/>
    </row>
    <row r="2374" spans="1:12">
      <c r="A2374" s="94" t="s">
        <v>1729</v>
      </c>
      <c r="B2374" t="s">
        <v>5232</v>
      </c>
      <c r="C2374" s="92"/>
      <c r="D2374" s="17" t="s">
        <v>5233</v>
      </c>
      <c r="E2374" s="93" t="s">
        <v>5234</v>
      </c>
      <c r="F2374"/>
      <c r="G2374" s="17" t="s">
        <v>8</v>
      </c>
      <c r="H2374" s="132">
        <v>46087</v>
      </c>
      <c r="I2374" s="127">
        <v>0.47847222222222224</v>
      </c>
      <c r="J2374"/>
      <c r="K2374"/>
      <c r="L2374"/>
    </row>
    <row r="2375" spans="1:12">
      <c r="A2375" s="94" t="s">
        <v>1729</v>
      </c>
      <c r="B2375" t="s">
        <v>5232</v>
      </c>
      <c r="C2375" s="92"/>
      <c r="D2375" s="17" t="s">
        <v>5235</v>
      </c>
      <c r="E2375" s="93" t="s">
        <v>5236</v>
      </c>
      <c r="F2375"/>
      <c r="G2375" s="17" t="s">
        <v>6</v>
      </c>
      <c r="H2375" s="132">
        <v>46087</v>
      </c>
      <c r="I2375" s="127">
        <v>0.47986111111111113</v>
      </c>
      <c r="J2375"/>
      <c r="K2375"/>
      <c r="L2375"/>
    </row>
    <row r="2376" spans="1:12">
      <c r="A2376" s="94" t="s">
        <v>1729</v>
      </c>
      <c r="B2376" t="s">
        <v>5232</v>
      </c>
      <c r="C2376" s="92"/>
      <c r="D2376" s="17" t="s">
        <v>5237</v>
      </c>
      <c r="E2376" s="93" t="s">
        <v>5238</v>
      </c>
      <c r="F2376"/>
      <c r="G2376" s="17" t="s">
        <v>6</v>
      </c>
      <c r="H2376" s="132">
        <v>46087</v>
      </c>
      <c r="I2376" s="127">
        <v>0.48055555555555557</v>
      </c>
      <c r="J2376"/>
      <c r="K2376"/>
      <c r="L2376"/>
    </row>
    <row r="2377" spans="1:12">
      <c r="A2377" s="94" t="s">
        <v>1729</v>
      </c>
      <c r="B2377" t="s">
        <v>5232</v>
      </c>
      <c r="C2377" s="92"/>
      <c r="D2377" s="17" t="s">
        <v>5239</v>
      </c>
      <c r="E2377" s="93" t="s">
        <v>5240</v>
      </c>
      <c r="F2377"/>
      <c r="G2377" s="17" t="s">
        <v>1</v>
      </c>
      <c r="H2377" s="132">
        <v>46087</v>
      </c>
      <c r="I2377" s="127">
        <v>0.48194444444444445</v>
      </c>
      <c r="J2377"/>
      <c r="K2377"/>
      <c r="L2377"/>
    </row>
    <row r="2378" spans="1:12">
      <c r="A2378" s="94" t="s">
        <v>1729</v>
      </c>
      <c r="B2378" t="s">
        <v>5232</v>
      </c>
      <c r="C2378" s="92"/>
      <c r="D2378" s="17" t="s">
        <v>5241</v>
      </c>
      <c r="E2378" s="93" t="s">
        <v>5242</v>
      </c>
      <c r="F2378"/>
      <c r="G2378" s="17" t="s">
        <v>8</v>
      </c>
      <c r="H2378" s="132">
        <v>46087</v>
      </c>
      <c r="I2378" s="127">
        <v>0.48402777777777778</v>
      </c>
      <c r="J2378"/>
      <c r="K2378"/>
      <c r="L2378"/>
    </row>
    <row r="2379" spans="1:12">
      <c r="A2379" s="94" t="s">
        <v>1729</v>
      </c>
      <c r="B2379" t="s">
        <v>5232</v>
      </c>
      <c r="C2379" s="92"/>
      <c r="D2379" s="17" t="s">
        <v>5243</v>
      </c>
      <c r="E2379" s="93" t="s">
        <v>5244</v>
      </c>
      <c r="F2379"/>
      <c r="G2379" s="17" t="s">
        <v>1</v>
      </c>
      <c r="H2379" s="132">
        <v>46087</v>
      </c>
      <c r="I2379" s="127">
        <v>0.48541666666666666</v>
      </c>
      <c r="J2379"/>
      <c r="K2379"/>
      <c r="L2379"/>
    </row>
    <row r="2380" spans="1:12">
      <c r="A2380" s="94" t="s">
        <v>1729</v>
      </c>
      <c r="B2380" t="s">
        <v>5232</v>
      </c>
      <c r="C2380" s="92"/>
      <c r="D2380" s="17" t="s">
        <v>5245</v>
      </c>
      <c r="E2380" s="93" t="s">
        <v>5246</v>
      </c>
      <c r="F2380"/>
      <c r="G2380" s="17" t="s">
        <v>3</v>
      </c>
      <c r="H2380" s="132">
        <v>46087</v>
      </c>
      <c r="I2380" s="127">
        <v>0.49583333333333335</v>
      </c>
      <c r="J2380"/>
      <c r="K2380"/>
      <c r="L2380"/>
    </row>
    <row r="2381" spans="1:12">
      <c r="A2381" s="94" t="s">
        <v>1729</v>
      </c>
      <c r="B2381" t="s">
        <v>5232</v>
      </c>
      <c r="C2381" s="92"/>
      <c r="D2381" s="17" t="s">
        <v>5247</v>
      </c>
      <c r="E2381" s="93" t="s">
        <v>5248</v>
      </c>
      <c r="F2381"/>
      <c r="G2381" s="17" t="s">
        <v>6</v>
      </c>
      <c r="H2381" s="132">
        <v>46087</v>
      </c>
      <c r="I2381" s="127">
        <v>0.49791666666666667</v>
      </c>
      <c r="J2381"/>
      <c r="K2381"/>
      <c r="L2381"/>
    </row>
    <row r="2382" spans="1:12">
      <c r="A2382" s="94" t="s">
        <v>1729</v>
      </c>
      <c r="B2382" t="s">
        <v>5232</v>
      </c>
      <c r="C2382" s="92"/>
      <c r="D2382" s="17" t="s">
        <v>5249</v>
      </c>
      <c r="E2382" s="93" t="s">
        <v>5250</v>
      </c>
      <c r="F2382"/>
      <c r="G2382" s="17" t="s">
        <v>4</v>
      </c>
      <c r="H2382" s="132">
        <v>46087</v>
      </c>
      <c r="J2382"/>
      <c r="K2382"/>
      <c r="L2382" t="s">
        <v>5251</v>
      </c>
    </row>
    <row r="2383" spans="1:12">
      <c r="A2383" s="94" t="s">
        <v>1729</v>
      </c>
      <c r="B2383" t="s">
        <v>5232</v>
      </c>
      <c r="C2383" s="92"/>
      <c r="D2383" s="17" t="s">
        <v>5252</v>
      </c>
      <c r="E2383" s="93" t="s">
        <v>5253</v>
      </c>
      <c r="F2383"/>
      <c r="G2383" s="17" t="s">
        <v>6</v>
      </c>
      <c r="H2383" s="132">
        <v>46087</v>
      </c>
      <c r="I2383" s="127">
        <v>0.49861111111111112</v>
      </c>
      <c r="J2383"/>
      <c r="K2383"/>
      <c r="L2383"/>
    </row>
    <row r="2384" spans="1:12">
      <c r="A2384" s="94" t="s">
        <v>1729</v>
      </c>
      <c r="B2384" t="s">
        <v>5232</v>
      </c>
      <c r="C2384" s="92"/>
      <c r="D2384" s="17" t="s">
        <v>3693</v>
      </c>
      <c r="E2384" s="93" t="s">
        <v>3694</v>
      </c>
      <c r="F2384"/>
      <c r="G2384" s="17" t="s">
        <v>1</v>
      </c>
      <c r="H2384" s="132">
        <v>46087</v>
      </c>
      <c r="I2384" s="127">
        <v>0.50069444444444444</v>
      </c>
      <c r="J2384"/>
      <c r="K2384"/>
      <c r="L2384"/>
    </row>
    <row r="2385" spans="1:12">
      <c r="A2385" s="94" t="s">
        <v>1729</v>
      </c>
      <c r="B2385" t="s">
        <v>5232</v>
      </c>
      <c r="C2385" s="92"/>
      <c r="D2385" s="17" t="s">
        <v>5254</v>
      </c>
      <c r="E2385" s="93" t="s">
        <v>5255</v>
      </c>
      <c r="F2385"/>
      <c r="G2385" s="17" t="s">
        <v>4</v>
      </c>
      <c r="H2385" s="132">
        <v>46087</v>
      </c>
      <c r="I2385" s="127">
        <v>0.50208333333333333</v>
      </c>
      <c r="J2385"/>
      <c r="K2385"/>
      <c r="L2385" t="s">
        <v>5055</v>
      </c>
    </row>
    <row r="2386" spans="1:12">
      <c r="A2386" s="94" t="s">
        <v>1729</v>
      </c>
      <c r="B2386" t="s">
        <v>5232</v>
      </c>
      <c r="C2386" s="92"/>
      <c r="D2386" s="17" t="s">
        <v>5256</v>
      </c>
      <c r="E2386" s="93" t="s">
        <v>5257</v>
      </c>
      <c r="F2386"/>
      <c r="G2386" s="17" t="s">
        <v>9</v>
      </c>
      <c r="H2386" s="132">
        <v>46087</v>
      </c>
      <c r="I2386" s="127">
        <v>0.50347222222222221</v>
      </c>
      <c r="J2386"/>
      <c r="K2386"/>
      <c r="L2386" t="s">
        <v>5258</v>
      </c>
    </row>
    <row r="2387" spans="1:12">
      <c r="A2387" s="94" t="s">
        <v>1729</v>
      </c>
      <c r="B2387" t="s">
        <v>5232</v>
      </c>
      <c r="C2387" s="92"/>
      <c r="D2387" s="17" t="s">
        <v>5259</v>
      </c>
      <c r="E2387" s="93">
        <v>65350900</v>
      </c>
      <c r="F2387"/>
      <c r="G2387" s="17" t="s">
        <v>6</v>
      </c>
      <c r="H2387" s="132">
        <v>46087</v>
      </c>
      <c r="I2387" s="127">
        <v>0.50416666666666665</v>
      </c>
      <c r="J2387"/>
      <c r="K2387"/>
      <c r="L2387"/>
    </row>
    <row r="2388" spans="1:12">
      <c r="A2388" s="94" t="s">
        <v>1729</v>
      </c>
      <c r="B2388" t="s">
        <v>5232</v>
      </c>
      <c r="C2388" s="92"/>
      <c r="D2388" s="17" t="s">
        <v>5260</v>
      </c>
      <c r="E2388" s="93">
        <v>69214855</v>
      </c>
      <c r="F2388"/>
      <c r="G2388" s="17" t="s">
        <v>1</v>
      </c>
      <c r="H2388" s="132">
        <v>46087</v>
      </c>
      <c r="I2388" s="127">
        <v>0.50555555555555554</v>
      </c>
      <c r="J2388"/>
      <c r="K2388"/>
      <c r="L2388"/>
    </row>
    <row r="2389" spans="1:12">
      <c r="A2389" s="94" t="s">
        <v>1729</v>
      </c>
      <c r="B2389" t="s">
        <v>5232</v>
      </c>
      <c r="C2389" s="92"/>
      <c r="D2389" s="17" t="s">
        <v>5261</v>
      </c>
      <c r="E2389" s="93">
        <v>65532872</v>
      </c>
      <c r="F2389"/>
      <c r="G2389" s="17" t="s">
        <v>9</v>
      </c>
      <c r="H2389" s="132">
        <v>46087</v>
      </c>
      <c r="I2389" s="127">
        <v>0.51041666666666663</v>
      </c>
      <c r="J2389"/>
      <c r="K2389"/>
      <c r="L2389" t="s">
        <v>5258</v>
      </c>
    </row>
    <row r="2390" spans="1:12">
      <c r="A2390" s="94" t="s">
        <v>1729</v>
      </c>
      <c r="B2390" t="s">
        <v>5232</v>
      </c>
      <c r="C2390" s="92"/>
      <c r="D2390" s="17" t="s">
        <v>5262</v>
      </c>
      <c r="E2390" s="93">
        <v>65797605</v>
      </c>
      <c r="F2390"/>
      <c r="G2390" s="17" t="s">
        <v>1</v>
      </c>
      <c r="H2390" s="132">
        <v>46087</v>
      </c>
      <c r="I2390" s="127">
        <v>0.51111111111111107</v>
      </c>
      <c r="J2390"/>
      <c r="K2390"/>
      <c r="L2390"/>
    </row>
    <row r="2391" spans="1:12">
      <c r="A2391" s="94" t="s">
        <v>1729</v>
      </c>
      <c r="B2391" t="s">
        <v>5232</v>
      </c>
      <c r="C2391" s="92"/>
      <c r="D2391" s="17" t="s">
        <v>5263</v>
      </c>
      <c r="E2391" s="93" t="s">
        <v>5264</v>
      </c>
      <c r="F2391"/>
      <c r="G2391" s="17" t="s">
        <v>6</v>
      </c>
      <c r="H2391" s="132">
        <v>46087</v>
      </c>
      <c r="I2391" s="127">
        <v>0.51180555555555551</v>
      </c>
      <c r="J2391"/>
      <c r="K2391"/>
      <c r="L2391"/>
    </row>
    <row r="2392" spans="1:12">
      <c r="A2392" s="94" t="s">
        <v>1729</v>
      </c>
      <c r="B2392" t="s">
        <v>5232</v>
      </c>
      <c r="C2392" s="92"/>
      <c r="D2392" s="17" t="s">
        <v>5265</v>
      </c>
      <c r="E2392" s="93" t="s">
        <v>5266</v>
      </c>
      <c r="F2392"/>
      <c r="G2392" s="17" t="s">
        <v>9</v>
      </c>
      <c r="H2392" s="132">
        <v>46087</v>
      </c>
      <c r="I2392" s="127">
        <v>0.51249999999999996</v>
      </c>
      <c r="J2392"/>
      <c r="K2392"/>
      <c r="L2392" t="s">
        <v>5258</v>
      </c>
    </row>
    <row r="2393" spans="1:12">
      <c r="A2393" s="94" t="s">
        <v>1729</v>
      </c>
      <c r="B2393" t="s">
        <v>5232</v>
      </c>
      <c r="C2393" s="92"/>
      <c r="D2393" s="17" t="s">
        <v>5267</v>
      </c>
      <c r="E2393" s="93" t="s">
        <v>5268</v>
      </c>
      <c r="F2393"/>
      <c r="G2393" s="17" t="s">
        <v>2</v>
      </c>
      <c r="H2393" s="132">
        <v>46087</v>
      </c>
      <c r="I2393" s="127">
        <v>0.51388888888888884</v>
      </c>
      <c r="J2393"/>
      <c r="K2393"/>
      <c r="L2393"/>
    </row>
    <row r="2394" spans="1:12">
      <c r="A2394" s="94" t="s">
        <v>1729</v>
      </c>
      <c r="B2394" t="s">
        <v>5232</v>
      </c>
      <c r="C2394" s="92"/>
      <c r="D2394" s="17" t="s">
        <v>5269</v>
      </c>
      <c r="E2394" s="93" t="s">
        <v>5270</v>
      </c>
      <c r="F2394"/>
      <c r="G2394" s="17" t="s">
        <v>1</v>
      </c>
      <c r="H2394" s="132">
        <v>46087</v>
      </c>
      <c r="I2394" s="127">
        <v>0.51388888888888884</v>
      </c>
      <c r="J2394"/>
      <c r="K2394"/>
      <c r="L2394"/>
    </row>
    <row r="2395" spans="1:12">
      <c r="A2395" s="94" t="s">
        <v>1729</v>
      </c>
      <c r="B2395" t="s">
        <v>5232</v>
      </c>
      <c r="C2395" s="92"/>
      <c r="D2395" s="17" t="s">
        <v>5271</v>
      </c>
      <c r="E2395" s="93" t="s">
        <v>3129</v>
      </c>
      <c r="F2395"/>
      <c r="G2395" s="17" t="s">
        <v>6</v>
      </c>
      <c r="H2395" s="132">
        <v>46087</v>
      </c>
      <c r="I2395" s="127">
        <v>0.47499999999999998</v>
      </c>
      <c r="J2395"/>
      <c r="K2395"/>
      <c r="L2395"/>
    </row>
    <row r="2396" spans="1:12">
      <c r="A2396" s="94" t="s">
        <v>1729</v>
      </c>
      <c r="B2396" t="s">
        <v>5232</v>
      </c>
      <c r="C2396" s="92"/>
      <c r="D2396" s="17" t="s">
        <v>5272</v>
      </c>
      <c r="E2396" s="93" t="s">
        <v>5273</v>
      </c>
      <c r="F2396"/>
      <c r="G2396" s="17" t="s">
        <v>6</v>
      </c>
      <c r="H2396" s="132">
        <v>46087</v>
      </c>
      <c r="I2396" s="127">
        <v>0.47430555555555554</v>
      </c>
      <c r="J2396"/>
      <c r="K2396"/>
      <c r="L2396"/>
    </row>
    <row r="2397" spans="1:12">
      <c r="A2397" s="94" t="s">
        <v>1729</v>
      </c>
      <c r="B2397" t="s">
        <v>5232</v>
      </c>
      <c r="C2397" s="92"/>
      <c r="D2397" s="17" t="s">
        <v>5274</v>
      </c>
      <c r="E2397" s="93" t="s">
        <v>4497</v>
      </c>
      <c r="F2397"/>
      <c r="G2397" s="17" t="s">
        <v>6</v>
      </c>
      <c r="H2397" s="132">
        <v>46087</v>
      </c>
      <c r="I2397" s="127">
        <v>0.47430555555555554</v>
      </c>
      <c r="J2397"/>
      <c r="K2397"/>
      <c r="L2397"/>
    </row>
    <row r="2398" spans="1:12">
      <c r="A2398" s="94" t="s">
        <v>1729</v>
      </c>
      <c r="B2398" t="s">
        <v>5232</v>
      </c>
      <c r="C2398" s="92"/>
      <c r="D2398" s="17" t="s">
        <v>5275</v>
      </c>
      <c r="E2398" s="93" t="s">
        <v>5276</v>
      </c>
      <c r="F2398"/>
      <c r="G2398" s="17" t="s">
        <v>6</v>
      </c>
      <c r="H2398" s="132">
        <v>46087</v>
      </c>
      <c r="I2398" s="127">
        <v>0.47361111111111109</v>
      </c>
      <c r="J2398"/>
      <c r="K2398"/>
      <c r="L2398"/>
    </row>
    <row r="2399" spans="1:12">
      <c r="A2399" s="94" t="s">
        <v>1729</v>
      </c>
      <c r="B2399" t="s">
        <v>5232</v>
      </c>
      <c r="C2399" s="92"/>
      <c r="D2399" s="17" t="s">
        <v>5277</v>
      </c>
      <c r="E2399" s="93" t="s">
        <v>5278</v>
      </c>
      <c r="F2399"/>
      <c r="G2399" s="17" t="s">
        <v>6</v>
      </c>
      <c r="H2399" s="132">
        <v>46087</v>
      </c>
      <c r="I2399" s="127">
        <v>0.47291666666666665</v>
      </c>
      <c r="J2399"/>
      <c r="K2399"/>
      <c r="L2399"/>
    </row>
    <row r="2400" spans="1:12">
      <c r="A2400" s="94" t="s">
        <v>1729</v>
      </c>
      <c r="B2400" t="s">
        <v>5232</v>
      </c>
      <c r="C2400" s="92"/>
      <c r="D2400" s="17" t="s">
        <v>5279</v>
      </c>
      <c r="E2400" s="93" t="s">
        <v>5280</v>
      </c>
      <c r="F2400"/>
      <c r="G2400" s="17" t="s">
        <v>8</v>
      </c>
      <c r="H2400" s="132">
        <v>46087</v>
      </c>
      <c r="I2400" s="127">
        <v>0.43541666666666667</v>
      </c>
      <c r="J2400"/>
      <c r="K2400"/>
      <c r="L2400"/>
    </row>
    <row r="2401" spans="1:12">
      <c r="A2401" s="94" t="s">
        <v>1729</v>
      </c>
      <c r="B2401" t="s">
        <v>5232</v>
      </c>
      <c r="C2401" s="92"/>
      <c r="D2401" s="17" t="s">
        <v>5281</v>
      </c>
      <c r="E2401" s="93" t="s">
        <v>5282</v>
      </c>
      <c r="F2401"/>
      <c r="G2401" s="17" t="s">
        <v>2</v>
      </c>
      <c r="H2401" s="132">
        <v>46087</v>
      </c>
      <c r="I2401" s="127">
        <v>0.43472222222222223</v>
      </c>
      <c r="J2401"/>
      <c r="K2401"/>
      <c r="L2401"/>
    </row>
    <row r="2402" spans="1:12">
      <c r="A2402" s="94" t="s">
        <v>1729</v>
      </c>
      <c r="B2402" t="s">
        <v>5232</v>
      </c>
      <c r="C2402" s="92"/>
      <c r="D2402" s="17" t="s">
        <v>5283</v>
      </c>
      <c r="E2402" s="93" t="s">
        <v>5284</v>
      </c>
      <c r="F2402"/>
      <c r="G2402" s="17" t="s">
        <v>4</v>
      </c>
      <c r="H2402" s="132">
        <v>46087</v>
      </c>
      <c r="I2402" s="127">
        <v>0.43402777777777779</v>
      </c>
      <c r="J2402"/>
      <c r="K2402"/>
      <c r="L2402" t="s">
        <v>5285</v>
      </c>
    </row>
    <row r="2403" spans="1:12">
      <c r="A2403" s="94" t="s">
        <v>1729</v>
      </c>
      <c r="B2403" t="s">
        <v>5232</v>
      </c>
      <c r="C2403" s="92"/>
      <c r="D2403" s="17" t="s">
        <v>5286</v>
      </c>
      <c r="E2403" s="93" t="s">
        <v>5287</v>
      </c>
      <c r="F2403"/>
      <c r="G2403" s="17" t="s">
        <v>6</v>
      </c>
      <c r="H2403" s="132">
        <v>46087</v>
      </c>
      <c r="I2403" s="127">
        <v>0.43402777777777779</v>
      </c>
      <c r="J2403"/>
      <c r="K2403"/>
      <c r="L2403"/>
    </row>
    <row r="2404" spans="1:12">
      <c r="A2404" s="94" t="s">
        <v>1729</v>
      </c>
      <c r="B2404" t="s">
        <v>5232</v>
      </c>
      <c r="C2404" s="92"/>
      <c r="D2404" s="17" t="s">
        <v>5288</v>
      </c>
      <c r="E2404" s="93" t="s">
        <v>5289</v>
      </c>
      <c r="F2404"/>
      <c r="G2404" s="17" t="s">
        <v>6</v>
      </c>
      <c r="H2404" s="132">
        <v>46087</v>
      </c>
      <c r="I2404" s="127">
        <v>0.43333333333333335</v>
      </c>
      <c r="J2404"/>
      <c r="K2404"/>
      <c r="L2404"/>
    </row>
    <row r="2405" spans="1:12">
      <c r="A2405" s="94" t="s">
        <v>1729</v>
      </c>
      <c r="B2405" t="s">
        <v>5232</v>
      </c>
      <c r="C2405" s="92"/>
      <c r="D2405" s="17" t="s">
        <v>5290</v>
      </c>
      <c r="E2405" s="93" t="s">
        <v>5291</v>
      </c>
      <c r="F2405"/>
      <c r="G2405" s="17" t="s">
        <v>6</v>
      </c>
      <c r="H2405" s="132">
        <v>46087</v>
      </c>
      <c r="I2405" s="127">
        <v>0.43333333333333335</v>
      </c>
      <c r="J2405"/>
      <c r="K2405"/>
      <c r="L2405"/>
    </row>
    <row r="2406" spans="1:12">
      <c r="A2406" s="94" t="s">
        <v>1729</v>
      </c>
      <c r="B2406" t="s">
        <v>5232</v>
      </c>
      <c r="C2406" s="92"/>
      <c r="D2406" s="17" t="s">
        <v>5292</v>
      </c>
      <c r="E2406" s="93" t="s">
        <v>5293</v>
      </c>
      <c r="F2406"/>
      <c r="G2406" s="17" t="s">
        <v>6</v>
      </c>
      <c r="H2406" s="132">
        <v>46087</v>
      </c>
      <c r="I2406" s="127">
        <v>0.43263888888888891</v>
      </c>
      <c r="J2406"/>
      <c r="K2406"/>
      <c r="L2406"/>
    </row>
    <row r="2407" spans="1:12">
      <c r="A2407" s="94" t="s">
        <v>1729</v>
      </c>
      <c r="B2407" t="s">
        <v>5232</v>
      </c>
      <c r="C2407" s="92"/>
      <c r="D2407" s="17" t="s">
        <v>5294</v>
      </c>
      <c r="E2407" s="93" t="s">
        <v>4576</v>
      </c>
      <c r="F2407"/>
      <c r="G2407" s="17" t="s">
        <v>4</v>
      </c>
      <c r="H2407" s="132">
        <v>46087</v>
      </c>
      <c r="I2407" s="127">
        <v>0.43055555555555558</v>
      </c>
      <c r="J2407"/>
      <c r="K2407"/>
      <c r="L2407" t="s">
        <v>5055</v>
      </c>
    </row>
    <row r="2408" spans="1:12">
      <c r="A2408" s="94" t="s">
        <v>1729</v>
      </c>
      <c r="B2408" t="s">
        <v>5232</v>
      </c>
      <c r="C2408" s="92"/>
      <c r="D2408" s="17" t="s">
        <v>5295</v>
      </c>
      <c r="E2408" s="93" t="s">
        <v>5296</v>
      </c>
      <c r="F2408"/>
      <c r="G2408" s="17" t="s">
        <v>6</v>
      </c>
      <c r="H2408" s="132">
        <v>46087</v>
      </c>
      <c r="I2408" s="127">
        <v>0.42986111111111114</v>
      </c>
      <c r="J2408"/>
      <c r="K2408"/>
      <c r="L2408"/>
    </row>
    <row r="2409" spans="1:12">
      <c r="A2409" s="94" t="s">
        <v>1729</v>
      </c>
      <c r="B2409" t="s">
        <v>5232</v>
      </c>
      <c r="C2409" s="92"/>
      <c r="D2409" s="17" t="s">
        <v>5297</v>
      </c>
      <c r="E2409" s="93" t="s">
        <v>5298</v>
      </c>
      <c r="F2409"/>
      <c r="G2409" s="17" t="s">
        <v>8</v>
      </c>
      <c r="H2409" s="132">
        <v>46087</v>
      </c>
      <c r="I2409" s="127">
        <v>0.4284722222222222</v>
      </c>
      <c r="J2409"/>
      <c r="K2409"/>
      <c r="L2409"/>
    </row>
    <row r="2410" spans="1:12">
      <c r="A2410" s="94" t="s">
        <v>1729</v>
      </c>
      <c r="B2410" t="s">
        <v>5232</v>
      </c>
      <c r="C2410" s="92"/>
      <c r="D2410" s="17" t="s">
        <v>5299</v>
      </c>
      <c r="E2410" s="93" t="s">
        <v>5300</v>
      </c>
      <c r="F2410" s="99" t="s">
        <v>5301</v>
      </c>
      <c r="G2410" s="17" t="s">
        <v>1</v>
      </c>
      <c r="H2410" s="132">
        <v>46087</v>
      </c>
      <c r="I2410" s="127">
        <v>0.42499999999999999</v>
      </c>
      <c r="J2410"/>
      <c r="K2410"/>
      <c r="L2410"/>
    </row>
    <row r="2411" spans="1:12">
      <c r="A2411" s="94" t="s">
        <v>1729</v>
      </c>
      <c r="B2411" t="s">
        <v>5232</v>
      </c>
      <c r="C2411" s="92"/>
      <c r="D2411" s="17" t="s">
        <v>5302</v>
      </c>
      <c r="E2411" s="93" t="s">
        <v>5303</v>
      </c>
      <c r="F2411"/>
      <c r="G2411" s="17" t="s">
        <v>1</v>
      </c>
      <c r="H2411" s="132">
        <v>46087</v>
      </c>
      <c r="I2411" s="127">
        <v>0.42222222222222222</v>
      </c>
      <c r="J2411"/>
      <c r="K2411"/>
      <c r="L2411"/>
    </row>
    <row r="2412" spans="1:12">
      <c r="A2412" s="94" t="s">
        <v>1729</v>
      </c>
      <c r="B2412" t="s">
        <v>5232</v>
      </c>
      <c r="C2412" s="92"/>
      <c r="D2412" s="17" t="s">
        <v>5304</v>
      </c>
      <c r="E2412" s="93" t="s">
        <v>5305</v>
      </c>
      <c r="F2412"/>
      <c r="G2412" s="17" t="s">
        <v>6</v>
      </c>
      <c r="H2412" s="132">
        <v>46087</v>
      </c>
      <c r="I2412" s="127">
        <v>0.42152777777777778</v>
      </c>
      <c r="J2412"/>
      <c r="K2412"/>
      <c r="L2412"/>
    </row>
    <row r="2413" spans="1:12">
      <c r="A2413" s="94" t="s">
        <v>1729</v>
      </c>
      <c r="B2413" t="s">
        <v>5232</v>
      </c>
      <c r="C2413" s="92"/>
      <c r="D2413" s="17" t="s">
        <v>5306</v>
      </c>
      <c r="E2413" s="93" t="s">
        <v>5307</v>
      </c>
      <c r="F2413"/>
      <c r="G2413" s="17" t="s">
        <v>6</v>
      </c>
      <c r="H2413" s="132">
        <v>46087</v>
      </c>
      <c r="I2413" s="127">
        <v>0.42083333333333334</v>
      </c>
      <c r="J2413"/>
      <c r="K2413"/>
      <c r="L2413"/>
    </row>
    <row r="2414" spans="1:12">
      <c r="A2414" s="94" t="s">
        <v>1729</v>
      </c>
      <c r="B2414" t="s">
        <v>5232</v>
      </c>
      <c r="C2414" s="92"/>
      <c r="D2414" s="17" t="s">
        <v>5308</v>
      </c>
      <c r="E2414" s="93" t="s">
        <v>5309</v>
      </c>
      <c r="F2414"/>
      <c r="G2414" s="17" t="s">
        <v>2</v>
      </c>
      <c r="H2414" s="132">
        <v>46087</v>
      </c>
      <c r="I2414" s="127">
        <v>0.4201388888888889</v>
      </c>
      <c r="J2414"/>
      <c r="K2414"/>
      <c r="L2414"/>
    </row>
    <row r="2415" spans="1:12">
      <c r="A2415" s="95" t="s">
        <v>1727</v>
      </c>
      <c r="B2415" t="s">
        <v>5310</v>
      </c>
      <c r="C2415" s="87" t="s">
        <v>1728</v>
      </c>
      <c r="D2415" s="88"/>
      <c r="E2415" s="89">
        <v>66771497</v>
      </c>
      <c r="F2415"/>
      <c r="G2415" s="17" t="s">
        <v>2</v>
      </c>
      <c r="H2415" s="132">
        <v>46085</v>
      </c>
      <c r="I2415" s="127" t="s">
        <v>5311</v>
      </c>
      <c r="J2415"/>
      <c r="K2415"/>
      <c r="L2415"/>
    </row>
    <row r="2416" spans="1:12">
      <c r="A2416" s="95" t="s">
        <v>1727</v>
      </c>
      <c r="B2416" t="s">
        <v>5310</v>
      </c>
      <c r="C2416" s="87" t="s">
        <v>1910</v>
      </c>
      <c r="D2416" s="88"/>
      <c r="E2416" s="89">
        <v>64636345</v>
      </c>
      <c r="F2416"/>
      <c r="G2416" s="17" t="s">
        <v>2</v>
      </c>
      <c r="H2416" s="132">
        <v>46085</v>
      </c>
      <c r="I2416" s="127" t="s">
        <v>5312</v>
      </c>
      <c r="J2416"/>
      <c r="K2416"/>
      <c r="L2416"/>
    </row>
    <row r="2417" spans="1:12">
      <c r="A2417" s="95" t="s">
        <v>1727</v>
      </c>
      <c r="B2417" t="s">
        <v>5310</v>
      </c>
      <c r="C2417" s="87" t="s">
        <v>1911</v>
      </c>
      <c r="D2417" s="88"/>
      <c r="E2417" s="89">
        <v>62656643</v>
      </c>
      <c r="F2417"/>
      <c r="G2417" s="17" t="s">
        <v>1</v>
      </c>
      <c r="H2417" s="132">
        <v>46085</v>
      </c>
      <c r="I2417" s="127" t="s">
        <v>5313</v>
      </c>
      <c r="J2417"/>
      <c r="K2417"/>
      <c r="L2417"/>
    </row>
    <row r="2418" spans="1:12">
      <c r="A2418" s="95" t="s">
        <v>1727</v>
      </c>
      <c r="B2418" t="s">
        <v>5310</v>
      </c>
      <c r="C2418" s="87" t="s">
        <v>1912</v>
      </c>
      <c r="D2418" s="88"/>
      <c r="E2418" s="89">
        <v>69610278</v>
      </c>
      <c r="F2418"/>
      <c r="G2418" s="17" t="s">
        <v>2</v>
      </c>
      <c r="H2418" s="132">
        <v>46085</v>
      </c>
      <c r="I2418" s="127" t="s">
        <v>5314</v>
      </c>
      <c r="J2418"/>
      <c r="K2418"/>
      <c r="L2418"/>
    </row>
    <row r="2419" spans="1:12">
      <c r="A2419" s="95" t="s">
        <v>1727</v>
      </c>
      <c r="B2419" t="s">
        <v>5310</v>
      </c>
      <c r="C2419" s="87" t="s">
        <v>1913</v>
      </c>
      <c r="D2419" s="88"/>
      <c r="E2419" s="89">
        <v>68173207</v>
      </c>
      <c r="F2419"/>
      <c r="G2419" s="17" t="s">
        <v>1</v>
      </c>
      <c r="H2419" s="132">
        <v>46085</v>
      </c>
      <c r="I2419" s="127" t="s">
        <v>5315</v>
      </c>
      <c r="J2419"/>
      <c r="K2419"/>
      <c r="L2419"/>
    </row>
    <row r="2420" spans="1:12">
      <c r="A2420" s="95" t="s">
        <v>1727</v>
      </c>
      <c r="B2420" t="s">
        <v>5310</v>
      </c>
      <c r="C2420" s="87" t="s">
        <v>1914</v>
      </c>
      <c r="D2420" s="88"/>
      <c r="E2420" s="89">
        <v>64323814</v>
      </c>
      <c r="F2420"/>
      <c r="G2420" s="17" t="s">
        <v>1</v>
      </c>
      <c r="H2420" s="132">
        <v>46085</v>
      </c>
      <c r="I2420" s="127" t="s">
        <v>5316</v>
      </c>
      <c r="J2420"/>
      <c r="K2420"/>
      <c r="L2420"/>
    </row>
    <row r="2421" spans="1:12">
      <c r="A2421" s="95" t="s">
        <v>1727</v>
      </c>
      <c r="B2421" t="s">
        <v>5310</v>
      </c>
      <c r="C2421" s="87" t="s">
        <v>1915</v>
      </c>
      <c r="D2421" s="88"/>
      <c r="E2421" s="89">
        <v>6059439</v>
      </c>
      <c r="F2421"/>
      <c r="G2421" s="17" t="s">
        <v>3</v>
      </c>
      <c r="H2421" s="132">
        <v>46085</v>
      </c>
      <c r="I2421" s="127" t="s">
        <v>5317</v>
      </c>
      <c r="J2421"/>
      <c r="K2421"/>
      <c r="L2421" t="s">
        <v>5318</v>
      </c>
    </row>
    <row r="2422" spans="1:12">
      <c r="A2422" s="95" t="s">
        <v>1727</v>
      </c>
      <c r="B2422" t="s">
        <v>5310</v>
      </c>
      <c r="C2422" s="87" t="s">
        <v>1916</v>
      </c>
      <c r="D2422" s="88"/>
      <c r="E2422" s="89">
        <v>65135099</v>
      </c>
      <c r="F2422"/>
      <c r="G2422" s="17" t="s">
        <v>1</v>
      </c>
      <c r="H2422" s="132">
        <v>46085</v>
      </c>
      <c r="I2422" s="127" t="s">
        <v>5319</v>
      </c>
      <c r="J2422"/>
      <c r="K2422"/>
      <c r="L2422"/>
    </row>
    <row r="2423" spans="1:12">
      <c r="A2423" s="95" t="s">
        <v>1727</v>
      </c>
      <c r="B2423" t="s">
        <v>5310</v>
      </c>
      <c r="C2423" s="87" t="s">
        <v>1917</v>
      </c>
      <c r="D2423" s="88"/>
      <c r="E2423" s="89">
        <v>64583232</v>
      </c>
      <c r="F2423"/>
      <c r="G2423" s="17" t="s">
        <v>2</v>
      </c>
      <c r="H2423" s="132">
        <v>46085</v>
      </c>
      <c r="I2423" s="127" t="s">
        <v>5320</v>
      </c>
      <c r="J2423"/>
      <c r="K2423"/>
      <c r="L2423"/>
    </row>
    <row r="2424" spans="1:12">
      <c r="A2424" s="95" t="s">
        <v>1727</v>
      </c>
      <c r="B2424" t="s">
        <v>5310</v>
      </c>
      <c r="C2424" s="87" t="s">
        <v>1918</v>
      </c>
      <c r="D2424" s="88"/>
      <c r="E2424" s="89">
        <v>68424545</v>
      </c>
      <c r="F2424"/>
      <c r="G2424" s="17" t="s">
        <v>6</v>
      </c>
      <c r="H2424" s="132">
        <v>46085</v>
      </c>
      <c r="I2424" s="127" t="s">
        <v>5321</v>
      </c>
      <c r="J2424"/>
      <c r="K2424"/>
      <c r="L2424"/>
    </row>
    <row r="2425" spans="1:12">
      <c r="A2425" s="95" t="s">
        <v>1727</v>
      </c>
      <c r="B2425" t="s">
        <v>5310</v>
      </c>
      <c r="C2425" s="87" t="s">
        <v>1919</v>
      </c>
      <c r="D2425" s="88"/>
      <c r="E2425" s="89">
        <v>66584023</v>
      </c>
      <c r="F2425"/>
      <c r="G2425" s="17" t="s">
        <v>1</v>
      </c>
      <c r="H2425" s="132">
        <v>46085</v>
      </c>
      <c r="I2425" s="127" t="s">
        <v>5322</v>
      </c>
      <c r="J2425"/>
      <c r="K2425"/>
      <c r="L2425"/>
    </row>
    <row r="2426" spans="1:12">
      <c r="A2426" s="95" t="s">
        <v>1727</v>
      </c>
      <c r="B2426" t="s">
        <v>5310</v>
      </c>
      <c r="C2426" s="87" t="s">
        <v>1920</v>
      </c>
      <c r="D2426" s="88"/>
      <c r="E2426" s="89">
        <v>68466989</v>
      </c>
      <c r="F2426"/>
      <c r="G2426" s="17" t="s">
        <v>2</v>
      </c>
      <c r="H2426" s="132">
        <v>46085</v>
      </c>
      <c r="I2426" s="127" t="s">
        <v>5323</v>
      </c>
      <c r="J2426"/>
      <c r="K2426"/>
      <c r="L2426"/>
    </row>
    <row r="2427" spans="1:12">
      <c r="A2427" s="95" t="s">
        <v>1727</v>
      </c>
      <c r="B2427" t="s">
        <v>5310</v>
      </c>
      <c r="C2427" s="87" t="s">
        <v>1921</v>
      </c>
      <c r="D2427" s="88"/>
      <c r="E2427" s="89">
        <v>69338389</v>
      </c>
      <c r="F2427"/>
      <c r="G2427" s="17" t="s">
        <v>2</v>
      </c>
      <c r="H2427" s="132">
        <v>46085</v>
      </c>
      <c r="I2427" s="127" t="s">
        <v>5323</v>
      </c>
      <c r="J2427"/>
      <c r="K2427"/>
      <c r="L2427"/>
    </row>
    <row r="2428" spans="1:12">
      <c r="A2428" s="95" t="s">
        <v>1727</v>
      </c>
      <c r="B2428" t="s">
        <v>5310</v>
      </c>
      <c r="C2428" s="87" t="s">
        <v>1922</v>
      </c>
      <c r="D2428" s="88"/>
      <c r="E2428" s="89">
        <v>68321435</v>
      </c>
      <c r="F2428"/>
      <c r="G2428" s="17" t="s">
        <v>1</v>
      </c>
      <c r="H2428" s="132">
        <v>46085</v>
      </c>
      <c r="I2428" s="127" t="s">
        <v>5324</v>
      </c>
      <c r="J2428"/>
      <c r="K2428"/>
      <c r="L2428"/>
    </row>
    <row r="2429" spans="1:12">
      <c r="A2429" s="95" t="s">
        <v>1727</v>
      </c>
      <c r="B2429" t="s">
        <v>5310</v>
      </c>
      <c r="C2429" s="87" t="s">
        <v>1923</v>
      </c>
      <c r="D2429" s="88"/>
      <c r="E2429" s="89">
        <v>67659625</v>
      </c>
      <c r="F2429"/>
      <c r="G2429" s="17" t="s">
        <v>6</v>
      </c>
      <c r="H2429" s="132">
        <v>46085</v>
      </c>
      <c r="I2429" s="127" t="s">
        <v>5325</v>
      </c>
      <c r="J2429"/>
      <c r="K2429"/>
      <c r="L2429"/>
    </row>
    <row r="2430" spans="1:12">
      <c r="A2430" s="95" t="s">
        <v>1727</v>
      </c>
      <c r="B2430" t="s">
        <v>5310</v>
      </c>
      <c r="C2430" s="87" t="s">
        <v>1924</v>
      </c>
      <c r="D2430" s="88"/>
      <c r="E2430" s="89">
        <v>62410442</v>
      </c>
      <c r="F2430"/>
      <c r="G2430" s="17" t="s">
        <v>2</v>
      </c>
      <c r="H2430" s="132">
        <v>46085</v>
      </c>
      <c r="I2430" s="127" t="s">
        <v>5326</v>
      </c>
      <c r="J2430"/>
      <c r="K2430"/>
      <c r="L2430"/>
    </row>
    <row r="2431" spans="1:12">
      <c r="A2431" s="95" t="s">
        <v>1727</v>
      </c>
      <c r="B2431" t="s">
        <v>5310</v>
      </c>
      <c r="C2431" s="87" t="s">
        <v>1925</v>
      </c>
      <c r="D2431" s="88"/>
      <c r="E2431" s="89">
        <v>63901100</v>
      </c>
      <c r="F2431"/>
      <c r="G2431" s="17" t="s">
        <v>2</v>
      </c>
      <c r="H2431" s="132">
        <v>46085</v>
      </c>
      <c r="I2431" s="127" t="s">
        <v>5327</v>
      </c>
      <c r="J2431"/>
      <c r="K2431"/>
      <c r="L2431"/>
    </row>
    <row r="2432" spans="1:12">
      <c r="A2432" s="95" t="s">
        <v>1727</v>
      </c>
      <c r="B2432" t="s">
        <v>5310</v>
      </c>
      <c r="C2432" s="87" t="s">
        <v>723</v>
      </c>
      <c r="D2432" s="88"/>
      <c r="E2432" s="89">
        <v>67069964</v>
      </c>
      <c r="F2432"/>
      <c r="G2432" s="17" t="s">
        <v>1</v>
      </c>
      <c r="H2432" s="132">
        <v>46085</v>
      </c>
      <c r="I2432" s="127" t="s">
        <v>5328</v>
      </c>
      <c r="J2432"/>
      <c r="K2432"/>
      <c r="L2432"/>
    </row>
    <row r="2433" spans="1:12">
      <c r="A2433" s="95" t="s">
        <v>1727</v>
      </c>
      <c r="B2433" t="s">
        <v>5310</v>
      </c>
      <c r="C2433" s="87" t="s">
        <v>1926</v>
      </c>
      <c r="D2433" s="88"/>
      <c r="E2433" s="89">
        <v>65291988</v>
      </c>
      <c r="F2433"/>
      <c r="G2433" s="17" t="s">
        <v>2</v>
      </c>
      <c r="H2433" s="132">
        <v>46085</v>
      </c>
      <c r="I2433" s="127" t="s">
        <v>5329</v>
      </c>
      <c r="J2433"/>
      <c r="K2433"/>
      <c r="L2433"/>
    </row>
    <row r="2434" spans="1:12">
      <c r="A2434" s="95" t="s">
        <v>1727</v>
      </c>
      <c r="B2434" t="s">
        <v>5310</v>
      </c>
      <c r="C2434" s="87" t="s">
        <v>1927</v>
      </c>
      <c r="D2434" s="88"/>
      <c r="E2434" s="89">
        <v>63465951</v>
      </c>
      <c r="F2434"/>
      <c r="G2434" s="17" t="s">
        <v>3</v>
      </c>
      <c r="H2434" s="132">
        <v>46085</v>
      </c>
      <c r="I2434" s="127" t="s">
        <v>5330</v>
      </c>
      <c r="J2434"/>
      <c r="K2434"/>
      <c r="L2434"/>
    </row>
    <row r="2435" spans="1:12">
      <c r="A2435" s="95" t="s">
        <v>1727</v>
      </c>
      <c r="B2435" t="s">
        <v>5310</v>
      </c>
      <c r="C2435" s="87" t="s">
        <v>1928</v>
      </c>
      <c r="D2435" s="88"/>
      <c r="E2435" s="89">
        <v>64315222</v>
      </c>
      <c r="F2435"/>
      <c r="G2435" s="17" t="s">
        <v>2</v>
      </c>
      <c r="H2435" s="132">
        <v>46085</v>
      </c>
      <c r="I2435" s="127" t="s">
        <v>5331</v>
      </c>
      <c r="J2435"/>
      <c r="K2435"/>
      <c r="L2435"/>
    </row>
    <row r="2436" spans="1:12">
      <c r="A2436" s="95" t="s">
        <v>1727</v>
      </c>
      <c r="B2436" t="s">
        <v>5310</v>
      </c>
      <c r="C2436" s="87" t="s">
        <v>1929</v>
      </c>
      <c r="D2436" s="88"/>
      <c r="E2436" s="89">
        <v>66615268</v>
      </c>
      <c r="F2436"/>
      <c r="G2436" s="17" t="s">
        <v>1</v>
      </c>
      <c r="H2436" s="132">
        <v>46086</v>
      </c>
      <c r="I2436" s="127" t="s">
        <v>5332</v>
      </c>
      <c r="J2436"/>
      <c r="K2436"/>
      <c r="L2436"/>
    </row>
    <row r="2437" spans="1:12">
      <c r="A2437" s="95" t="s">
        <v>1727</v>
      </c>
      <c r="B2437" t="s">
        <v>5310</v>
      </c>
      <c r="C2437" s="87" t="s">
        <v>1930</v>
      </c>
      <c r="D2437" s="88"/>
      <c r="E2437" s="89">
        <v>68391800</v>
      </c>
      <c r="F2437"/>
      <c r="G2437" s="17" t="s">
        <v>6</v>
      </c>
      <c r="H2437" s="132">
        <v>46086</v>
      </c>
      <c r="I2437" s="127" t="s">
        <v>5333</v>
      </c>
      <c r="J2437"/>
      <c r="K2437"/>
      <c r="L2437"/>
    </row>
    <row r="2438" spans="1:12">
      <c r="A2438" s="95" t="s">
        <v>1727</v>
      </c>
      <c r="B2438" t="s">
        <v>5310</v>
      </c>
      <c r="C2438" s="87" t="s">
        <v>1931</v>
      </c>
      <c r="D2438" s="88"/>
      <c r="E2438" s="89">
        <v>65092776</v>
      </c>
      <c r="F2438"/>
      <c r="G2438" s="17" t="s">
        <v>4</v>
      </c>
      <c r="H2438" s="132">
        <v>46086</v>
      </c>
      <c r="I2438" s="127" t="s">
        <v>5334</v>
      </c>
      <c r="J2438"/>
      <c r="K2438"/>
      <c r="L2438" t="s">
        <v>5335</v>
      </c>
    </row>
    <row r="2439" spans="1:12">
      <c r="A2439" s="95" t="s">
        <v>1727</v>
      </c>
      <c r="B2439" t="s">
        <v>5310</v>
      </c>
      <c r="C2439" s="87" t="s">
        <v>1932</v>
      </c>
      <c r="D2439" s="88"/>
      <c r="E2439" s="89">
        <v>7754626</v>
      </c>
      <c r="F2439"/>
      <c r="G2439" s="17" t="s">
        <v>2</v>
      </c>
      <c r="H2439" s="132">
        <v>46086</v>
      </c>
      <c r="I2439" s="127" t="s">
        <v>5336</v>
      </c>
      <c r="J2439"/>
      <c r="K2439"/>
      <c r="L2439"/>
    </row>
    <row r="2440" spans="1:12">
      <c r="A2440" s="95" t="s">
        <v>1727</v>
      </c>
      <c r="B2440" t="s">
        <v>5310</v>
      </c>
      <c r="C2440" s="87" t="s">
        <v>1933</v>
      </c>
      <c r="D2440" s="88"/>
      <c r="E2440" s="89">
        <v>61515871</v>
      </c>
      <c r="F2440"/>
      <c r="G2440" s="17" t="s">
        <v>2</v>
      </c>
      <c r="H2440" s="132">
        <v>46086</v>
      </c>
      <c r="I2440" s="127" t="s">
        <v>5336</v>
      </c>
      <c r="J2440"/>
      <c r="K2440"/>
      <c r="L2440"/>
    </row>
    <row r="2441" spans="1:12">
      <c r="A2441" s="95" t="s">
        <v>1727</v>
      </c>
      <c r="B2441" t="s">
        <v>5310</v>
      </c>
      <c r="C2441" s="87" t="s">
        <v>1934</v>
      </c>
      <c r="D2441" s="88"/>
      <c r="E2441" s="89">
        <v>7301394</v>
      </c>
      <c r="F2441"/>
      <c r="G2441" s="17" t="s">
        <v>4</v>
      </c>
      <c r="H2441" s="132">
        <v>46086</v>
      </c>
      <c r="I2441" s="127" t="s">
        <v>5337</v>
      </c>
      <c r="J2441"/>
      <c r="K2441"/>
      <c r="L2441" t="s">
        <v>5335</v>
      </c>
    </row>
    <row r="2442" spans="1:12">
      <c r="A2442" s="95" t="s">
        <v>1727</v>
      </c>
      <c r="B2442" t="s">
        <v>5310</v>
      </c>
      <c r="C2442" s="87" t="s">
        <v>1935</v>
      </c>
      <c r="D2442" s="88"/>
      <c r="E2442" s="89">
        <v>65861265</v>
      </c>
      <c r="F2442"/>
      <c r="G2442" s="17" t="s">
        <v>2</v>
      </c>
      <c r="H2442" s="132">
        <v>46086</v>
      </c>
      <c r="I2442" s="127" t="s">
        <v>5337</v>
      </c>
      <c r="J2442"/>
      <c r="K2442"/>
      <c r="L2442"/>
    </row>
    <row r="2443" spans="1:12">
      <c r="A2443" s="95" t="s">
        <v>1727</v>
      </c>
      <c r="B2443" t="s">
        <v>5310</v>
      </c>
      <c r="C2443" s="87" t="s">
        <v>1936</v>
      </c>
      <c r="D2443" s="88"/>
      <c r="E2443" s="89">
        <v>64127472</v>
      </c>
      <c r="F2443"/>
      <c r="G2443" s="17" t="s">
        <v>1</v>
      </c>
      <c r="H2443" s="132">
        <v>46086</v>
      </c>
      <c r="I2443" s="127" t="s">
        <v>5338</v>
      </c>
      <c r="J2443"/>
      <c r="K2443"/>
      <c r="L2443"/>
    </row>
    <row r="2444" spans="1:12">
      <c r="A2444" s="95" t="s">
        <v>1727</v>
      </c>
      <c r="B2444" t="s">
        <v>5310</v>
      </c>
      <c r="C2444" s="87" t="s">
        <v>1937</v>
      </c>
      <c r="D2444" s="88"/>
      <c r="E2444" s="89">
        <v>66292921</v>
      </c>
      <c r="F2444"/>
      <c r="G2444" s="17" t="s">
        <v>1</v>
      </c>
      <c r="H2444" s="132">
        <v>46086</v>
      </c>
      <c r="I2444" s="127" t="s">
        <v>5339</v>
      </c>
      <c r="J2444"/>
      <c r="K2444"/>
      <c r="L2444"/>
    </row>
    <row r="2445" spans="1:12">
      <c r="A2445" s="95" t="s">
        <v>1727</v>
      </c>
      <c r="B2445" t="s">
        <v>5310</v>
      </c>
      <c r="C2445" s="87" t="s">
        <v>1938</v>
      </c>
      <c r="D2445" s="88"/>
      <c r="E2445" s="89">
        <v>69925841</v>
      </c>
      <c r="F2445"/>
      <c r="G2445" s="17" t="s">
        <v>4</v>
      </c>
      <c r="H2445" s="132">
        <v>46086</v>
      </c>
      <c r="I2445" s="127" t="s">
        <v>5340</v>
      </c>
      <c r="J2445"/>
      <c r="K2445"/>
      <c r="L2445"/>
    </row>
    <row r="2446" spans="1:12">
      <c r="A2446" s="95" t="s">
        <v>1727</v>
      </c>
      <c r="B2446" t="s">
        <v>5310</v>
      </c>
      <c r="C2446" s="87" t="s">
        <v>1939</v>
      </c>
      <c r="D2446" s="88"/>
      <c r="E2446" s="89">
        <v>67033220</v>
      </c>
      <c r="F2446"/>
      <c r="G2446" s="17" t="s">
        <v>1</v>
      </c>
      <c r="H2446" s="132">
        <v>46086</v>
      </c>
      <c r="I2446" s="127" t="s">
        <v>5341</v>
      </c>
      <c r="J2446"/>
      <c r="K2446"/>
      <c r="L2446"/>
    </row>
    <row r="2447" spans="1:12">
      <c r="A2447" s="95" t="s">
        <v>1727</v>
      </c>
      <c r="B2447" t="s">
        <v>5310</v>
      </c>
      <c r="C2447" s="87" t="s">
        <v>1940</v>
      </c>
      <c r="D2447" s="88"/>
      <c r="E2447" s="89">
        <v>65085165</v>
      </c>
      <c r="F2447"/>
      <c r="G2447" s="17" t="s">
        <v>6</v>
      </c>
      <c r="H2447" s="132">
        <v>45721</v>
      </c>
      <c r="I2447" s="127" t="s">
        <v>5342</v>
      </c>
      <c r="J2447"/>
      <c r="K2447"/>
      <c r="L2447"/>
    </row>
    <row r="2448" spans="1:12">
      <c r="A2448" s="95" t="s">
        <v>1727</v>
      </c>
      <c r="B2448" t="s">
        <v>5310</v>
      </c>
      <c r="C2448" s="87" t="s">
        <v>1941</v>
      </c>
      <c r="D2448" s="88"/>
      <c r="E2448" s="89">
        <v>68418856</v>
      </c>
      <c r="F2448"/>
      <c r="G2448" s="17" t="s">
        <v>9</v>
      </c>
      <c r="H2448" s="132">
        <v>46086</v>
      </c>
      <c r="I2448" s="127" t="s">
        <v>5343</v>
      </c>
      <c r="J2448"/>
      <c r="K2448"/>
      <c r="L2448"/>
    </row>
    <row r="2449" spans="1:12">
      <c r="A2449" s="95" t="s">
        <v>1727</v>
      </c>
      <c r="B2449" t="s">
        <v>5310</v>
      </c>
      <c r="C2449" s="87" t="s">
        <v>1942</v>
      </c>
      <c r="D2449" s="88"/>
      <c r="E2449" s="89">
        <v>66716551</v>
      </c>
      <c r="F2449"/>
      <c r="G2449" s="17" t="s">
        <v>2</v>
      </c>
      <c r="H2449" s="132">
        <v>46086</v>
      </c>
      <c r="I2449" s="127" t="s">
        <v>5344</v>
      </c>
      <c r="J2449"/>
      <c r="K2449"/>
      <c r="L2449"/>
    </row>
    <row r="2450" spans="1:12">
      <c r="A2450" s="95" t="s">
        <v>1727</v>
      </c>
      <c r="B2450" t="s">
        <v>5310</v>
      </c>
      <c r="C2450" s="87" t="s">
        <v>1943</v>
      </c>
      <c r="D2450" s="88"/>
      <c r="E2450" s="89">
        <v>65174566</v>
      </c>
      <c r="F2450"/>
      <c r="G2450" s="17" t="s">
        <v>1</v>
      </c>
      <c r="H2450" s="132">
        <v>46086</v>
      </c>
      <c r="I2450" s="127" t="s">
        <v>5345</v>
      </c>
      <c r="J2450"/>
      <c r="K2450"/>
      <c r="L2450"/>
    </row>
    <row r="2451" spans="1:12">
      <c r="A2451" s="95" t="s">
        <v>1727</v>
      </c>
      <c r="B2451" t="s">
        <v>5310</v>
      </c>
      <c r="C2451" s="87" t="s">
        <v>1944</v>
      </c>
      <c r="D2451" s="88"/>
      <c r="E2451" s="89">
        <v>65030639</v>
      </c>
      <c r="F2451"/>
      <c r="G2451" s="17" t="s">
        <v>6</v>
      </c>
      <c r="H2451" s="132">
        <v>46086</v>
      </c>
      <c r="I2451" s="127" t="s">
        <v>5346</v>
      </c>
      <c r="J2451"/>
      <c r="K2451"/>
      <c r="L2451"/>
    </row>
    <row r="2452" spans="1:12">
      <c r="A2452" s="95" t="s">
        <v>1727</v>
      </c>
      <c r="B2452" t="s">
        <v>5310</v>
      </c>
      <c r="C2452" s="87" t="s">
        <v>1945</v>
      </c>
      <c r="D2452" s="88"/>
      <c r="E2452" s="89">
        <v>65753024</v>
      </c>
      <c r="F2452"/>
      <c r="G2452" s="17" t="s">
        <v>6</v>
      </c>
      <c r="H2452" s="132">
        <v>46086</v>
      </c>
      <c r="I2452" s="127" t="s">
        <v>5347</v>
      </c>
      <c r="J2452"/>
      <c r="K2452"/>
      <c r="L2452"/>
    </row>
    <row r="2453" spans="1:12">
      <c r="A2453" s="95" t="s">
        <v>1727</v>
      </c>
      <c r="B2453" t="s">
        <v>5310</v>
      </c>
      <c r="C2453" s="87" t="s">
        <v>1946</v>
      </c>
      <c r="D2453" s="88"/>
      <c r="E2453" s="89">
        <v>7211053</v>
      </c>
      <c r="F2453"/>
      <c r="G2453" s="17" t="s">
        <v>5</v>
      </c>
      <c r="H2453" s="132">
        <v>46086</v>
      </c>
      <c r="I2453" s="127" t="s">
        <v>5347</v>
      </c>
      <c r="J2453"/>
      <c r="K2453"/>
      <c r="L2453"/>
    </row>
    <row r="2454" spans="1:12">
      <c r="A2454" s="95" t="s">
        <v>1727</v>
      </c>
      <c r="B2454" t="s">
        <v>5310</v>
      </c>
      <c r="C2454" s="87" t="s">
        <v>1947</v>
      </c>
      <c r="D2454" s="88"/>
      <c r="E2454" s="89">
        <v>68204568</v>
      </c>
      <c r="F2454"/>
      <c r="G2454" s="17" t="s">
        <v>6</v>
      </c>
      <c r="H2454" s="132">
        <v>46086</v>
      </c>
      <c r="I2454" s="127" t="s">
        <v>5348</v>
      </c>
      <c r="J2454"/>
      <c r="K2454"/>
      <c r="L2454"/>
    </row>
    <row r="2455" spans="1:12">
      <c r="A2455" s="95" t="s">
        <v>1727</v>
      </c>
      <c r="B2455" t="s">
        <v>5310</v>
      </c>
      <c r="C2455" s="87" t="s">
        <v>1948</v>
      </c>
      <c r="D2455" s="88"/>
      <c r="E2455" s="89">
        <v>62183726</v>
      </c>
      <c r="F2455"/>
      <c r="G2455" s="17" t="s">
        <v>1</v>
      </c>
      <c r="H2455" s="132">
        <v>46086</v>
      </c>
      <c r="I2455" s="127" t="s">
        <v>5349</v>
      </c>
      <c r="J2455"/>
      <c r="K2455"/>
      <c r="L2455"/>
    </row>
    <row r="2456" spans="1:12">
      <c r="A2456" s="95" t="s">
        <v>1727</v>
      </c>
      <c r="B2456" t="s">
        <v>5310</v>
      </c>
      <c r="C2456" s="87" t="s">
        <v>1949</v>
      </c>
      <c r="D2456" s="88"/>
      <c r="E2456" s="89">
        <v>65382721</v>
      </c>
      <c r="F2456"/>
      <c r="G2456" s="17" t="s">
        <v>9</v>
      </c>
      <c r="H2456" s="132">
        <v>46086</v>
      </c>
      <c r="I2456" s="127" t="s">
        <v>5350</v>
      </c>
      <c r="J2456"/>
      <c r="K2456"/>
      <c r="L2456"/>
    </row>
    <row r="2457" spans="1:12">
      <c r="A2457" s="95" t="s">
        <v>1727</v>
      </c>
      <c r="B2457" t="s">
        <v>5310</v>
      </c>
      <c r="C2457" s="87" t="s">
        <v>1950</v>
      </c>
      <c r="D2457" s="88"/>
      <c r="E2457" s="89">
        <v>62867847</v>
      </c>
      <c r="F2457"/>
      <c r="G2457" s="17" t="s">
        <v>9</v>
      </c>
      <c r="H2457" s="132">
        <v>46086</v>
      </c>
      <c r="I2457" s="127" t="s">
        <v>5350</v>
      </c>
      <c r="J2457"/>
      <c r="K2457"/>
      <c r="L2457"/>
    </row>
    <row r="2458" spans="1:12">
      <c r="A2458" s="95" t="s">
        <v>1727</v>
      </c>
      <c r="B2458" t="s">
        <v>5310</v>
      </c>
      <c r="C2458" s="87" t="s">
        <v>1951</v>
      </c>
      <c r="D2458" s="88"/>
      <c r="E2458" s="89">
        <v>68499480</v>
      </c>
      <c r="F2458"/>
      <c r="G2458" s="17" t="s">
        <v>3</v>
      </c>
      <c r="H2458" s="132">
        <v>46086</v>
      </c>
      <c r="I2458" s="127" t="s">
        <v>5351</v>
      </c>
      <c r="J2458"/>
      <c r="K2458"/>
      <c r="L2458"/>
    </row>
    <row r="2459" spans="1:12">
      <c r="A2459" s="95" t="s">
        <v>1727</v>
      </c>
      <c r="B2459" t="s">
        <v>5310</v>
      </c>
      <c r="C2459" s="87" t="s">
        <v>1952</v>
      </c>
      <c r="D2459" s="88"/>
      <c r="E2459" s="89">
        <v>62069419</v>
      </c>
      <c r="F2459"/>
      <c r="G2459" s="17" t="s">
        <v>9</v>
      </c>
      <c r="H2459" s="132">
        <v>46086</v>
      </c>
      <c r="I2459" s="127" t="s">
        <v>5352</v>
      </c>
      <c r="J2459"/>
      <c r="K2459"/>
      <c r="L2459"/>
    </row>
    <row r="2460" spans="1:12">
      <c r="A2460" s="95" t="s">
        <v>1727</v>
      </c>
      <c r="B2460" t="s">
        <v>5310</v>
      </c>
      <c r="C2460" s="87" t="s">
        <v>1953</v>
      </c>
      <c r="D2460" s="88"/>
      <c r="E2460" s="89">
        <v>66819450</v>
      </c>
      <c r="F2460"/>
      <c r="G2460" s="17" t="s">
        <v>2</v>
      </c>
      <c r="H2460" s="132">
        <v>46086</v>
      </c>
      <c r="I2460" s="127" t="s">
        <v>5352</v>
      </c>
      <c r="J2460"/>
      <c r="K2460"/>
      <c r="L2460"/>
    </row>
    <row r="2461" spans="1:12">
      <c r="A2461" s="95" t="s">
        <v>1727</v>
      </c>
      <c r="B2461" t="s">
        <v>5310</v>
      </c>
      <c r="C2461" s="87" t="s">
        <v>1954</v>
      </c>
      <c r="D2461" s="88"/>
      <c r="E2461" s="89">
        <v>63929404</v>
      </c>
      <c r="F2461"/>
      <c r="G2461" s="17" t="s">
        <v>2</v>
      </c>
      <c r="H2461" s="132">
        <v>46086</v>
      </c>
      <c r="I2461" s="127" t="s">
        <v>5353</v>
      </c>
      <c r="J2461"/>
      <c r="K2461"/>
      <c r="L2461"/>
    </row>
    <row r="2462" spans="1:12">
      <c r="A2462" s="95" t="s">
        <v>1727</v>
      </c>
      <c r="B2462" t="s">
        <v>5310</v>
      </c>
      <c r="C2462" s="87" t="s">
        <v>1955</v>
      </c>
      <c r="D2462" s="88"/>
      <c r="E2462" s="89">
        <v>66760046</v>
      </c>
      <c r="F2462"/>
      <c r="G2462" s="17" t="s">
        <v>1</v>
      </c>
      <c r="H2462" s="132">
        <v>46086</v>
      </c>
      <c r="I2462" s="127" t="s">
        <v>5354</v>
      </c>
      <c r="J2462"/>
      <c r="K2462"/>
      <c r="L2462"/>
    </row>
    <row r="2463" spans="1:12">
      <c r="A2463" s="95" t="s">
        <v>1727</v>
      </c>
      <c r="B2463" t="s">
        <v>5310</v>
      </c>
      <c r="C2463" s="87" t="s">
        <v>1956</v>
      </c>
      <c r="D2463" s="88"/>
      <c r="E2463" s="89">
        <v>69295766</v>
      </c>
      <c r="F2463"/>
      <c r="G2463" s="17" t="s">
        <v>2</v>
      </c>
      <c r="H2463" s="132">
        <v>46086</v>
      </c>
      <c r="I2463" s="127" t="s">
        <v>5354</v>
      </c>
      <c r="J2463"/>
      <c r="K2463"/>
      <c r="L2463"/>
    </row>
    <row r="2464" spans="1:12">
      <c r="A2464" s="95" t="s">
        <v>1727</v>
      </c>
      <c r="B2464" t="s">
        <v>5310</v>
      </c>
      <c r="C2464" s="87" t="s">
        <v>1957</v>
      </c>
      <c r="D2464" s="88"/>
      <c r="E2464" s="89">
        <v>66410058</v>
      </c>
      <c r="F2464"/>
      <c r="G2464" s="17" t="s">
        <v>1</v>
      </c>
      <c r="H2464" s="132">
        <v>46086</v>
      </c>
      <c r="I2464" s="127" t="s">
        <v>5355</v>
      </c>
      <c r="J2464"/>
      <c r="K2464"/>
      <c r="L2464"/>
    </row>
    <row r="2465" spans="1:12">
      <c r="A2465" s="95" t="s">
        <v>1727</v>
      </c>
      <c r="B2465" t="s">
        <v>5310</v>
      </c>
      <c r="C2465" s="87" t="s">
        <v>1958</v>
      </c>
      <c r="D2465" s="88"/>
      <c r="E2465" s="89">
        <v>7758762</v>
      </c>
      <c r="F2465"/>
      <c r="G2465" s="17" t="s">
        <v>2</v>
      </c>
      <c r="H2465" s="132">
        <v>46086</v>
      </c>
      <c r="I2465" s="127" t="s">
        <v>5356</v>
      </c>
      <c r="J2465"/>
      <c r="K2465"/>
      <c r="L2465"/>
    </row>
    <row r="2466" spans="1:12">
      <c r="A2466" s="95" t="s">
        <v>1727</v>
      </c>
      <c r="B2466" t="s">
        <v>5310</v>
      </c>
      <c r="C2466" s="87" t="s">
        <v>1959</v>
      </c>
      <c r="D2466" s="88"/>
      <c r="E2466" s="89">
        <v>2700041</v>
      </c>
      <c r="F2466"/>
      <c r="G2466" s="17" t="s">
        <v>9</v>
      </c>
      <c r="H2466" s="132">
        <v>46086</v>
      </c>
      <c r="I2466" s="127" t="s">
        <v>5357</v>
      </c>
      <c r="J2466"/>
      <c r="K2466"/>
      <c r="L2466"/>
    </row>
    <row r="2467" spans="1:12">
      <c r="A2467" s="95" t="s">
        <v>1727</v>
      </c>
      <c r="B2467" t="s">
        <v>5310</v>
      </c>
      <c r="C2467" s="87" t="s">
        <v>1960</v>
      </c>
      <c r="D2467" s="88"/>
      <c r="E2467" s="89">
        <v>7757103</v>
      </c>
      <c r="F2467"/>
      <c r="G2467" s="17" t="s">
        <v>1</v>
      </c>
      <c r="H2467" s="132">
        <v>46086</v>
      </c>
      <c r="I2467" s="127" t="s">
        <v>5358</v>
      </c>
      <c r="J2467"/>
      <c r="K2467"/>
      <c r="L2467"/>
    </row>
    <row r="2468" spans="1:12">
      <c r="A2468" s="95" t="s">
        <v>1727</v>
      </c>
      <c r="B2468" t="s">
        <v>5310</v>
      </c>
      <c r="C2468" s="87" t="s">
        <v>1961</v>
      </c>
      <c r="D2468" s="88"/>
      <c r="E2468" s="89">
        <v>7763132</v>
      </c>
      <c r="F2468"/>
      <c r="G2468" s="17" t="s">
        <v>1</v>
      </c>
      <c r="H2468" s="132">
        <v>46086</v>
      </c>
      <c r="I2468" s="127" t="s">
        <v>5359</v>
      </c>
      <c r="J2468"/>
      <c r="K2468"/>
      <c r="L2468"/>
    </row>
    <row r="2469" spans="1:12">
      <c r="A2469" s="95" t="s">
        <v>1727</v>
      </c>
      <c r="B2469" t="s">
        <v>5310</v>
      </c>
      <c r="C2469" s="87" t="s">
        <v>1962</v>
      </c>
      <c r="D2469" s="88"/>
      <c r="E2469" s="89">
        <v>7756496</v>
      </c>
      <c r="F2469"/>
      <c r="G2469" s="17" t="s">
        <v>6</v>
      </c>
      <c r="H2469" s="132">
        <v>46086</v>
      </c>
      <c r="I2469" s="127" t="s">
        <v>5360</v>
      </c>
      <c r="J2469"/>
      <c r="K2469"/>
      <c r="L2469"/>
    </row>
    <row r="2470" spans="1:12">
      <c r="A2470" s="95" t="s">
        <v>1727</v>
      </c>
      <c r="B2470" t="s">
        <v>5310</v>
      </c>
      <c r="C2470" s="87" t="s">
        <v>1963</v>
      </c>
      <c r="D2470" s="88"/>
      <c r="E2470" s="89">
        <v>61657366</v>
      </c>
      <c r="F2470"/>
      <c r="G2470" s="17" t="s">
        <v>1</v>
      </c>
      <c r="H2470" s="132">
        <v>46086</v>
      </c>
      <c r="I2470" s="127" t="s">
        <v>5361</v>
      </c>
      <c r="J2470"/>
      <c r="K2470"/>
      <c r="L2470"/>
    </row>
    <row r="2471" spans="1:12">
      <c r="A2471" s="95" t="s">
        <v>1727</v>
      </c>
      <c r="B2471" t="s">
        <v>5310</v>
      </c>
      <c r="C2471" s="87" t="s">
        <v>1964</v>
      </c>
      <c r="D2471" s="88"/>
      <c r="E2471" s="89">
        <v>7703447</v>
      </c>
      <c r="F2471"/>
      <c r="G2471" s="17" t="s">
        <v>9</v>
      </c>
      <c r="H2471" s="132">
        <v>46086</v>
      </c>
      <c r="I2471" s="127" t="s">
        <v>5316</v>
      </c>
      <c r="J2471"/>
      <c r="K2471"/>
      <c r="L2471"/>
    </row>
    <row r="2472" spans="1:12">
      <c r="A2472" s="95" t="s">
        <v>1727</v>
      </c>
      <c r="B2472" t="s">
        <v>5310</v>
      </c>
      <c r="C2472" s="87" t="s">
        <v>1965</v>
      </c>
      <c r="D2472" s="88"/>
      <c r="E2472" s="89">
        <v>7729047</v>
      </c>
      <c r="F2472"/>
      <c r="G2472" s="17" t="s">
        <v>5</v>
      </c>
      <c r="H2472" s="132">
        <v>46086</v>
      </c>
      <c r="I2472" s="127" t="s">
        <v>5317</v>
      </c>
      <c r="J2472"/>
      <c r="K2472"/>
      <c r="L2472"/>
    </row>
    <row r="2473" spans="1:12">
      <c r="A2473" s="95" t="s">
        <v>1727</v>
      </c>
      <c r="B2473" t="s">
        <v>5310</v>
      </c>
      <c r="C2473" s="87" t="s">
        <v>1966</v>
      </c>
      <c r="D2473" s="88"/>
      <c r="E2473" s="89">
        <v>7752435</v>
      </c>
      <c r="F2473"/>
      <c r="G2473" s="17" t="s">
        <v>3</v>
      </c>
      <c r="H2473" s="132">
        <v>46086</v>
      </c>
      <c r="I2473" s="127" t="s">
        <v>5362</v>
      </c>
      <c r="J2473"/>
      <c r="K2473"/>
      <c r="L2473"/>
    </row>
    <row r="2474" spans="1:12">
      <c r="A2474" s="95" t="s">
        <v>1727</v>
      </c>
      <c r="B2474" t="s">
        <v>5310</v>
      </c>
      <c r="C2474" s="87" t="s">
        <v>1967</v>
      </c>
      <c r="D2474" s="88"/>
      <c r="E2474" s="89">
        <v>62045034</v>
      </c>
      <c r="F2474"/>
      <c r="G2474" s="17" t="s">
        <v>2</v>
      </c>
      <c r="H2474" s="132">
        <v>46086</v>
      </c>
      <c r="I2474" s="127" t="s">
        <v>5363</v>
      </c>
      <c r="J2474"/>
      <c r="K2474"/>
      <c r="L2474"/>
    </row>
    <row r="2475" spans="1:12">
      <c r="A2475" s="95" t="s">
        <v>1727</v>
      </c>
      <c r="B2475" t="s">
        <v>5310</v>
      </c>
      <c r="C2475" s="87" t="s">
        <v>1968</v>
      </c>
      <c r="D2475" s="88"/>
      <c r="E2475" s="89">
        <v>67816141</v>
      </c>
      <c r="F2475"/>
      <c r="G2475" s="17" t="s">
        <v>1</v>
      </c>
      <c r="H2475" s="132">
        <v>46086</v>
      </c>
      <c r="I2475" s="127" t="s">
        <v>5364</v>
      </c>
      <c r="J2475"/>
      <c r="K2475"/>
      <c r="L2475"/>
    </row>
    <row r="2476" spans="1:12">
      <c r="A2476" s="95" t="s">
        <v>1727</v>
      </c>
      <c r="B2476" t="s">
        <v>5310</v>
      </c>
      <c r="C2476" s="87" t="s">
        <v>1969</v>
      </c>
      <c r="D2476" s="88"/>
      <c r="E2476" s="89">
        <v>7753178</v>
      </c>
      <c r="F2476"/>
      <c r="G2476" s="17" t="s">
        <v>1</v>
      </c>
      <c r="H2476" s="132">
        <v>46086</v>
      </c>
      <c r="I2476" s="127" t="s">
        <v>5365</v>
      </c>
      <c r="J2476"/>
      <c r="K2476"/>
      <c r="L2476"/>
    </row>
    <row r="2477" spans="1:12">
      <c r="A2477" s="95" t="s">
        <v>1727</v>
      </c>
      <c r="B2477" t="s">
        <v>5310</v>
      </c>
      <c r="C2477" s="87" t="s">
        <v>1970</v>
      </c>
      <c r="D2477" s="88"/>
      <c r="E2477" s="89">
        <v>6323429</v>
      </c>
      <c r="F2477"/>
      <c r="G2477" s="17" t="s">
        <v>9</v>
      </c>
      <c r="H2477" s="132">
        <v>46086</v>
      </c>
      <c r="I2477" s="127" t="s">
        <v>5366</v>
      </c>
      <c r="J2477"/>
      <c r="K2477"/>
      <c r="L2477"/>
    </row>
    <row r="2478" spans="1:12">
      <c r="A2478" s="95" t="s">
        <v>1727</v>
      </c>
      <c r="B2478" t="s">
        <v>5310</v>
      </c>
      <c r="C2478" s="87" t="s">
        <v>1971</v>
      </c>
      <c r="D2478" s="88"/>
      <c r="E2478" s="89">
        <v>7712045</v>
      </c>
      <c r="F2478"/>
      <c r="G2478" s="17" t="s">
        <v>6</v>
      </c>
      <c r="H2478" s="132">
        <v>46086</v>
      </c>
      <c r="I2478" s="127" t="s">
        <v>5367</v>
      </c>
      <c r="J2478"/>
      <c r="K2478"/>
      <c r="L2478"/>
    </row>
    <row r="2479" spans="1:12">
      <c r="A2479" s="95" t="s">
        <v>1727</v>
      </c>
      <c r="B2479" t="s">
        <v>5310</v>
      </c>
      <c r="C2479" s="87" t="s">
        <v>1972</v>
      </c>
      <c r="D2479" s="88"/>
      <c r="E2479" s="89">
        <v>65896255</v>
      </c>
      <c r="F2479"/>
      <c r="G2479" s="17" t="s">
        <v>6</v>
      </c>
      <c r="H2479" s="132">
        <v>46086</v>
      </c>
      <c r="I2479" s="127" t="s">
        <v>5368</v>
      </c>
      <c r="J2479"/>
      <c r="K2479"/>
      <c r="L2479"/>
    </row>
    <row r="2480" spans="1:12">
      <c r="A2480" s="95" t="s">
        <v>1727</v>
      </c>
      <c r="B2480" t="s">
        <v>5310</v>
      </c>
      <c r="C2480" s="87" t="s">
        <v>1973</v>
      </c>
      <c r="D2480" s="88"/>
      <c r="E2480" s="89">
        <v>7706061</v>
      </c>
      <c r="F2480"/>
      <c r="G2480" s="17" t="s">
        <v>9</v>
      </c>
      <c r="H2480" s="132">
        <v>46086</v>
      </c>
      <c r="I2480" s="127" t="s">
        <v>5369</v>
      </c>
      <c r="J2480"/>
      <c r="K2480"/>
      <c r="L2480"/>
    </row>
    <row r="2481" spans="1:12">
      <c r="A2481" s="95" t="s">
        <v>1727</v>
      </c>
      <c r="B2481" t="s">
        <v>5310</v>
      </c>
      <c r="C2481" s="87" t="s">
        <v>1974</v>
      </c>
      <c r="D2481" s="88"/>
      <c r="E2481" s="89">
        <v>7755364</v>
      </c>
      <c r="F2481"/>
      <c r="G2481" s="17" t="s">
        <v>4</v>
      </c>
      <c r="H2481" s="132">
        <v>46086</v>
      </c>
      <c r="I2481" s="127" t="s">
        <v>5370</v>
      </c>
      <c r="J2481"/>
      <c r="K2481"/>
      <c r="L2481" t="s">
        <v>5371</v>
      </c>
    </row>
    <row r="2482" spans="1:12">
      <c r="A2482" s="95" t="s">
        <v>1727</v>
      </c>
      <c r="B2482" t="s">
        <v>5310</v>
      </c>
      <c r="C2482" s="87" t="s">
        <v>1975</v>
      </c>
      <c r="D2482" s="88"/>
      <c r="E2482" s="89">
        <v>64679940</v>
      </c>
      <c r="F2482"/>
      <c r="G2482" s="17" t="s">
        <v>6</v>
      </c>
      <c r="H2482" s="132">
        <v>46086</v>
      </c>
      <c r="I2482" s="127" t="s">
        <v>5330</v>
      </c>
      <c r="J2482"/>
      <c r="K2482"/>
      <c r="L2482"/>
    </row>
    <row r="2483" spans="1:12">
      <c r="A2483" s="95" t="s">
        <v>1727</v>
      </c>
      <c r="B2483" t="s">
        <v>5310</v>
      </c>
      <c r="C2483" s="87" t="s">
        <v>1976</v>
      </c>
      <c r="D2483" s="88"/>
      <c r="E2483" s="89">
        <v>66794752</v>
      </c>
      <c r="F2483"/>
      <c r="G2483" s="17" t="s">
        <v>6</v>
      </c>
      <c r="H2483" s="132">
        <v>46086</v>
      </c>
      <c r="I2483" s="127" t="s">
        <v>5372</v>
      </c>
      <c r="J2483"/>
      <c r="K2483"/>
      <c r="L2483"/>
    </row>
    <row r="2484" spans="1:12">
      <c r="A2484" s="95" t="s">
        <v>1727</v>
      </c>
      <c r="B2484" t="s">
        <v>5310</v>
      </c>
      <c r="C2484" s="87" t="s">
        <v>1977</v>
      </c>
      <c r="D2484" s="88"/>
      <c r="E2484" s="89">
        <v>65801447</v>
      </c>
      <c r="F2484"/>
      <c r="G2484" s="17" t="s">
        <v>2</v>
      </c>
      <c r="H2484" s="132">
        <v>46086</v>
      </c>
      <c r="I2484" s="127" t="s">
        <v>5373</v>
      </c>
      <c r="J2484"/>
      <c r="K2484"/>
      <c r="L2484"/>
    </row>
    <row r="2485" spans="1:12">
      <c r="A2485" s="95" t="s">
        <v>1727</v>
      </c>
      <c r="B2485" t="s">
        <v>5310</v>
      </c>
      <c r="C2485" s="87" t="s">
        <v>1978</v>
      </c>
      <c r="D2485" s="88"/>
      <c r="E2485" s="89">
        <v>66574128</v>
      </c>
      <c r="F2485"/>
      <c r="G2485" s="17" t="s">
        <v>1</v>
      </c>
      <c r="H2485" s="132">
        <v>46086</v>
      </c>
      <c r="I2485" s="127" t="s">
        <v>5374</v>
      </c>
      <c r="J2485"/>
      <c r="K2485"/>
      <c r="L2485"/>
    </row>
    <row r="2486" spans="1:12">
      <c r="A2486" s="95" t="s">
        <v>1727</v>
      </c>
      <c r="B2486" t="s">
        <v>5310</v>
      </c>
      <c r="C2486" s="87" t="s">
        <v>1979</v>
      </c>
      <c r="D2486" s="88"/>
      <c r="E2486" s="89">
        <v>62946923</v>
      </c>
      <c r="F2486"/>
      <c r="G2486" s="17" t="s">
        <v>9</v>
      </c>
      <c r="H2486" s="132">
        <v>46086</v>
      </c>
      <c r="I2486" s="127" t="s">
        <v>5375</v>
      </c>
      <c r="J2486"/>
      <c r="K2486"/>
      <c r="L2486"/>
    </row>
    <row r="2487" spans="1:12">
      <c r="A2487" s="95" t="s">
        <v>1727</v>
      </c>
      <c r="B2487" t="s">
        <v>5310</v>
      </c>
      <c r="C2487" s="87" t="s">
        <v>1980</v>
      </c>
      <c r="D2487" s="88"/>
      <c r="E2487" s="89">
        <v>63989792</v>
      </c>
      <c r="F2487"/>
      <c r="G2487" s="17" t="s">
        <v>1</v>
      </c>
      <c r="H2487" s="132">
        <v>46086</v>
      </c>
      <c r="I2487" s="127" t="s">
        <v>5376</v>
      </c>
      <c r="J2487"/>
      <c r="K2487"/>
      <c r="L2487"/>
    </row>
    <row r="2488" spans="1:12">
      <c r="A2488" s="95" t="s">
        <v>1727</v>
      </c>
      <c r="B2488" t="s">
        <v>5310</v>
      </c>
      <c r="C2488" s="87" t="s">
        <v>1981</v>
      </c>
      <c r="D2488" s="88"/>
      <c r="E2488" s="89">
        <v>62210425</v>
      </c>
      <c r="F2488"/>
      <c r="G2488" s="17" t="s">
        <v>6</v>
      </c>
      <c r="H2488" s="132">
        <v>46086</v>
      </c>
      <c r="I2488" s="127" t="s">
        <v>5377</v>
      </c>
      <c r="J2488"/>
      <c r="K2488"/>
      <c r="L2488"/>
    </row>
    <row r="2489" spans="1:12">
      <c r="A2489" s="95" t="s">
        <v>1727</v>
      </c>
      <c r="B2489" t="s">
        <v>5310</v>
      </c>
      <c r="C2489" s="87" t="s">
        <v>1982</v>
      </c>
      <c r="D2489" s="88"/>
      <c r="E2489" s="89">
        <v>67848671</v>
      </c>
      <c r="F2489"/>
      <c r="G2489" s="17" t="s">
        <v>1</v>
      </c>
      <c r="H2489" s="132">
        <v>46087</v>
      </c>
      <c r="I2489" s="127" t="s">
        <v>5378</v>
      </c>
      <c r="J2489"/>
      <c r="K2489"/>
      <c r="L2489"/>
    </row>
    <row r="2490" spans="1:12">
      <c r="A2490" s="95" t="s">
        <v>1727</v>
      </c>
      <c r="B2490" t="s">
        <v>5310</v>
      </c>
      <c r="C2490" s="87" t="s">
        <v>1983</v>
      </c>
      <c r="D2490" s="88"/>
      <c r="E2490" s="89">
        <v>67935325</v>
      </c>
      <c r="F2490"/>
      <c r="G2490" s="17" t="s">
        <v>9</v>
      </c>
      <c r="H2490" s="132">
        <v>46087</v>
      </c>
      <c r="I2490" s="127" t="s">
        <v>5379</v>
      </c>
      <c r="J2490"/>
      <c r="K2490"/>
      <c r="L2490"/>
    </row>
    <row r="2491" spans="1:12">
      <c r="A2491" s="95" t="s">
        <v>1727</v>
      </c>
      <c r="B2491" t="s">
        <v>5310</v>
      </c>
      <c r="C2491" s="87" t="s">
        <v>1984</v>
      </c>
      <c r="D2491" s="88"/>
      <c r="E2491" s="89">
        <v>63670134</v>
      </c>
      <c r="F2491"/>
      <c r="G2491" s="17" t="s">
        <v>6</v>
      </c>
      <c r="H2491" s="132">
        <v>46087</v>
      </c>
      <c r="I2491" s="127" t="s">
        <v>5380</v>
      </c>
      <c r="J2491"/>
      <c r="K2491"/>
      <c r="L2491"/>
    </row>
    <row r="2492" spans="1:12">
      <c r="A2492" s="95" t="s">
        <v>1727</v>
      </c>
      <c r="B2492" t="s">
        <v>5310</v>
      </c>
      <c r="C2492" s="87" t="s">
        <v>1985</v>
      </c>
      <c r="D2492" s="88"/>
      <c r="E2492" s="89">
        <v>67717268</v>
      </c>
      <c r="F2492"/>
      <c r="G2492" s="17" t="s">
        <v>9</v>
      </c>
      <c r="H2492" s="132">
        <v>46087</v>
      </c>
      <c r="I2492" s="127" t="s">
        <v>5381</v>
      </c>
      <c r="J2492"/>
      <c r="K2492"/>
      <c r="L2492"/>
    </row>
    <row r="2493" spans="1:12">
      <c r="A2493" s="95" t="s">
        <v>1727</v>
      </c>
      <c r="B2493" t="s">
        <v>5310</v>
      </c>
      <c r="C2493" s="87" t="s">
        <v>1986</v>
      </c>
      <c r="D2493" s="88"/>
      <c r="E2493" s="89">
        <v>68023618</v>
      </c>
      <c r="F2493"/>
      <c r="G2493" s="17" t="s">
        <v>1</v>
      </c>
      <c r="H2493" s="132">
        <v>46087</v>
      </c>
      <c r="I2493" s="127" t="s">
        <v>5382</v>
      </c>
      <c r="J2493"/>
      <c r="K2493"/>
      <c r="L2493"/>
    </row>
    <row r="2494" spans="1:12">
      <c r="A2494" s="95" t="s">
        <v>1727</v>
      </c>
      <c r="B2494" t="s">
        <v>5310</v>
      </c>
      <c r="C2494" s="87" t="s">
        <v>1987</v>
      </c>
      <c r="D2494" s="88"/>
      <c r="E2494" s="89">
        <v>67737170</v>
      </c>
      <c r="F2494"/>
      <c r="G2494" s="17" t="s">
        <v>1</v>
      </c>
      <c r="H2494" s="132">
        <v>46087</v>
      </c>
      <c r="I2494" s="127" t="s">
        <v>5382</v>
      </c>
      <c r="J2494"/>
      <c r="K2494"/>
      <c r="L2494"/>
    </row>
    <row r="2495" spans="1:12">
      <c r="A2495" s="95" t="s">
        <v>1727</v>
      </c>
      <c r="B2495" t="s">
        <v>5310</v>
      </c>
      <c r="C2495" s="87" t="s">
        <v>1988</v>
      </c>
      <c r="D2495" s="88"/>
      <c r="E2495" s="89">
        <v>69352819</v>
      </c>
      <c r="F2495"/>
      <c r="G2495" s="17" t="s">
        <v>6</v>
      </c>
      <c r="H2495" s="132">
        <v>46087</v>
      </c>
      <c r="I2495" s="127" t="s">
        <v>5383</v>
      </c>
      <c r="J2495"/>
      <c r="K2495"/>
      <c r="L2495"/>
    </row>
    <row r="2496" spans="1:12">
      <c r="A2496" s="95" t="s">
        <v>1727</v>
      </c>
      <c r="B2496" t="s">
        <v>5310</v>
      </c>
      <c r="C2496" s="87" t="s">
        <v>1989</v>
      </c>
      <c r="D2496" s="88"/>
      <c r="E2496" s="89">
        <v>7742123</v>
      </c>
      <c r="F2496"/>
      <c r="G2496" s="17" t="s">
        <v>1</v>
      </c>
      <c r="H2496" s="132">
        <v>46087</v>
      </c>
      <c r="I2496" s="127" t="s">
        <v>5384</v>
      </c>
      <c r="J2496"/>
      <c r="K2496"/>
      <c r="L2496"/>
    </row>
    <row r="2497" spans="1:12">
      <c r="A2497" s="95" t="s">
        <v>1727</v>
      </c>
      <c r="B2497" t="s">
        <v>5310</v>
      </c>
      <c r="C2497" s="87" t="s">
        <v>1990</v>
      </c>
      <c r="D2497" s="88"/>
      <c r="E2497" s="89">
        <v>66596358</v>
      </c>
      <c r="F2497"/>
      <c r="G2497" s="17" t="s">
        <v>1</v>
      </c>
      <c r="H2497" s="132">
        <v>46087</v>
      </c>
      <c r="I2497" s="127" t="s">
        <v>5385</v>
      </c>
      <c r="J2497"/>
      <c r="K2497"/>
      <c r="L2497"/>
    </row>
    <row r="2498" spans="1:12">
      <c r="A2498" s="95" t="s">
        <v>1727</v>
      </c>
      <c r="B2498" t="s">
        <v>5310</v>
      </c>
      <c r="C2498" s="87" t="s">
        <v>1991</v>
      </c>
      <c r="D2498" s="88"/>
      <c r="E2498" s="89">
        <v>63279089</v>
      </c>
      <c r="F2498"/>
      <c r="G2498" s="17" t="s">
        <v>9</v>
      </c>
      <c r="H2498" s="132">
        <v>46087</v>
      </c>
      <c r="I2498" s="127" t="s">
        <v>5385</v>
      </c>
      <c r="J2498"/>
      <c r="K2498"/>
      <c r="L2498"/>
    </row>
    <row r="2499" spans="1:12">
      <c r="A2499" s="95" t="s">
        <v>1727</v>
      </c>
      <c r="B2499" t="s">
        <v>5310</v>
      </c>
      <c r="C2499" s="87" t="s">
        <v>1992</v>
      </c>
      <c r="D2499" s="88"/>
      <c r="E2499" s="89">
        <v>62139349</v>
      </c>
      <c r="F2499"/>
      <c r="G2499" s="17" t="s">
        <v>1</v>
      </c>
      <c r="H2499" s="132">
        <v>46087</v>
      </c>
      <c r="I2499" s="127" t="s">
        <v>5386</v>
      </c>
      <c r="J2499"/>
      <c r="K2499"/>
      <c r="L2499"/>
    </row>
    <row r="2500" spans="1:12">
      <c r="A2500" s="95" t="s">
        <v>1727</v>
      </c>
      <c r="B2500" t="s">
        <v>5310</v>
      </c>
      <c r="C2500" s="87" t="s">
        <v>1993</v>
      </c>
      <c r="D2500" s="88"/>
      <c r="E2500" s="89">
        <v>63943533</v>
      </c>
      <c r="F2500"/>
      <c r="G2500" s="17" t="s">
        <v>2</v>
      </c>
      <c r="H2500" s="132">
        <v>46087</v>
      </c>
      <c r="I2500" s="127" t="s">
        <v>5387</v>
      </c>
      <c r="J2500"/>
      <c r="K2500"/>
      <c r="L2500"/>
    </row>
    <row r="2501" spans="1:12">
      <c r="A2501" s="95" t="s">
        <v>1727</v>
      </c>
      <c r="B2501" t="s">
        <v>5310</v>
      </c>
      <c r="C2501" s="87" t="s">
        <v>1994</v>
      </c>
      <c r="D2501" s="88"/>
      <c r="E2501" s="89">
        <v>66699990</v>
      </c>
      <c r="F2501"/>
      <c r="G2501" s="17" t="s">
        <v>6</v>
      </c>
      <c r="H2501" s="132">
        <v>46087</v>
      </c>
      <c r="I2501" s="127" t="s">
        <v>5388</v>
      </c>
      <c r="J2501"/>
      <c r="K2501"/>
      <c r="L2501"/>
    </row>
    <row r="2502" spans="1:12">
      <c r="A2502" s="95" t="s">
        <v>1727</v>
      </c>
      <c r="B2502" t="s">
        <v>5310</v>
      </c>
      <c r="C2502" s="87" t="s">
        <v>1995</v>
      </c>
      <c r="D2502" s="88"/>
      <c r="E2502" s="89">
        <v>62283673</v>
      </c>
      <c r="F2502"/>
      <c r="G2502" s="17" t="s">
        <v>2</v>
      </c>
      <c r="H2502" s="132">
        <v>46087</v>
      </c>
      <c r="I2502" s="127" t="s">
        <v>5389</v>
      </c>
      <c r="J2502"/>
      <c r="K2502"/>
      <c r="L2502"/>
    </row>
    <row r="2503" spans="1:12">
      <c r="A2503" s="95" t="s">
        <v>1727</v>
      </c>
      <c r="B2503" t="s">
        <v>5310</v>
      </c>
      <c r="C2503" s="87" t="s">
        <v>1996</v>
      </c>
      <c r="D2503" s="88"/>
      <c r="E2503" s="89">
        <v>69450189</v>
      </c>
      <c r="F2503"/>
      <c r="G2503" s="17" t="s">
        <v>6</v>
      </c>
      <c r="H2503" s="132">
        <v>46087</v>
      </c>
      <c r="I2503" s="127" t="s">
        <v>5390</v>
      </c>
      <c r="J2503"/>
      <c r="K2503"/>
      <c r="L2503"/>
    </row>
    <row r="2504" spans="1:12">
      <c r="A2504" s="95" t="s">
        <v>1727</v>
      </c>
      <c r="B2504" t="s">
        <v>5310</v>
      </c>
      <c r="C2504" s="87" t="s">
        <v>1997</v>
      </c>
      <c r="D2504" s="88"/>
      <c r="E2504" s="89">
        <v>62203512</v>
      </c>
      <c r="F2504"/>
      <c r="G2504" s="17" t="s">
        <v>2</v>
      </c>
      <c r="H2504" s="132">
        <v>46087</v>
      </c>
      <c r="I2504" s="127" t="s">
        <v>5344</v>
      </c>
      <c r="J2504"/>
      <c r="K2504"/>
      <c r="L2504"/>
    </row>
    <row r="2505" spans="1:12">
      <c r="A2505" s="95" t="s">
        <v>1727</v>
      </c>
      <c r="B2505" t="s">
        <v>5310</v>
      </c>
      <c r="C2505" s="87" t="s">
        <v>1998</v>
      </c>
      <c r="D2505" s="88"/>
      <c r="E2505" s="89">
        <v>63843006</v>
      </c>
      <c r="F2505"/>
      <c r="G2505" s="17" t="s">
        <v>2</v>
      </c>
      <c r="H2505" s="132">
        <v>46087</v>
      </c>
      <c r="I2505" s="127" t="s">
        <v>5345</v>
      </c>
      <c r="J2505"/>
      <c r="K2505"/>
      <c r="L2505"/>
    </row>
    <row r="2506" spans="1:12">
      <c r="A2506" s="95" t="s">
        <v>1727</v>
      </c>
      <c r="B2506" t="s">
        <v>5310</v>
      </c>
      <c r="C2506" s="87" t="s">
        <v>1999</v>
      </c>
      <c r="D2506" s="88"/>
      <c r="E2506" s="89">
        <v>65361630</v>
      </c>
      <c r="F2506"/>
      <c r="G2506" s="17" t="s">
        <v>1</v>
      </c>
      <c r="H2506" s="132">
        <v>46087</v>
      </c>
      <c r="I2506" s="127" t="s">
        <v>5391</v>
      </c>
      <c r="J2506"/>
      <c r="K2506"/>
      <c r="L2506"/>
    </row>
    <row r="2507" spans="1:12">
      <c r="A2507" s="95" t="s">
        <v>1727</v>
      </c>
      <c r="B2507" t="s">
        <v>5310</v>
      </c>
      <c r="C2507" s="87" t="s">
        <v>2000</v>
      </c>
      <c r="D2507" s="88"/>
      <c r="E2507" s="89">
        <v>65721305</v>
      </c>
      <c r="F2507"/>
      <c r="G2507" s="17" t="s">
        <v>1</v>
      </c>
      <c r="H2507" s="132">
        <v>46087</v>
      </c>
      <c r="I2507" s="127" t="s">
        <v>5392</v>
      </c>
      <c r="J2507"/>
      <c r="K2507"/>
      <c r="L2507"/>
    </row>
    <row r="2508" spans="1:12">
      <c r="A2508" s="95" t="s">
        <v>1727</v>
      </c>
      <c r="B2508" t="s">
        <v>5310</v>
      </c>
      <c r="C2508" s="87" t="s">
        <v>2001</v>
      </c>
      <c r="D2508" s="88"/>
      <c r="E2508" s="89">
        <v>68346395</v>
      </c>
      <c r="F2508"/>
      <c r="G2508" s="17" t="s">
        <v>9</v>
      </c>
      <c r="H2508" s="132">
        <v>46087</v>
      </c>
      <c r="I2508" s="127" t="s">
        <v>5347</v>
      </c>
      <c r="J2508"/>
      <c r="K2508"/>
      <c r="L2508"/>
    </row>
    <row r="2509" spans="1:12">
      <c r="A2509" s="95" t="s">
        <v>1727</v>
      </c>
      <c r="B2509" t="s">
        <v>5310</v>
      </c>
      <c r="C2509" s="87" t="s">
        <v>2002</v>
      </c>
      <c r="D2509" s="88"/>
      <c r="E2509" s="89">
        <v>66641909</v>
      </c>
      <c r="F2509"/>
      <c r="G2509" s="17" t="s">
        <v>9</v>
      </c>
      <c r="H2509" s="132">
        <v>46087</v>
      </c>
      <c r="I2509" s="127" t="s">
        <v>5348</v>
      </c>
      <c r="J2509"/>
      <c r="K2509"/>
      <c r="L2509"/>
    </row>
    <row r="2510" spans="1:12">
      <c r="A2510" s="95" t="s">
        <v>1727</v>
      </c>
      <c r="B2510" t="s">
        <v>5310</v>
      </c>
      <c r="C2510" s="87" t="s">
        <v>2003</v>
      </c>
      <c r="D2510" s="88"/>
      <c r="E2510" s="89">
        <v>68934309</v>
      </c>
      <c r="F2510"/>
      <c r="G2510" s="17" t="s">
        <v>1</v>
      </c>
      <c r="H2510" s="132">
        <v>46087</v>
      </c>
      <c r="I2510" s="127" t="s">
        <v>5349</v>
      </c>
      <c r="J2510"/>
      <c r="K2510"/>
      <c r="L2510"/>
    </row>
    <row r="2511" spans="1:12">
      <c r="A2511" s="95" t="s">
        <v>1727</v>
      </c>
      <c r="B2511" t="s">
        <v>5310</v>
      </c>
      <c r="C2511" s="87" t="s">
        <v>2004</v>
      </c>
      <c r="D2511" s="88"/>
      <c r="E2511" s="89">
        <v>7706296</v>
      </c>
      <c r="F2511"/>
      <c r="G2511" s="17" t="s">
        <v>3</v>
      </c>
      <c r="H2511" s="132">
        <v>46087</v>
      </c>
      <c r="I2511" s="127" t="s">
        <v>5350</v>
      </c>
      <c r="J2511"/>
      <c r="K2511"/>
      <c r="L2511"/>
    </row>
    <row r="2512" spans="1:12">
      <c r="A2512" s="95" t="s">
        <v>1727</v>
      </c>
      <c r="B2512" t="s">
        <v>5310</v>
      </c>
      <c r="C2512" s="87" t="s">
        <v>2005</v>
      </c>
      <c r="D2512" s="88"/>
      <c r="E2512" s="89">
        <v>63437428</v>
      </c>
      <c r="F2512"/>
      <c r="G2512" s="17" t="s">
        <v>3</v>
      </c>
      <c r="H2512" s="132">
        <v>46087</v>
      </c>
      <c r="I2512" s="127" t="s">
        <v>5393</v>
      </c>
      <c r="J2512"/>
      <c r="K2512"/>
      <c r="L2512"/>
    </row>
    <row r="2513" spans="1:12">
      <c r="A2513" s="95" t="s">
        <v>1727</v>
      </c>
      <c r="B2513" t="s">
        <v>5310</v>
      </c>
      <c r="C2513" s="87" t="s">
        <v>2006</v>
      </c>
      <c r="D2513" s="88"/>
      <c r="E2513" s="89">
        <v>7757099</v>
      </c>
      <c r="F2513"/>
      <c r="G2513" s="17" t="s">
        <v>6</v>
      </c>
      <c r="H2513" s="132">
        <v>46087</v>
      </c>
      <c r="I2513" s="127" t="s">
        <v>5352</v>
      </c>
      <c r="J2513"/>
      <c r="K2513"/>
      <c r="L2513"/>
    </row>
    <row r="2514" spans="1:12">
      <c r="A2514" s="95" t="s">
        <v>1727</v>
      </c>
      <c r="B2514" t="s">
        <v>5310</v>
      </c>
      <c r="C2514" s="87" t="s">
        <v>2007</v>
      </c>
      <c r="D2514" s="88"/>
      <c r="E2514" s="89">
        <v>7778091</v>
      </c>
      <c r="F2514"/>
      <c r="G2514" s="17" t="s">
        <v>1</v>
      </c>
      <c r="H2514" s="132">
        <v>46087</v>
      </c>
      <c r="I2514" s="127" t="s">
        <v>5353</v>
      </c>
      <c r="J2514"/>
      <c r="K2514"/>
      <c r="L2514"/>
    </row>
    <row r="2515" spans="1:12">
      <c r="A2515" s="95" t="s">
        <v>1727</v>
      </c>
      <c r="B2515" t="s">
        <v>5310</v>
      </c>
      <c r="C2515" s="87" t="s">
        <v>2008</v>
      </c>
      <c r="D2515" s="88"/>
      <c r="E2515" s="89">
        <v>66139952</v>
      </c>
      <c r="F2515"/>
      <c r="G2515" s="17" t="s">
        <v>3</v>
      </c>
      <c r="H2515" s="132">
        <v>46087</v>
      </c>
      <c r="I2515" s="127" t="s">
        <v>5394</v>
      </c>
      <c r="J2515"/>
      <c r="K2515"/>
      <c r="L2515"/>
    </row>
    <row r="2516" spans="1:12">
      <c r="A2516" s="95" t="s">
        <v>1727</v>
      </c>
      <c r="B2516" t="s">
        <v>5310</v>
      </c>
      <c r="C2516" s="87" t="s">
        <v>2009</v>
      </c>
      <c r="D2516" s="88"/>
      <c r="E2516" s="89">
        <v>66178191</v>
      </c>
      <c r="F2516"/>
      <c r="G2516" s="17" t="s">
        <v>1</v>
      </c>
      <c r="H2516" s="132">
        <v>46087</v>
      </c>
      <c r="I2516" s="127" t="s">
        <v>5354</v>
      </c>
      <c r="J2516"/>
      <c r="K2516"/>
      <c r="L2516"/>
    </row>
    <row r="2517" spans="1:12">
      <c r="A2517" s="95" t="s">
        <v>1727</v>
      </c>
      <c r="B2517" t="s">
        <v>5310</v>
      </c>
      <c r="C2517" s="87" t="s">
        <v>2010</v>
      </c>
      <c r="D2517" s="88"/>
      <c r="E2517" s="89">
        <v>7888645</v>
      </c>
      <c r="F2517"/>
      <c r="G2517" s="17" t="s">
        <v>1</v>
      </c>
      <c r="H2517" s="132">
        <v>46087</v>
      </c>
      <c r="I2517" s="127" t="s">
        <v>5395</v>
      </c>
      <c r="J2517"/>
      <c r="K2517"/>
      <c r="L2517"/>
    </row>
    <row r="2518" spans="1:12">
      <c r="A2518" s="95" t="s">
        <v>1727</v>
      </c>
      <c r="B2518" t="s">
        <v>5310</v>
      </c>
      <c r="C2518" s="87" t="s">
        <v>2011</v>
      </c>
      <c r="D2518" s="88"/>
      <c r="E2518" s="89">
        <v>67597581</v>
      </c>
      <c r="F2518"/>
      <c r="G2518" s="17" t="s">
        <v>9</v>
      </c>
      <c r="H2518" s="132">
        <v>46087</v>
      </c>
      <c r="I2518" s="127" t="s">
        <v>5396</v>
      </c>
      <c r="J2518"/>
      <c r="K2518"/>
      <c r="L2518"/>
    </row>
    <row r="2519" spans="1:12">
      <c r="A2519" s="95" t="s">
        <v>1727</v>
      </c>
      <c r="B2519" t="s">
        <v>5310</v>
      </c>
      <c r="C2519" s="87" t="s">
        <v>2012</v>
      </c>
      <c r="D2519" s="88"/>
      <c r="E2519" s="89">
        <v>7208093</v>
      </c>
      <c r="F2519"/>
      <c r="G2519" s="17" t="s">
        <v>9</v>
      </c>
      <c r="H2519" s="132">
        <v>46087</v>
      </c>
      <c r="I2519" s="127" t="s">
        <v>5397</v>
      </c>
      <c r="J2519"/>
      <c r="K2519"/>
      <c r="L2519"/>
    </row>
    <row r="2520" spans="1:12">
      <c r="A2520" s="95" t="s">
        <v>1727</v>
      </c>
      <c r="B2520" t="s">
        <v>5310</v>
      </c>
      <c r="C2520" s="87" t="s">
        <v>2013</v>
      </c>
      <c r="D2520" s="88"/>
      <c r="E2520" s="89">
        <v>7201409</v>
      </c>
      <c r="F2520"/>
      <c r="G2520" s="17" t="s">
        <v>9</v>
      </c>
      <c r="H2520" s="132">
        <v>46087</v>
      </c>
      <c r="I2520" s="127" t="s">
        <v>5398</v>
      </c>
      <c r="J2520"/>
      <c r="K2520"/>
      <c r="L2520"/>
    </row>
    <row r="2521" spans="1:12">
      <c r="A2521" s="95" t="s">
        <v>1727</v>
      </c>
      <c r="B2521" t="s">
        <v>5310</v>
      </c>
      <c r="C2521" s="87" t="s">
        <v>2014</v>
      </c>
      <c r="D2521" s="88"/>
      <c r="E2521" s="89">
        <v>63167890</v>
      </c>
      <c r="F2521"/>
      <c r="G2521" s="17" t="s">
        <v>2</v>
      </c>
      <c r="H2521" s="132">
        <v>46087</v>
      </c>
      <c r="I2521" s="127" t="s">
        <v>5399</v>
      </c>
      <c r="J2521"/>
      <c r="K2521"/>
      <c r="L2521"/>
    </row>
    <row r="2522" spans="1:12">
      <c r="A2522" s="95" t="s">
        <v>1727</v>
      </c>
      <c r="B2522" t="s">
        <v>5310</v>
      </c>
      <c r="C2522" s="87" t="s">
        <v>2015</v>
      </c>
      <c r="D2522" s="88"/>
      <c r="E2522" s="89">
        <v>66032156</v>
      </c>
      <c r="F2522"/>
      <c r="G2522" s="17" t="s">
        <v>2</v>
      </c>
      <c r="H2522" s="132">
        <v>46087</v>
      </c>
      <c r="I2522" s="127" t="s">
        <v>5363</v>
      </c>
      <c r="J2522"/>
      <c r="K2522"/>
      <c r="L2522"/>
    </row>
    <row r="2523" spans="1:12">
      <c r="A2523" s="95" t="s">
        <v>1727</v>
      </c>
      <c r="B2523" t="s">
        <v>5310</v>
      </c>
      <c r="C2523" s="87" t="s">
        <v>2016</v>
      </c>
      <c r="D2523" s="88"/>
      <c r="E2523" s="89">
        <v>69183039</v>
      </c>
      <c r="F2523"/>
      <c r="G2523" s="17" t="s">
        <v>6</v>
      </c>
      <c r="H2523" s="132">
        <v>46087</v>
      </c>
      <c r="I2523" s="127" t="s">
        <v>5363</v>
      </c>
      <c r="J2523"/>
      <c r="K2523"/>
      <c r="L2523"/>
    </row>
    <row r="2524" spans="1:12">
      <c r="A2524" s="95" t="s">
        <v>1727</v>
      </c>
      <c r="B2524" t="s">
        <v>5310</v>
      </c>
      <c r="C2524" s="87" t="s">
        <v>2017</v>
      </c>
      <c r="D2524" s="88"/>
      <c r="E2524" s="89">
        <v>65170563</v>
      </c>
      <c r="F2524"/>
      <c r="G2524" s="17" t="s">
        <v>6</v>
      </c>
      <c r="H2524" s="132">
        <v>46087</v>
      </c>
      <c r="I2524" s="127" t="s">
        <v>5363</v>
      </c>
      <c r="J2524"/>
      <c r="K2524"/>
      <c r="L2524"/>
    </row>
    <row r="2525" spans="1:12">
      <c r="A2525" s="95" t="s">
        <v>1727</v>
      </c>
      <c r="B2525" t="s">
        <v>5310</v>
      </c>
      <c r="C2525" s="87" t="s">
        <v>2018</v>
      </c>
      <c r="D2525" s="88"/>
      <c r="E2525" s="89"/>
      <c r="F2525"/>
      <c r="G2525" s="17" t="s">
        <v>6</v>
      </c>
      <c r="H2525" s="132">
        <v>46087</v>
      </c>
      <c r="I2525" s="127" t="s">
        <v>5364</v>
      </c>
      <c r="J2525"/>
      <c r="K2525"/>
      <c r="L2525"/>
    </row>
    <row r="2526" spans="1:12">
      <c r="A2526" s="95" t="s">
        <v>1727</v>
      </c>
      <c r="B2526" t="s">
        <v>5310</v>
      </c>
      <c r="C2526" s="87" t="s">
        <v>2019</v>
      </c>
      <c r="D2526" s="88"/>
      <c r="E2526" s="89">
        <v>61648477</v>
      </c>
      <c r="F2526"/>
      <c r="G2526" s="17" t="s">
        <v>6</v>
      </c>
      <c r="H2526" s="132" t="s">
        <v>5400</v>
      </c>
      <c r="I2526" s="127" t="s">
        <v>5401</v>
      </c>
      <c r="J2526"/>
      <c r="K2526"/>
      <c r="L2526"/>
    </row>
    <row r="2527" spans="1:12">
      <c r="A2527" s="95" t="s">
        <v>1727</v>
      </c>
      <c r="B2527" t="s">
        <v>5310</v>
      </c>
      <c r="C2527" s="87" t="s">
        <v>2020</v>
      </c>
      <c r="D2527" s="88"/>
      <c r="E2527" s="89">
        <v>64578170</v>
      </c>
      <c r="F2527"/>
      <c r="G2527" s="17" t="s">
        <v>2</v>
      </c>
      <c r="H2527" s="132">
        <v>46087</v>
      </c>
      <c r="I2527" s="127" t="s">
        <v>5402</v>
      </c>
      <c r="J2527"/>
      <c r="K2527"/>
      <c r="L2527"/>
    </row>
    <row r="2528" spans="1:12">
      <c r="A2528" s="95" t="s">
        <v>1727</v>
      </c>
      <c r="B2528" t="s">
        <v>5310</v>
      </c>
      <c r="C2528" s="87" t="s">
        <v>2021</v>
      </c>
      <c r="D2528" s="88"/>
      <c r="E2528" s="89">
        <v>64352345</v>
      </c>
      <c r="F2528"/>
      <c r="G2528" s="17" t="s">
        <v>6</v>
      </c>
      <c r="H2528" s="132">
        <v>46087</v>
      </c>
      <c r="I2528" s="127" t="s">
        <v>5365</v>
      </c>
      <c r="J2528"/>
      <c r="K2528"/>
      <c r="L2528"/>
    </row>
    <row r="2529" spans="1:12">
      <c r="A2529" s="95" t="s">
        <v>1727</v>
      </c>
      <c r="B2529" t="s">
        <v>5310</v>
      </c>
      <c r="C2529" s="87" t="s">
        <v>2022</v>
      </c>
      <c r="D2529" s="88"/>
      <c r="E2529" s="89">
        <v>7277881</v>
      </c>
      <c r="F2529"/>
      <c r="G2529" s="17" t="s">
        <v>2</v>
      </c>
      <c r="H2529" s="132">
        <v>46087</v>
      </c>
      <c r="I2529" s="127" t="s">
        <v>5366</v>
      </c>
      <c r="J2529"/>
      <c r="K2529"/>
      <c r="L2529"/>
    </row>
    <row r="2530" spans="1:12">
      <c r="A2530" s="95" t="s">
        <v>1727</v>
      </c>
      <c r="B2530" t="s">
        <v>5310</v>
      </c>
      <c r="C2530" s="87" t="s">
        <v>2023</v>
      </c>
      <c r="D2530" s="88"/>
      <c r="E2530" s="89">
        <v>64788277</v>
      </c>
      <c r="F2530"/>
      <c r="G2530" s="17" t="s">
        <v>2</v>
      </c>
      <c r="H2530" s="132">
        <v>46087</v>
      </c>
      <c r="I2530" s="127" t="s">
        <v>5367</v>
      </c>
      <c r="J2530"/>
      <c r="K2530"/>
      <c r="L2530"/>
    </row>
    <row r="2531" spans="1:12">
      <c r="A2531" s="95" t="s">
        <v>1727</v>
      </c>
      <c r="B2531" t="s">
        <v>5310</v>
      </c>
      <c r="C2531" s="87" t="s">
        <v>2024</v>
      </c>
      <c r="D2531" s="88"/>
      <c r="E2531" s="89">
        <v>7300182</v>
      </c>
      <c r="F2531"/>
      <c r="G2531" s="17" t="s">
        <v>1</v>
      </c>
      <c r="H2531" s="132">
        <v>46087</v>
      </c>
      <c r="I2531" s="127" t="s">
        <v>5368</v>
      </c>
      <c r="J2531"/>
      <c r="K2531"/>
      <c r="L2531"/>
    </row>
    <row r="2532" spans="1:12">
      <c r="A2532" s="95" t="s">
        <v>1727</v>
      </c>
      <c r="B2532" t="s">
        <v>5310</v>
      </c>
      <c r="C2532" s="87" t="s">
        <v>2025</v>
      </c>
      <c r="D2532" s="88"/>
      <c r="E2532" s="89">
        <v>64278431</v>
      </c>
      <c r="F2532"/>
      <c r="G2532" s="17" t="s">
        <v>1</v>
      </c>
      <c r="H2532" s="132">
        <v>46087</v>
      </c>
      <c r="I2532" s="127" t="s">
        <v>5369</v>
      </c>
      <c r="J2532"/>
      <c r="K2532"/>
      <c r="L2532"/>
    </row>
    <row r="2533" spans="1:12">
      <c r="A2533" s="95" t="s">
        <v>1727</v>
      </c>
      <c r="B2533" t="s">
        <v>5310</v>
      </c>
      <c r="C2533" s="87" t="s">
        <v>2026</v>
      </c>
      <c r="D2533" s="88"/>
      <c r="E2533" s="89">
        <v>69620546</v>
      </c>
      <c r="F2533"/>
      <c r="G2533" s="17" t="s">
        <v>1</v>
      </c>
      <c r="H2533" s="132">
        <v>46087</v>
      </c>
      <c r="I2533" s="127" t="s">
        <v>5403</v>
      </c>
      <c r="J2533"/>
      <c r="K2533"/>
      <c r="L2533"/>
    </row>
    <row r="2534" spans="1:12">
      <c r="A2534" s="95" t="s">
        <v>1727</v>
      </c>
      <c r="B2534" t="s">
        <v>5310</v>
      </c>
      <c r="C2534" s="87" t="s">
        <v>2027</v>
      </c>
      <c r="D2534" s="88"/>
      <c r="E2534" s="89">
        <v>66977911</v>
      </c>
      <c r="F2534"/>
      <c r="G2534" s="17" t="s">
        <v>2</v>
      </c>
      <c r="H2534" s="132">
        <v>46087</v>
      </c>
      <c r="I2534" s="127" t="s">
        <v>5370</v>
      </c>
      <c r="J2534"/>
      <c r="K2534"/>
      <c r="L2534"/>
    </row>
    <row r="2535" spans="1:12">
      <c r="A2535" s="95" t="s">
        <v>1727</v>
      </c>
      <c r="B2535" t="s">
        <v>5310</v>
      </c>
      <c r="C2535" s="87" t="s">
        <v>2028</v>
      </c>
      <c r="D2535" s="88"/>
      <c r="E2535" s="89">
        <v>7870577</v>
      </c>
      <c r="F2535"/>
      <c r="G2535" s="17" t="s">
        <v>6</v>
      </c>
      <c r="H2535" s="132">
        <v>46087</v>
      </c>
      <c r="I2535" s="127" t="s">
        <v>5404</v>
      </c>
      <c r="J2535"/>
      <c r="K2535"/>
      <c r="L2535"/>
    </row>
    <row r="2536" spans="1:12">
      <c r="A2536" s="95" t="s">
        <v>1727</v>
      </c>
      <c r="B2536" t="s">
        <v>5310</v>
      </c>
      <c r="C2536" s="87" t="s">
        <v>2029</v>
      </c>
      <c r="D2536" s="88"/>
      <c r="E2536" s="89">
        <v>66818994</v>
      </c>
      <c r="F2536"/>
      <c r="G2536" s="17" t="s">
        <v>1</v>
      </c>
      <c r="H2536" s="132">
        <v>46087</v>
      </c>
      <c r="I2536" s="127" t="s">
        <v>5405</v>
      </c>
      <c r="J2536"/>
      <c r="K2536"/>
      <c r="L2536"/>
    </row>
    <row r="2537" spans="1:12">
      <c r="A2537" s="95" t="s">
        <v>1727</v>
      </c>
      <c r="B2537" t="s">
        <v>5310</v>
      </c>
      <c r="C2537" s="87" t="s">
        <v>2030</v>
      </c>
      <c r="D2537" s="88"/>
      <c r="E2537" s="89">
        <v>7740683</v>
      </c>
      <c r="F2537"/>
      <c r="G2537" s="17" t="s">
        <v>1</v>
      </c>
      <c r="H2537" s="132">
        <v>46087</v>
      </c>
      <c r="I2537" s="127" t="s">
        <v>5406</v>
      </c>
      <c r="J2537"/>
      <c r="K2537"/>
      <c r="L2537"/>
    </row>
    <row r="2538" spans="1:12">
      <c r="A2538" s="95" t="s">
        <v>1727</v>
      </c>
      <c r="B2538" t="s">
        <v>5310</v>
      </c>
      <c r="C2538" s="87" t="s">
        <v>2031</v>
      </c>
      <c r="D2538" s="88"/>
      <c r="E2538" s="89">
        <v>67721779</v>
      </c>
      <c r="F2538"/>
      <c r="G2538" s="17" t="s">
        <v>6</v>
      </c>
      <c r="H2538" s="132">
        <v>46087</v>
      </c>
      <c r="I2538" s="127" t="s">
        <v>5406</v>
      </c>
      <c r="J2538"/>
      <c r="K2538"/>
      <c r="L2538"/>
    </row>
    <row r="2539" spans="1:12">
      <c r="A2539" s="95" t="s">
        <v>1727</v>
      </c>
      <c r="B2539" t="s">
        <v>5310</v>
      </c>
      <c r="C2539" s="87" t="s">
        <v>2032</v>
      </c>
      <c r="D2539" s="88"/>
      <c r="E2539" s="89">
        <v>7706061</v>
      </c>
      <c r="F2539"/>
      <c r="G2539" s="17" t="s">
        <v>9</v>
      </c>
      <c r="H2539" s="132">
        <v>46087</v>
      </c>
      <c r="I2539" s="127" t="s">
        <v>5407</v>
      </c>
      <c r="J2539"/>
      <c r="K2539"/>
      <c r="L2539"/>
    </row>
    <row r="2540" spans="1:12">
      <c r="A2540" s="95" t="s">
        <v>1727</v>
      </c>
      <c r="B2540" t="s">
        <v>5310</v>
      </c>
      <c r="C2540" s="87" t="s">
        <v>2033</v>
      </c>
      <c r="D2540" s="88"/>
      <c r="E2540" s="89">
        <v>7745151</v>
      </c>
      <c r="F2540"/>
      <c r="G2540" s="17" t="s">
        <v>6</v>
      </c>
      <c r="H2540" s="132">
        <v>46087</v>
      </c>
      <c r="I2540" s="127" t="s">
        <v>5408</v>
      </c>
      <c r="J2540"/>
      <c r="K2540"/>
      <c r="L2540"/>
    </row>
    <row r="2541" spans="1:12">
      <c r="A2541" s="95" t="s">
        <v>1727</v>
      </c>
      <c r="B2541" t="s">
        <v>5310</v>
      </c>
      <c r="C2541" s="87" t="s">
        <v>2034</v>
      </c>
      <c r="D2541" s="88"/>
      <c r="E2541" s="89">
        <v>65220722</v>
      </c>
      <c r="F2541"/>
      <c r="G2541" s="17" t="s">
        <v>1</v>
      </c>
      <c r="H2541" s="132">
        <v>46087</v>
      </c>
      <c r="I2541" s="127" t="s">
        <v>5409</v>
      </c>
      <c r="J2541"/>
      <c r="K2541"/>
      <c r="L2541"/>
    </row>
    <row r="2542" spans="1:12">
      <c r="A2542" s="95" t="s">
        <v>1727</v>
      </c>
      <c r="B2542" t="s">
        <v>5310</v>
      </c>
      <c r="C2542" s="87" t="s">
        <v>2035</v>
      </c>
      <c r="D2542" s="88"/>
      <c r="E2542" s="89">
        <v>65906914</v>
      </c>
      <c r="F2542"/>
      <c r="G2542" s="17" t="s">
        <v>2</v>
      </c>
      <c r="H2542" s="132">
        <v>46087</v>
      </c>
      <c r="I2542" s="127" t="s">
        <v>5409</v>
      </c>
      <c r="J2542"/>
      <c r="K2542"/>
      <c r="L2542"/>
    </row>
    <row r="2543" spans="1:12">
      <c r="A2543" s="95" t="s">
        <v>1727</v>
      </c>
      <c r="B2543" t="s">
        <v>5310</v>
      </c>
      <c r="C2543" s="87" t="s">
        <v>2036</v>
      </c>
      <c r="D2543" s="88"/>
      <c r="E2543" s="89">
        <v>64212436</v>
      </c>
      <c r="F2543"/>
      <c r="G2543" s="17" t="s">
        <v>1</v>
      </c>
      <c r="H2543" s="132">
        <v>46087</v>
      </c>
      <c r="I2543" s="127" t="s">
        <v>5410</v>
      </c>
      <c r="J2543"/>
      <c r="K2543"/>
      <c r="L2543"/>
    </row>
    <row r="2544" spans="1:12">
      <c r="A2544" s="95" t="s">
        <v>1727</v>
      </c>
      <c r="B2544" t="s">
        <v>5310</v>
      </c>
      <c r="C2544" s="87" t="s">
        <v>2037</v>
      </c>
      <c r="D2544" s="88"/>
      <c r="E2544" s="89">
        <v>64472584</v>
      </c>
      <c r="F2544"/>
      <c r="G2544" s="17" t="s">
        <v>2</v>
      </c>
      <c r="H2544" s="132">
        <v>46087</v>
      </c>
      <c r="I2544" s="127" t="s">
        <v>5411</v>
      </c>
      <c r="J2544"/>
      <c r="K2544"/>
      <c r="L2544"/>
    </row>
    <row r="2545" spans="1:12">
      <c r="A2545" s="95" t="s">
        <v>1727</v>
      </c>
      <c r="B2545" t="s">
        <v>5310</v>
      </c>
      <c r="C2545" s="87" t="s">
        <v>2038</v>
      </c>
      <c r="D2545" s="88"/>
      <c r="E2545" s="89">
        <v>68545424</v>
      </c>
      <c r="F2545"/>
      <c r="G2545" s="17" t="s">
        <v>1</v>
      </c>
      <c r="H2545" s="132">
        <v>46087</v>
      </c>
      <c r="I2545" s="127" t="s">
        <v>5412</v>
      </c>
      <c r="J2545"/>
      <c r="K2545"/>
      <c r="L2545"/>
    </row>
    <row r="2546" spans="1:12">
      <c r="A2546" s="95" t="s">
        <v>1727</v>
      </c>
      <c r="B2546" t="s">
        <v>5310</v>
      </c>
      <c r="C2546" s="87" t="s">
        <v>2039</v>
      </c>
      <c r="D2546" s="88"/>
      <c r="E2546" s="89">
        <v>68563203</v>
      </c>
      <c r="F2546"/>
      <c r="G2546" s="17" t="s">
        <v>2</v>
      </c>
      <c r="H2546" s="132">
        <v>46087</v>
      </c>
      <c r="I2546" s="127" t="s">
        <v>5413</v>
      </c>
      <c r="J2546"/>
      <c r="K2546"/>
      <c r="L2546"/>
    </row>
    <row r="2547" spans="1:12">
      <c r="A2547" s="95" t="s">
        <v>1727</v>
      </c>
      <c r="B2547" t="s">
        <v>5310</v>
      </c>
      <c r="C2547" s="87" t="s">
        <v>2040</v>
      </c>
      <c r="D2547" s="88"/>
      <c r="E2547" s="89">
        <v>64051753</v>
      </c>
      <c r="F2547"/>
      <c r="G2547" s="17" t="s">
        <v>2</v>
      </c>
      <c r="H2547" s="132">
        <v>46087</v>
      </c>
      <c r="I2547" s="127" t="s">
        <v>5414</v>
      </c>
      <c r="J2547"/>
      <c r="K2547"/>
      <c r="L2547"/>
    </row>
    <row r="2548" spans="1:12">
      <c r="A2548" s="95" t="s">
        <v>1727</v>
      </c>
      <c r="B2548" t="s">
        <v>5415</v>
      </c>
      <c r="C2548" s="87" t="s">
        <v>2041</v>
      </c>
      <c r="D2548" s="88"/>
      <c r="E2548" s="89">
        <v>66318874</v>
      </c>
      <c r="F2548"/>
      <c r="G2548" s="17" t="s">
        <v>9</v>
      </c>
      <c r="H2548" s="132">
        <v>46084</v>
      </c>
      <c r="I2548" s="127">
        <v>0.62291666666666667</v>
      </c>
      <c r="J2548"/>
      <c r="K2548"/>
      <c r="L2548"/>
    </row>
    <row r="2549" spans="1:12">
      <c r="A2549" s="95" t="s">
        <v>1727</v>
      </c>
      <c r="B2549" t="s">
        <v>5415</v>
      </c>
      <c r="C2549" s="87" t="s">
        <v>2042</v>
      </c>
      <c r="D2549" s="88"/>
      <c r="E2549" s="89">
        <v>65189475</v>
      </c>
      <c r="F2549"/>
      <c r="G2549" s="17" t="s">
        <v>3</v>
      </c>
      <c r="H2549" s="132">
        <v>46084</v>
      </c>
      <c r="I2549" s="127">
        <v>0.62430555555555556</v>
      </c>
      <c r="J2549" s="22">
        <v>46087</v>
      </c>
      <c r="K2549" s="154">
        <v>0.5854166666666667</v>
      </c>
      <c r="L2549"/>
    </row>
    <row r="2550" spans="1:12">
      <c r="A2550" s="95" t="s">
        <v>1727</v>
      </c>
      <c r="B2550" t="s">
        <v>5415</v>
      </c>
      <c r="C2550" s="87" t="s">
        <v>2043</v>
      </c>
      <c r="D2550" s="88"/>
      <c r="E2550" s="89">
        <v>66903461</v>
      </c>
      <c r="F2550"/>
      <c r="G2550" s="17" t="s">
        <v>4</v>
      </c>
      <c r="H2550" s="132">
        <v>46084</v>
      </c>
      <c r="I2550" s="127">
        <v>0.62708333333333333</v>
      </c>
      <c r="J2550"/>
      <c r="K2550"/>
      <c r="L2550" t="s">
        <v>5416</v>
      </c>
    </row>
    <row r="2551" spans="1:12">
      <c r="A2551" s="95" t="s">
        <v>1727</v>
      </c>
      <c r="B2551" t="s">
        <v>5415</v>
      </c>
      <c r="C2551" s="87" t="s">
        <v>2044</v>
      </c>
      <c r="D2551" s="88"/>
      <c r="E2551" s="89">
        <v>69534834</v>
      </c>
      <c r="F2551"/>
      <c r="G2551" s="17" t="s">
        <v>9</v>
      </c>
      <c r="H2551" s="132">
        <v>46084</v>
      </c>
      <c r="I2551" s="127">
        <v>0.62777777777777777</v>
      </c>
      <c r="J2551"/>
      <c r="K2551"/>
      <c r="L2551"/>
    </row>
    <row r="2552" spans="1:12">
      <c r="A2552" s="95" t="s">
        <v>1727</v>
      </c>
      <c r="B2552" t="s">
        <v>5415</v>
      </c>
      <c r="C2552" s="87" t="s">
        <v>2045</v>
      </c>
      <c r="D2552" s="88"/>
      <c r="E2552" s="89">
        <v>66405683</v>
      </c>
      <c r="F2552"/>
      <c r="G2552" s="17" t="s">
        <v>3</v>
      </c>
      <c r="H2552" s="132">
        <v>46084</v>
      </c>
      <c r="I2552" s="127">
        <v>0.62847222222222221</v>
      </c>
      <c r="J2552"/>
      <c r="K2552"/>
      <c r="L2552"/>
    </row>
    <row r="2553" spans="1:12">
      <c r="A2553" s="95" t="s">
        <v>1727</v>
      </c>
      <c r="B2553" t="s">
        <v>5415</v>
      </c>
      <c r="C2553" s="87" t="s">
        <v>2046</v>
      </c>
      <c r="D2553" s="88"/>
      <c r="E2553" s="89">
        <v>7753859</v>
      </c>
      <c r="F2553"/>
      <c r="G2553" s="17" t="s">
        <v>9</v>
      </c>
      <c r="H2553" s="132">
        <v>46084</v>
      </c>
      <c r="I2553" s="127">
        <v>0.63055555555555554</v>
      </c>
      <c r="J2553" s="22">
        <v>46087</v>
      </c>
      <c r="K2553" s="154">
        <v>0.5854166666666667</v>
      </c>
      <c r="L2553"/>
    </row>
    <row r="2554" spans="1:12">
      <c r="A2554" s="95" t="s">
        <v>1727</v>
      </c>
      <c r="B2554" t="s">
        <v>5415</v>
      </c>
      <c r="C2554" s="87" t="s">
        <v>2047</v>
      </c>
      <c r="D2554" s="88"/>
      <c r="E2554" s="89">
        <v>62935071</v>
      </c>
      <c r="F2554" s="99" t="s">
        <v>5417</v>
      </c>
      <c r="G2554" s="17" t="s">
        <v>1</v>
      </c>
      <c r="H2554" s="132">
        <v>46084</v>
      </c>
      <c r="I2554" s="127">
        <v>0.63124999999999998</v>
      </c>
      <c r="J2554" s="22">
        <v>46087</v>
      </c>
      <c r="K2554" s="154">
        <v>0.58611111111111114</v>
      </c>
      <c r="L2554"/>
    </row>
    <row r="2555" spans="1:12">
      <c r="A2555" s="95" t="s">
        <v>1727</v>
      </c>
      <c r="B2555" t="s">
        <v>5415</v>
      </c>
      <c r="C2555" s="87" t="s">
        <v>2048</v>
      </c>
      <c r="D2555" s="88"/>
      <c r="E2555" s="89">
        <v>7885880</v>
      </c>
      <c r="F2555"/>
      <c r="G2555" s="17" t="s">
        <v>9</v>
      </c>
      <c r="H2555" s="132">
        <v>46084</v>
      </c>
      <c r="I2555" s="127">
        <v>0.63124999999999998</v>
      </c>
      <c r="J2555"/>
      <c r="K2555"/>
      <c r="L2555"/>
    </row>
    <row r="2556" spans="1:12">
      <c r="A2556" s="95" t="s">
        <v>1727</v>
      </c>
      <c r="B2556" t="s">
        <v>5415</v>
      </c>
      <c r="C2556" s="87" t="s">
        <v>2049</v>
      </c>
      <c r="D2556" s="88"/>
      <c r="E2556" s="89">
        <v>67986103</v>
      </c>
      <c r="F2556"/>
      <c r="G2556" s="17" t="s">
        <v>2</v>
      </c>
      <c r="H2556" s="132">
        <v>46084</v>
      </c>
      <c r="I2556" s="127">
        <v>0.63194444444444442</v>
      </c>
      <c r="J2556"/>
      <c r="K2556"/>
      <c r="L2556" t="s">
        <v>5418</v>
      </c>
    </row>
    <row r="2557" spans="1:12">
      <c r="A2557" s="95" t="s">
        <v>1727</v>
      </c>
      <c r="B2557" t="s">
        <v>5415</v>
      </c>
      <c r="C2557" s="87" t="s">
        <v>2050</v>
      </c>
      <c r="D2557" s="88"/>
      <c r="E2557" s="89">
        <v>64312940</v>
      </c>
      <c r="F2557"/>
      <c r="G2557" s="17" t="s">
        <v>3</v>
      </c>
      <c r="H2557" s="132">
        <v>46084</v>
      </c>
      <c r="I2557" s="127">
        <v>0.63263888888888886</v>
      </c>
      <c r="J2557" s="22">
        <v>46087</v>
      </c>
      <c r="K2557" s="154">
        <v>0.58750000000000002</v>
      </c>
      <c r="L2557"/>
    </row>
    <row r="2558" spans="1:12">
      <c r="A2558" s="95" t="s">
        <v>1727</v>
      </c>
      <c r="B2558" t="s">
        <v>5415</v>
      </c>
      <c r="C2558" s="87" t="s">
        <v>2051</v>
      </c>
      <c r="D2558" s="88"/>
      <c r="E2558" s="89">
        <v>66487324</v>
      </c>
      <c r="F2558"/>
      <c r="G2558" s="17" t="s">
        <v>1</v>
      </c>
      <c r="H2558" s="132">
        <v>46084</v>
      </c>
      <c r="I2558" s="127">
        <v>0.63541666666666663</v>
      </c>
      <c r="J2558"/>
      <c r="K2558"/>
      <c r="L2558"/>
    </row>
    <row r="2559" spans="1:12">
      <c r="A2559" s="95" t="s">
        <v>1727</v>
      </c>
      <c r="B2559" t="s">
        <v>5415</v>
      </c>
      <c r="C2559" s="87" t="s">
        <v>2052</v>
      </c>
      <c r="D2559" s="88"/>
      <c r="E2559" s="89">
        <v>64832067</v>
      </c>
      <c r="F2559"/>
      <c r="G2559" s="17" t="s">
        <v>1</v>
      </c>
      <c r="H2559" s="132">
        <v>46084</v>
      </c>
      <c r="I2559" s="127">
        <v>0.63611111111111107</v>
      </c>
      <c r="J2559" s="22">
        <v>46087</v>
      </c>
      <c r="K2559" s="154">
        <v>0.58888888888888891</v>
      </c>
      <c r="L2559"/>
    </row>
    <row r="2560" spans="1:12">
      <c r="A2560" s="95" t="s">
        <v>1727</v>
      </c>
      <c r="B2560" t="s">
        <v>5415</v>
      </c>
      <c r="C2560" s="87" t="s">
        <v>2053</v>
      </c>
      <c r="D2560" s="88"/>
      <c r="E2560" s="89">
        <v>68682081</v>
      </c>
      <c r="F2560"/>
      <c r="G2560" s="17" t="s">
        <v>2</v>
      </c>
      <c r="H2560" s="132">
        <v>46084</v>
      </c>
      <c r="I2560" s="127">
        <v>0.6381944444444444</v>
      </c>
      <c r="J2560" s="22">
        <v>46087</v>
      </c>
      <c r="K2560" s="154">
        <v>0.58958333333333335</v>
      </c>
      <c r="L2560"/>
    </row>
    <row r="2561" spans="1:12">
      <c r="A2561" s="95" t="s">
        <v>1727</v>
      </c>
      <c r="B2561" t="s">
        <v>5415</v>
      </c>
      <c r="C2561" s="87" t="s">
        <v>2054</v>
      </c>
      <c r="D2561" s="88"/>
      <c r="E2561" s="89">
        <v>66837154</v>
      </c>
      <c r="F2561"/>
      <c r="G2561" s="17" t="s">
        <v>3</v>
      </c>
      <c r="H2561" s="132">
        <v>46084</v>
      </c>
      <c r="I2561" s="127">
        <v>0.63888888888888884</v>
      </c>
      <c r="J2561"/>
      <c r="K2561"/>
      <c r="L2561"/>
    </row>
    <row r="2562" spans="1:12">
      <c r="A2562" s="95" t="s">
        <v>1727</v>
      </c>
      <c r="B2562" t="s">
        <v>5415</v>
      </c>
      <c r="C2562" s="87" t="s">
        <v>2055</v>
      </c>
      <c r="D2562" s="88"/>
      <c r="E2562" s="89">
        <v>65006002</v>
      </c>
      <c r="F2562"/>
      <c r="G2562" s="17" t="s">
        <v>6</v>
      </c>
      <c r="H2562" s="132">
        <v>46084</v>
      </c>
      <c r="I2562" s="127">
        <v>0.63958333333333328</v>
      </c>
      <c r="J2562" s="22">
        <v>46087</v>
      </c>
      <c r="K2562" s="154">
        <v>0.59027777777777779</v>
      </c>
      <c r="L2562"/>
    </row>
    <row r="2563" spans="1:12">
      <c r="A2563" s="95" t="s">
        <v>1727</v>
      </c>
      <c r="B2563" t="s">
        <v>5415</v>
      </c>
      <c r="C2563" s="87" t="s">
        <v>2056</v>
      </c>
      <c r="D2563" s="88"/>
      <c r="E2563" s="89">
        <v>63480015</v>
      </c>
      <c r="F2563"/>
      <c r="G2563" s="17" t="s">
        <v>1</v>
      </c>
      <c r="H2563" s="132">
        <v>46084</v>
      </c>
      <c r="I2563" s="127">
        <v>0.64097222222222228</v>
      </c>
      <c r="J2563"/>
      <c r="K2563"/>
      <c r="L2563"/>
    </row>
    <row r="2564" spans="1:12">
      <c r="A2564" s="95" t="s">
        <v>1727</v>
      </c>
      <c r="B2564" t="s">
        <v>5415</v>
      </c>
      <c r="C2564" s="87" t="s">
        <v>2057</v>
      </c>
      <c r="D2564" s="88"/>
      <c r="E2564" s="89">
        <v>67014305</v>
      </c>
      <c r="F2564"/>
      <c r="G2564" s="17" t="s">
        <v>9</v>
      </c>
      <c r="H2564" s="132">
        <v>46084</v>
      </c>
      <c r="I2564" s="127">
        <v>0.64166666666666672</v>
      </c>
      <c r="J2564" s="22">
        <v>46087</v>
      </c>
      <c r="K2564" s="154">
        <v>0.59097222222222223</v>
      </c>
      <c r="L2564"/>
    </row>
    <row r="2565" spans="1:12">
      <c r="A2565" s="95" t="s">
        <v>1727</v>
      </c>
      <c r="B2565" t="s">
        <v>5415</v>
      </c>
      <c r="C2565" s="87" t="s">
        <v>2058</v>
      </c>
      <c r="D2565" s="88"/>
      <c r="E2565" s="89">
        <v>67790144</v>
      </c>
      <c r="F2565"/>
      <c r="G2565" s="17" t="s">
        <v>6</v>
      </c>
      <c r="H2565" s="132">
        <v>46084</v>
      </c>
      <c r="I2565" s="127">
        <v>0.64236111111111116</v>
      </c>
      <c r="J2565" s="22">
        <v>46087</v>
      </c>
      <c r="K2565" s="154">
        <v>0.59166666666666667</v>
      </c>
      <c r="L2565"/>
    </row>
    <row r="2566" spans="1:12">
      <c r="A2566" s="95" t="s">
        <v>1727</v>
      </c>
      <c r="B2566" t="s">
        <v>5415</v>
      </c>
      <c r="C2566" s="87" t="s">
        <v>2059</v>
      </c>
      <c r="D2566" s="88"/>
      <c r="E2566" s="89">
        <v>66326884</v>
      </c>
      <c r="F2566"/>
      <c r="G2566" s="17" t="s">
        <v>3</v>
      </c>
      <c r="H2566" s="132">
        <v>46084</v>
      </c>
      <c r="I2566" s="127">
        <v>0.64375000000000004</v>
      </c>
      <c r="J2566"/>
      <c r="K2566"/>
      <c r="L2566"/>
    </row>
    <row r="2567" spans="1:12">
      <c r="A2567" s="95" t="s">
        <v>1727</v>
      </c>
      <c r="B2567" t="s">
        <v>5415</v>
      </c>
      <c r="C2567" s="87" t="s">
        <v>2060</v>
      </c>
      <c r="D2567" s="88"/>
      <c r="E2567" s="89">
        <v>66688540</v>
      </c>
      <c r="F2567"/>
      <c r="G2567" s="17" t="s">
        <v>1</v>
      </c>
      <c r="H2567" s="132">
        <v>46084</v>
      </c>
      <c r="I2567" s="127">
        <v>0.64513888888888893</v>
      </c>
      <c r="J2567"/>
      <c r="K2567"/>
      <c r="L2567"/>
    </row>
    <row r="2568" spans="1:12">
      <c r="A2568" s="95" t="s">
        <v>1727</v>
      </c>
      <c r="B2568" t="s">
        <v>5415</v>
      </c>
      <c r="C2568" s="87" t="s">
        <v>2061</v>
      </c>
      <c r="D2568" s="88"/>
      <c r="E2568" s="89">
        <v>66959007</v>
      </c>
      <c r="F2568" s="99" t="s">
        <v>5419</v>
      </c>
      <c r="G2568" s="17" t="s">
        <v>1</v>
      </c>
      <c r="H2568" s="132">
        <v>46084</v>
      </c>
      <c r="I2568" s="127">
        <v>0.64513888888888893</v>
      </c>
      <c r="J2568" s="22">
        <v>46087</v>
      </c>
      <c r="K2568" s="154">
        <v>0.59236111111111112</v>
      </c>
      <c r="L2568"/>
    </row>
    <row r="2569" spans="1:12">
      <c r="A2569" s="95" t="s">
        <v>1727</v>
      </c>
      <c r="B2569" t="s">
        <v>5415</v>
      </c>
      <c r="C2569" s="87" t="s">
        <v>2062</v>
      </c>
      <c r="D2569" s="88"/>
      <c r="E2569" s="89">
        <v>65349737</v>
      </c>
      <c r="F2569"/>
      <c r="G2569" s="17" t="s">
        <v>9</v>
      </c>
      <c r="H2569" s="132">
        <v>46084</v>
      </c>
      <c r="I2569" s="127">
        <v>0.64583333333333337</v>
      </c>
      <c r="J2569"/>
      <c r="K2569"/>
      <c r="L2569"/>
    </row>
    <row r="2570" spans="1:12">
      <c r="A2570" s="95" t="s">
        <v>1727</v>
      </c>
      <c r="B2570" t="s">
        <v>5415</v>
      </c>
      <c r="C2570" s="87" t="s">
        <v>2063</v>
      </c>
      <c r="D2570" s="88"/>
      <c r="E2570" s="89">
        <v>7760157</v>
      </c>
      <c r="F2570"/>
      <c r="G2570" s="17" t="s">
        <v>9</v>
      </c>
      <c r="H2570" s="132">
        <v>46084</v>
      </c>
      <c r="I2570" s="127">
        <v>0.64722222222222225</v>
      </c>
      <c r="J2570"/>
      <c r="K2570"/>
      <c r="L2570"/>
    </row>
    <row r="2571" spans="1:12">
      <c r="A2571" s="95" t="s">
        <v>1727</v>
      </c>
      <c r="B2571" t="s">
        <v>5415</v>
      </c>
      <c r="C2571" s="87" t="s">
        <v>2064</v>
      </c>
      <c r="D2571" s="88"/>
      <c r="E2571" s="89">
        <v>64597830</v>
      </c>
      <c r="F2571" t="s">
        <v>5420</v>
      </c>
      <c r="G2571" s="17" t="s">
        <v>1</v>
      </c>
      <c r="H2571" s="132">
        <v>46084</v>
      </c>
      <c r="I2571" s="127">
        <v>0.6479166666666667</v>
      </c>
      <c r="J2571"/>
      <c r="K2571"/>
      <c r="L2571"/>
    </row>
    <row r="2572" spans="1:12">
      <c r="A2572" s="95" t="s">
        <v>1727</v>
      </c>
      <c r="B2572" t="s">
        <v>5415</v>
      </c>
      <c r="C2572" s="87" t="s">
        <v>2065</v>
      </c>
      <c r="D2572" s="88"/>
      <c r="E2572" s="89">
        <v>69427778</v>
      </c>
      <c r="F2572"/>
      <c r="G2572" s="17" t="s">
        <v>3</v>
      </c>
      <c r="H2572" s="132">
        <v>46084</v>
      </c>
      <c r="I2572" s="127">
        <v>0.64930555555555558</v>
      </c>
      <c r="J2572" s="22">
        <v>46087</v>
      </c>
      <c r="K2572" s="154">
        <v>0.59444444444444444</v>
      </c>
      <c r="L2572"/>
    </row>
    <row r="2573" spans="1:12">
      <c r="A2573" s="95" t="s">
        <v>1727</v>
      </c>
      <c r="B2573" t="s">
        <v>5415</v>
      </c>
      <c r="C2573" s="87" t="s">
        <v>2066</v>
      </c>
      <c r="D2573" s="88"/>
      <c r="E2573" s="89">
        <v>64903642</v>
      </c>
      <c r="F2573"/>
      <c r="G2573" s="17" t="s">
        <v>4</v>
      </c>
      <c r="H2573" s="132">
        <v>46084</v>
      </c>
      <c r="I2573" s="127">
        <v>0.64930555555555558</v>
      </c>
      <c r="J2573" s="22">
        <v>46087</v>
      </c>
      <c r="K2573" s="154">
        <v>0.59513888888888888</v>
      </c>
      <c r="L2573" t="s">
        <v>5421</v>
      </c>
    </row>
    <row r="2574" spans="1:12">
      <c r="A2574" s="95" t="s">
        <v>1727</v>
      </c>
      <c r="B2574" t="s">
        <v>5415</v>
      </c>
      <c r="C2574" s="87" t="s">
        <v>2067</v>
      </c>
      <c r="D2574" s="88"/>
      <c r="E2574" s="89">
        <v>68062197</v>
      </c>
      <c r="F2574"/>
      <c r="G2574" s="17" t="s">
        <v>2</v>
      </c>
      <c r="H2574" s="132">
        <v>46084</v>
      </c>
      <c r="I2574" s="127">
        <v>0.65</v>
      </c>
      <c r="J2574" s="22">
        <v>46087</v>
      </c>
      <c r="K2574" s="154">
        <v>0.59583333333333333</v>
      </c>
      <c r="L2574"/>
    </row>
    <row r="2575" spans="1:12">
      <c r="A2575" s="95" t="s">
        <v>1727</v>
      </c>
      <c r="B2575" t="s">
        <v>5415</v>
      </c>
      <c r="C2575" s="87" t="s">
        <v>2068</v>
      </c>
      <c r="D2575" s="88"/>
      <c r="E2575" s="89">
        <v>67669846</v>
      </c>
      <c r="F2575" s="99" t="s">
        <v>5422</v>
      </c>
      <c r="G2575" s="17" t="s">
        <v>3</v>
      </c>
      <c r="H2575" s="132">
        <v>46084</v>
      </c>
      <c r="I2575" s="127">
        <v>0.65208333333333335</v>
      </c>
      <c r="J2575" s="22">
        <v>46087</v>
      </c>
      <c r="K2575" s="154">
        <v>0.59652777777777777</v>
      </c>
      <c r="L2575"/>
    </row>
    <row r="2576" spans="1:12">
      <c r="A2576" s="95" t="s">
        <v>1727</v>
      </c>
      <c r="B2576" t="s">
        <v>5415</v>
      </c>
      <c r="C2576" s="87" t="s">
        <v>2069</v>
      </c>
      <c r="D2576" s="88"/>
      <c r="E2576" s="89">
        <v>69820172</v>
      </c>
      <c r="F2576"/>
      <c r="G2576" s="17" t="s">
        <v>6</v>
      </c>
      <c r="H2576" s="132">
        <v>46084</v>
      </c>
      <c r="I2576" s="127">
        <v>0.65208333333333335</v>
      </c>
      <c r="J2576" s="22">
        <v>46087</v>
      </c>
      <c r="K2576" s="154">
        <v>0.59722222222222221</v>
      </c>
      <c r="L2576"/>
    </row>
    <row r="2577" spans="1:12">
      <c r="A2577" s="95" t="s">
        <v>1727</v>
      </c>
      <c r="B2577" t="s">
        <v>5415</v>
      </c>
      <c r="C2577" s="87" t="s">
        <v>2070</v>
      </c>
      <c r="D2577" s="88"/>
      <c r="E2577" s="89">
        <v>68572696</v>
      </c>
      <c r="F2577" t="s">
        <v>5421</v>
      </c>
      <c r="G2577" s="17" t="s">
        <v>2</v>
      </c>
      <c r="H2577" s="132">
        <v>46084</v>
      </c>
      <c r="I2577" s="127">
        <v>0.65347222222222223</v>
      </c>
      <c r="J2577"/>
      <c r="K2577"/>
      <c r="L2577"/>
    </row>
    <row r="2578" spans="1:12">
      <c r="A2578" s="95" t="s">
        <v>1727</v>
      </c>
      <c r="B2578" t="s">
        <v>5415</v>
      </c>
      <c r="C2578" s="87" t="s">
        <v>2071</v>
      </c>
      <c r="D2578" s="88"/>
      <c r="E2578" s="89">
        <v>7747510</v>
      </c>
      <c r="F2578" s="99" t="s">
        <v>5423</v>
      </c>
      <c r="G2578" s="17" t="s">
        <v>3</v>
      </c>
      <c r="H2578" s="132">
        <v>46084</v>
      </c>
      <c r="I2578" s="127">
        <v>0.65486111111111112</v>
      </c>
      <c r="J2578" s="22">
        <v>46087</v>
      </c>
      <c r="K2578" s="154">
        <v>0.59722222222222221</v>
      </c>
      <c r="L2578"/>
    </row>
    <row r="2579" spans="1:12">
      <c r="A2579" s="95" t="s">
        <v>1727</v>
      </c>
      <c r="B2579" t="s">
        <v>5415</v>
      </c>
      <c r="C2579" s="87" t="s">
        <v>2072</v>
      </c>
      <c r="D2579" s="88"/>
      <c r="E2579" s="89">
        <v>66659771</v>
      </c>
      <c r="F2579"/>
      <c r="G2579" s="17" t="s">
        <v>1</v>
      </c>
      <c r="H2579" s="132">
        <v>46084</v>
      </c>
      <c r="I2579" s="127">
        <v>0.65625</v>
      </c>
      <c r="J2579"/>
      <c r="K2579"/>
      <c r="L2579"/>
    </row>
    <row r="2580" spans="1:12">
      <c r="A2580" s="95" t="s">
        <v>1727</v>
      </c>
      <c r="B2580" t="s">
        <v>5415</v>
      </c>
      <c r="C2580" s="87" t="s">
        <v>2073</v>
      </c>
      <c r="D2580" s="88"/>
      <c r="E2580" s="89">
        <v>7772776</v>
      </c>
      <c r="F2580"/>
      <c r="G2580" s="17" t="s">
        <v>6</v>
      </c>
      <c r="H2580" s="132">
        <v>46085</v>
      </c>
      <c r="I2580" s="127">
        <v>0.41458333333333336</v>
      </c>
      <c r="J2580" s="22">
        <v>46087</v>
      </c>
      <c r="K2580" s="154">
        <v>0.59861111111111109</v>
      </c>
      <c r="L2580"/>
    </row>
    <row r="2581" spans="1:12">
      <c r="A2581" s="95" t="s">
        <v>1727</v>
      </c>
      <c r="B2581" t="s">
        <v>5415</v>
      </c>
      <c r="C2581" s="87" t="s">
        <v>2074</v>
      </c>
      <c r="D2581" s="88"/>
      <c r="E2581" s="89">
        <v>7745521</v>
      </c>
      <c r="F2581"/>
      <c r="G2581" s="17" t="s">
        <v>9</v>
      </c>
      <c r="H2581" s="132">
        <v>46085</v>
      </c>
      <c r="I2581" s="127">
        <v>0.4152777777777778</v>
      </c>
      <c r="J2581"/>
      <c r="K2581"/>
      <c r="L2581"/>
    </row>
    <row r="2582" spans="1:12">
      <c r="A2582" s="95" t="s">
        <v>1727</v>
      </c>
      <c r="B2582" t="s">
        <v>5415</v>
      </c>
      <c r="C2582" s="87" t="s">
        <v>2075</v>
      </c>
      <c r="D2582" s="88"/>
      <c r="E2582" s="89">
        <v>7753376</v>
      </c>
      <c r="F2582"/>
      <c r="G2582" s="17" t="s">
        <v>3</v>
      </c>
      <c r="H2582" s="132">
        <v>46085</v>
      </c>
      <c r="I2582" s="127">
        <v>0.41666666666666669</v>
      </c>
      <c r="J2582" s="22">
        <v>46087</v>
      </c>
      <c r="K2582" s="154">
        <v>0.59861111111111109</v>
      </c>
      <c r="L2582"/>
    </row>
    <row r="2583" spans="1:12">
      <c r="A2583" s="95" t="s">
        <v>1727</v>
      </c>
      <c r="B2583" t="s">
        <v>5415</v>
      </c>
      <c r="C2583" s="87" t="s">
        <v>2076</v>
      </c>
      <c r="D2583" s="88"/>
      <c r="E2583" s="89">
        <v>66247694</v>
      </c>
      <c r="F2583"/>
      <c r="G2583" s="17" t="s">
        <v>3</v>
      </c>
      <c r="H2583" s="132">
        <v>46085</v>
      </c>
      <c r="I2583" s="127">
        <v>0.41736111111111113</v>
      </c>
      <c r="J2583"/>
      <c r="K2583"/>
      <c r="L2583"/>
    </row>
    <row r="2584" spans="1:12">
      <c r="A2584" s="95" t="s">
        <v>1727</v>
      </c>
      <c r="B2584" t="s">
        <v>5415</v>
      </c>
      <c r="C2584" s="87" t="s">
        <v>2077</v>
      </c>
      <c r="D2584" s="88"/>
      <c r="E2584" s="89">
        <v>7874202</v>
      </c>
      <c r="F2584"/>
      <c r="G2584" s="17" t="s">
        <v>9</v>
      </c>
      <c r="H2584" s="132">
        <v>46085</v>
      </c>
      <c r="I2584" s="127">
        <v>0.41736111111111113</v>
      </c>
      <c r="J2584"/>
      <c r="K2584"/>
      <c r="L2584"/>
    </row>
    <row r="2585" spans="1:12">
      <c r="A2585" s="95" t="s">
        <v>1727</v>
      </c>
      <c r="B2585" t="s">
        <v>5415</v>
      </c>
      <c r="C2585" s="87" t="s">
        <v>2078</v>
      </c>
      <c r="D2585" s="88"/>
      <c r="E2585" s="89">
        <v>66005137</v>
      </c>
      <c r="F2585"/>
      <c r="G2585" s="17" t="s">
        <v>6</v>
      </c>
      <c r="H2585" s="132">
        <v>46085</v>
      </c>
      <c r="I2585" s="127">
        <v>0.41805555555555557</v>
      </c>
      <c r="J2585" s="22">
        <v>46087</v>
      </c>
      <c r="K2585" s="154">
        <v>0.59930555555555554</v>
      </c>
      <c r="L2585"/>
    </row>
    <row r="2586" spans="1:12">
      <c r="A2586" s="95" t="s">
        <v>1727</v>
      </c>
      <c r="B2586" t="s">
        <v>5415</v>
      </c>
      <c r="C2586" s="87" t="s">
        <v>2079</v>
      </c>
      <c r="D2586" s="88"/>
      <c r="E2586" s="89">
        <v>63886017</v>
      </c>
      <c r="F2586"/>
      <c r="G2586" s="17" t="s">
        <v>4</v>
      </c>
      <c r="H2586" s="132">
        <v>46085</v>
      </c>
      <c r="I2586" s="127">
        <v>0.41875000000000001</v>
      </c>
      <c r="J2586"/>
      <c r="K2586"/>
      <c r="L2586" t="s">
        <v>5421</v>
      </c>
    </row>
    <row r="2587" spans="1:12">
      <c r="A2587" s="95" t="s">
        <v>1727</v>
      </c>
      <c r="B2587" t="s">
        <v>5415</v>
      </c>
      <c r="C2587" s="87" t="s">
        <v>2080</v>
      </c>
      <c r="D2587" s="88"/>
      <c r="E2587" s="89">
        <v>66822644</v>
      </c>
      <c r="F2587"/>
      <c r="G2587" s="17" t="s">
        <v>9</v>
      </c>
      <c r="H2587" s="132">
        <v>46085</v>
      </c>
      <c r="I2587" s="127">
        <v>0.41944444444444445</v>
      </c>
      <c r="J2587"/>
      <c r="K2587"/>
      <c r="L2587"/>
    </row>
    <row r="2588" spans="1:12">
      <c r="A2588" s="95" t="s">
        <v>1727</v>
      </c>
      <c r="B2588" t="s">
        <v>5415</v>
      </c>
      <c r="C2588" s="87" t="s">
        <v>2081</v>
      </c>
      <c r="D2588" s="88"/>
      <c r="E2588" s="89">
        <v>7889991</v>
      </c>
      <c r="F2588"/>
      <c r="G2588" s="17" t="s">
        <v>4</v>
      </c>
      <c r="H2588" s="132">
        <v>46085</v>
      </c>
      <c r="I2588" s="127">
        <v>0.42083333333333334</v>
      </c>
      <c r="J2588"/>
      <c r="K2588"/>
      <c r="L2588" t="s">
        <v>5424</v>
      </c>
    </row>
    <row r="2589" spans="1:12">
      <c r="A2589" s="95" t="s">
        <v>1727</v>
      </c>
      <c r="B2589" t="s">
        <v>5415</v>
      </c>
      <c r="C2589" s="87" t="s">
        <v>2082</v>
      </c>
      <c r="D2589" s="88"/>
      <c r="E2589" s="89">
        <v>7752046</v>
      </c>
      <c r="F2589"/>
      <c r="G2589" s="17" t="s">
        <v>3</v>
      </c>
      <c r="H2589" s="132">
        <v>46085</v>
      </c>
      <c r="I2589" s="127">
        <v>0.42152777777777778</v>
      </c>
      <c r="J2589"/>
      <c r="K2589"/>
      <c r="L2589"/>
    </row>
    <row r="2590" spans="1:12">
      <c r="A2590" s="95" t="s">
        <v>1727</v>
      </c>
      <c r="B2590" t="s">
        <v>5415</v>
      </c>
      <c r="C2590" s="87" t="s">
        <v>2083</v>
      </c>
      <c r="D2590" s="88"/>
      <c r="E2590" s="89">
        <v>66166742</v>
      </c>
      <c r="F2590" s="99" t="s">
        <v>5425</v>
      </c>
      <c r="G2590" s="17" t="s">
        <v>1</v>
      </c>
      <c r="H2590" s="132">
        <v>46085</v>
      </c>
      <c r="I2590" s="127">
        <v>0.42222222222222222</v>
      </c>
      <c r="J2590" s="22">
        <v>46087</v>
      </c>
      <c r="K2590" s="154">
        <v>0.59930555555555554</v>
      </c>
      <c r="L2590"/>
    </row>
    <row r="2591" spans="1:12">
      <c r="A2591" s="95" t="s">
        <v>1727</v>
      </c>
      <c r="B2591" t="s">
        <v>5415</v>
      </c>
      <c r="C2591" s="87" t="s">
        <v>2084</v>
      </c>
      <c r="D2591" s="88"/>
      <c r="E2591" s="89">
        <v>66233942</v>
      </c>
      <c r="F2591"/>
      <c r="G2591" s="17" t="s">
        <v>4</v>
      </c>
      <c r="H2591" s="132">
        <v>46085</v>
      </c>
      <c r="I2591" s="127">
        <v>0.42291666666666666</v>
      </c>
      <c r="J2591" s="22">
        <v>46087</v>
      </c>
      <c r="K2591" s="154">
        <v>0.60069444444444442</v>
      </c>
      <c r="L2591" t="s">
        <v>5421</v>
      </c>
    </row>
    <row r="2592" spans="1:12">
      <c r="A2592" s="95" t="s">
        <v>1727</v>
      </c>
      <c r="B2592" t="s">
        <v>5415</v>
      </c>
      <c r="C2592" s="87" t="s">
        <v>2085</v>
      </c>
      <c r="D2592" s="88"/>
      <c r="E2592" s="89">
        <v>66173412</v>
      </c>
      <c r="F2592"/>
      <c r="G2592" s="17" t="s">
        <v>3</v>
      </c>
      <c r="H2592" s="132">
        <v>46085</v>
      </c>
      <c r="I2592" s="127">
        <v>0.4236111111111111</v>
      </c>
      <c r="J2592" s="22">
        <v>46087</v>
      </c>
      <c r="K2592" s="154">
        <v>0.60138888888888886</v>
      </c>
      <c r="L2592"/>
    </row>
    <row r="2593" spans="1:12">
      <c r="A2593" s="95" t="s">
        <v>1727</v>
      </c>
      <c r="B2593" t="s">
        <v>5415</v>
      </c>
      <c r="C2593" s="87" t="s">
        <v>2086</v>
      </c>
      <c r="D2593" s="88"/>
      <c r="E2593" s="89">
        <v>68064801</v>
      </c>
      <c r="F2593"/>
      <c r="G2593" s="17" t="s">
        <v>4</v>
      </c>
      <c r="H2593" s="132">
        <v>46085</v>
      </c>
      <c r="I2593" s="127">
        <v>0.42499999999999999</v>
      </c>
      <c r="J2593"/>
      <c r="K2593"/>
      <c r="L2593" t="s">
        <v>5421</v>
      </c>
    </row>
    <row r="2594" spans="1:12">
      <c r="A2594" s="95" t="s">
        <v>1727</v>
      </c>
      <c r="B2594" t="s">
        <v>5415</v>
      </c>
      <c r="C2594" s="87" t="s">
        <v>2087</v>
      </c>
      <c r="D2594" s="88"/>
      <c r="E2594" s="89">
        <v>63879138</v>
      </c>
      <c r="F2594"/>
      <c r="G2594" s="17" t="s">
        <v>6</v>
      </c>
      <c r="H2594" s="132">
        <v>46085</v>
      </c>
      <c r="I2594" s="127">
        <v>0.42569444444444443</v>
      </c>
      <c r="J2594" s="22">
        <v>46087</v>
      </c>
      <c r="K2594" s="154">
        <v>0.6020833333333333</v>
      </c>
      <c r="L2594"/>
    </row>
    <row r="2595" spans="1:12">
      <c r="A2595" s="94" t="s">
        <v>1727</v>
      </c>
      <c r="B2595" t="s">
        <v>5415</v>
      </c>
      <c r="C2595" s="92"/>
      <c r="D2595" s="17" t="s">
        <v>5426</v>
      </c>
      <c r="E2595" s="93" t="s">
        <v>5427</v>
      </c>
      <c r="F2595"/>
      <c r="G2595" s="17" t="s">
        <v>6</v>
      </c>
      <c r="H2595" s="132">
        <v>46085</v>
      </c>
      <c r="I2595" s="127">
        <v>0.42638888888888887</v>
      </c>
      <c r="J2595" s="22">
        <v>46087</v>
      </c>
      <c r="K2595" s="154">
        <v>0.60277777777777775</v>
      </c>
      <c r="L2595"/>
    </row>
    <row r="2596" spans="1:12">
      <c r="A2596" s="94" t="s">
        <v>1727</v>
      </c>
      <c r="B2596" t="s">
        <v>5415</v>
      </c>
      <c r="C2596" s="92"/>
      <c r="D2596" s="17" t="s">
        <v>5428</v>
      </c>
      <c r="E2596" s="93" t="s">
        <v>5429</v>
      </c>
      <c r="F2596"/>
      <c r="G2596" s="17" t="s">
        <v>1</v>
      </c>
      <c r="H2596" s="132">
        <v>46085</v>
      </c>
      <c r="I2596" s="127">
        <v>0.42638888888888887</v>
      </c>
      <c r="J2596" s="22">
        <v>46087</v>
      </c>
      <c r="K2596" s="154">
        <v>0.60347222222222219</v>
      </c>
      <c r="L2596"/>
    </row>
    <row r="2597" spans="1:12">
      <c r="A2597" s="94" t="s">
        <v>1727</v>
      </c>
      <c r="B2597" t="s">
        <v>5415</v>
      </c>
      <c r="C2597" s="92"/>
      <c r="D2597" s="17" t="s">
        <v>5430</v>
      </c>
      <c r="E2597" s="93" t="s">
        <v>5431</v>
      </c>
      <c r="F2597"/>
      <c r="G2597" s="17" t="s">
        <v>4</v>
      </c>
      <c r="H2597" s="132">
        <v>46085</v>
      </c>
      <c r="I2597" s="127">
        <v>0.42708333333333331</v>
      </c>
      <c r="J2597" s="22">
        <v>46087</v>
      </c>
      <c r="K2597" s="154">
        <v>0.60416666666666663</v>
      </c>
      <c r="L2597" t="s">
        <v>5421</v>
      </c>
    </row>
    <row r="2598" spans="1:12">
      <c r="A2598" s="94" t="s">
        <v>1727</v>
      </c>
      <c r="B2598" t="s">
        <v>5415</v>
      </c>
      <c r="C2598" s="92"/>
      <c r="D2598" s="17" t="s">
        <v>5432</v>
      </c>
      <c r="E2598" s="93" t="s">
        <v>5433</v>
      </c>
      <c r="F2598" s="99" t="s">
        <v>5434</v>
      </c>
      <c r="G2598" s="17" t="s">
        <v>1</v>
      </c>
      <c r="H2598" s="132">
        <v>46085</v>
      </c>
      <c r="I2598" s="127">
        <v>0.4284722222222222</v>
      </c>
      <c r="J2598"/>
      <c r="K2598"/>
      <c r="L2598"/>
    </row>
    <row r="2599" spans="1:12">
      <c r="A2599" s="94" t="s">
        <v>1727</v>
      </c>
      <c r="B2599" t="s">
        <v>5415</v>
      </c>
      <c r="C2599" s="92"/>
      <c r="D2599" s="17" t="s">
        <v>5435</v>
      </c>
      <c r="E2599" s="93" t="s">
        <v>5436</v>
      </c>
      <c r="F2599"/>
      <c r="G2599" s="17" t="s">
        <v>6</v>
      </c>
      <c r="H2599" s="132">
        <v>46085</v>
      </c>
      <c r="I2599" s="127">
        <v>0.46805555555555556</v>
      </c>
      <c r="J2599" s="22">
        <v>46087</v>
      </c>
      <c r="K2599" s="154">
        <v>0.60555555555555551</v>
      </c>
      <c r="L2599"/>
    </row>
    <row r="2600" spans="1:12">
      <c r="A2600" s="94" t="s">
        <v>1727</v>
      </c>
      <c r="B2600" t="s">
        <v>5415</v>
      </c>
      <c r="C2600" s="92"/>
      <c r="D2600" s="17" t="s">
        <v>5437</v>
      </c>
      <c r="E2600" s="93" t="s">
        <v>5438</v>
      </c>
      <c r="F2600" s="99" t="s">
        <v>5439</v>
      </c>
      <c r="G2600" s="17" t="s">
        <v>1</v>
      </c>
      <c r="H2600" s="132">
        <v>46085</v>
      </c>
      <c r="I2600" s="127">
        <v>0.47013888888888888</v>
      </c>
      <c r="J2600"/>
      <c r="K2600"/>
      <c r="L2600"/>
    </row>
    <row r="2601" spans="1:12">
      <c r="A2601" s="94" t="s">
        <v>1727</v>
      </c>
      <c r="B2601" t="s">
        <v>5415</v>
      </c>
      <c r="C2601" s="92"/>
      <c r="D2601" s="17" t="s">
        <v>5440</v>
      </c>
      <c r="E2601" s="93" t="s">
        <v>5441</v>
      </c>
      <c r="F2601"/>
      <c r="G2601" s="17" t="s">
        <v>3</v>
      </c>
      <c r="H2601" s="132">
        <v>46085</v>
      </c>
      <c r="I2601" s="127">
        <v>0.47083333333333333</v>
      </c>
      <c r="J2601"/>
      <c r="K2601"/>
      <c r="L2601"/>
    </row>
    <row r="2602" spans="1:12">
      <c r="A2602" s="94" t="s">
        <v>1727</v>
      </c>
      <c r="B2602" t="s">
        <v>5415</v>
      </c>
      <c r="C2602" s="92"/>
      <c r="D2602" s="17" t="s">
        <v>5442</v>
      </c>
      <c r="E2602" s="93" t="s">
        <v>5443</v>
      </c>
      <c r="F2602"/>
      <c r="G2602" s="17" t="s">
        <v>3</v>
      </c>
      <c r="H2602" s="132">
        <v>46085</v>
      </c>
      <c r="I2602" s="127">
        <v>0.47291666666666665</v>
      </c>
      <c r="J2602"/>
      <c r="K2602"/>
      <c r="L2602"/>
    </row>
    <row r="2603" spans="1:12">
      <c r="A2603" s="94" t="s">
        <v>1727</v>
      </c>
      <c r="B2603" t="s">
        <v>5415</v>
      </c>
      <c r="C2603" s="92"/>
      <c r="D2603" s="17" t="s">
        <v>5444</v>
      </c>
      <c r="E2603" s="93" t="s">
        <v>5445</v>
      </c>
      <c r="F2603" s="99" t="s">
        <v>5446</v>
      </c>
      <c r="G2603" s="17" t="s">
        <v>1</v>
      </c>
      <c r="H2603" s="132">
        <v>46085</v>
      </c>
      <c r="I2603" s="127">
        <v>0.47499999999999998</v>
      </c>
      <c r="J2603"/>
      <c r="K2603"/>
      <c r="L2603"/>
    </row>
    <row r="2604" spans="1:12">
      <c r="A2604" s="94" t="s">
        <v>1727</v>
      </c>
      <c r="B2604" t="s">
        <v>5415</v>
      </c>
      <c r="C2604" s="92"/>
      <c r="D2604" s="17" t="s">
        <v>5447</v>
      </c>
      <c r="E2604" s="93" t="s">
        <v>5448</v>
      </c>
      <c r="F2604" t="s">
        <v>5449</v>
      </c>
      <c r="G2604" s="17" t="s">
        <v>1</v>
      </c>
      <c r="H2604" s="132">
        <v>46085</v>
      </c>
      <c r="I2604" s="127">
        <v>0.47638888888888886</v>
      </c>
      <c r="J2604"/>
      <c r="K2604"/>
      <c r="L2604"/>
    </row>
    <row r="2605" spans="1:12">
      <c r="A2605" s="94" t="s">
        <v>1727</v>
      </c>
      <c r="B2605" t="s">
        <v>5415</v>
      </c>
      <c r="C2605" s="92"/>
      <c r="D2605" s="17" t="s">
        <v>5450</v>
      </c>
      <c r="E2605" s="93" t="s">
        <v>5451</v>
      </c>
      <c r="F2605"/>
      <c r="G2605" s="17" t="s">
        <v>3</v>
      </c>
      <c r="H2605" s="132">
        <v>46085</v>
      </c>
      <c r="I2605" s="127">
        <v>0.47916666666666669</v>
      </c>
      <c r="J2605" s="22">
        <v>46087</v>
      </c>
      <c r="K2605" s="154">
        <v>0.60555555555555551</v>
      </c>
      <c r="L2605"/>
    </row>
    <row r="2606" spans="1:12">
      <c r="A2606" s="94" t="s">
        <v>1727</v>
      </c>
      <c r="B2606" t="s">
        <v>5415</v>
      </c>
      <c r="C2606" s="92"/>
      <c r="D2606" s="17" t="s">
        <v>5452</v>
      </c>
      <c r="E2606" s="93" t="s">
        <v>5453</v>
      </c>
      <c r="F2606"/>
      <c r="G2606" s="17" t="s">
        <v>6</v>
      </c>
      <c r="H2606" s="132">
        <v>46085</v>
      </c>
      <c r="I2606" s="127">
        <v>0.59375</v>
      </c>
      <c r="J2606" s="22">
        <v>46087</v>
      </c>
      <c r="K2606" s="154">
        <v>0.6069444444444444</v>
      </c>
      <c r="L2606"/>
    </row>
    <row r="2607" spans="1:12">
      <c r="A2607" s="94" t="s">
        <v>1727</v>
      </c>
      <c r="B2607" t="s">
        <v>5415</v>
      </c>
      <c r="C2607" s="92"/>
      <c r="D2607" s="17" t="s">
        <v>5454</v>
      </c>
      <c r="E2607" s="93" t="s">
        <v>5455</v>
      </c>
      <c r="F2607"/>
      <c r="G2607" s="17" t="s">
        <v>9</v>
      </c>
      <c r="H2607" s="132">
        <v>46085</v>
      </c>
      <c r="I2607" s="127">
        <v>0.59375</v>
      </c>
      <c r="J2607"/>
      <c r="K2607"/>
      <c r="L2607"/>
    </row>
    <row r="2608" spans="1:12">
      <c r="A2608" s="94" t="s">
        <v>1727</v>
      </c>
      <c r="B2608" t="s">
        <v>5415</v>
      </c>
      <c r="C2608" s="92"/>
      <c r="D2608" s="17" t="s">
        <v>5456</v>
      </c>
      <c r="E2608" s="93" t="s">
        <v>5457</v>
      </c>
      <c r="F2608"/>
      <c r="G2608" s="17" t="s">
        <v>3</v>
      </c>
      <c r="H2608" s="132">
        <v>46085</v>
      </c>
      <c r="I2608" s="127">
        <v>0.59444444444444444</v>
      </c>
      <c r="J2608"/>
      <c r="K2608"/>
      <c r="L2608"/>
    </row>
    <row r="2609" spans="1:12">
      <c r="A2609" s="94" t="s">
        <v>1727</v>
      </c>
      <c r="B2609" t="s">
        <v>5415</v>
      </c>
      <c r="C2609" s="92"/>
      <c r="D2609" s="17" t="s">
        <v>5458</v>
      </c>
      <c r="E2609" s="93" t="s">
        <v>5459</v>
      </c>
      <c r="F2609" t="s">
        <v>5460</v>
      </c>
      <c r="G2609" s="17" t="s">
        <v>1</v>
      </c>
      <c r="H2609" s="132">
        <v>46085</v>
      </c>
      <c r="I2609" s="127">
        <v>0.59583333333333333</v>
      </c>
      <c r="J2609"/>
      <c r="K2609"/>
      <c r="L2609"/>
    </row>
    <row r="2610" spans="1:12">
      <c r="A2610" s="94" t="s">
        <v>1727</v>
      </c>
      <c r="B2610" t="s">
        <v>5415</v>
      </c>
      <c r="C2610" s="92"/>
      <c r="D2610" s="17" t="s">
        <v>5461</v>
      </c>
      <c r="E2610" s="93" t="s">
        <v>5462</v>
      </c>
      <c r="F2610" s="99" t="s">
        <v>5463</v>
      </c>
      <c r="G2610" s="17" t="s">
        <v>1</v>
      </c>
      <c r="H2610" s="132">
        <v>46085</v>
      </c>
      <c r="I2610" s="127">
        <v>0.59791666666666665</v>
      </c>
      <c r="J2610"/>
      <c r="K2610"/>
      <c r="L2610"/>
    </row>
    <row r="2611" spans="1:12">
      <c r="A2611" s="94" t="s">
        <v>1727</v>
      </c>
      <c r="B2611" t="s">
        <v>5415</v>
      </c>
      <c r="C2611" s="92"/>
      <c r="D2611" s="17" t="s">
        <v>5464</v>
      </c>
      <c r="E2611" s="93" t="s">
        <v>5465</v>
      </c>
      <c r="F2611" s="99" t="s">
        <v>5466</v>
      </c>
      <c r="G2611" s="17" t="s">
        <v>1</v>
      </c>
      <c r="H2611" s="132">
        <v>46085</v>
      </c>
      <c r="I2611" s="127">
        <v>0.6</v>
      </c>
      <c r="J2611"/>
      <c r="K2611"/>
      <c r="L2611"/>
    </row>
    <row r="2612" spans="1:12">
      <c r="A2612" s="94" t="s">
        <v>1727</v>
      </c>
      <c r="B2612" t="s">
        <v>5415</v>
      </c>
      <c r="C2612" s="92"/>
      <c r="D2612" s="17" t="s">
        <v>5467</v>
      </c>
      <c r="E2612" s="93" t="s">
        <v>5468</v>
      </c>
      <c r="F2612"/>
      <c r="G2612" s="17" t="s">
        <v>6</v>
      </c>
      <c r="H2612" s="132">
        <v>46085</v>
      </c>
      <c r="I2612" s="127">
        <v>0.60069444444444442</v>
      </c>
      <c r="J2612" s="22">
        <v>46087</v>
      </c>
      <c r="K2612" s="154">
        <v>0.6069444444444444</v>
      </c>
      <c r="L2612"/>
    </row>
    <row r="2613" spans="1:12">
      <c r="A2613" s="94" t="s">
        <v>1727</v>
      </c>
      <c r="B2613" t="s">
        <v>5415</v>
      </c>
      <c r="C2613" s="92"/>
      <c r="D2613" s="17" t="s">
        <v>5469</v>
      </c>
      <c r="E2613" s="93" t="s">
        <v>5470</v>
      </c>
      <c r="F2613" s="99" t="s">
        <v>5471</v>
      </c>
      <c r="G2613" s="17" t="s">
        <v>1</v>
      </c>
      <c r="H2613" s="132">
        <v>46085</v>
      </c>
      <c r="I2613" s="127">
        <v>0.6020833333333333</v>
      </c>
      <c r="J2613"/>
      <c r="K2613"/>
      <c r="L2613"/>
    </row>
    <row r="2614" spans="1:12">
      <c r="A2614" s="94" t="s">
        <v>1727</v>
      </c>
      <c r="B2614" t="s">
        <v>5415</v>
      </c>
      <c r="C2614" s="92"/>
      <c r="D2614" s="17" t="s">
        <v>5472</v>
      </c>
      <c r="E2614" s="93" t="s">
        <v>5473</v>
      </c>
      <c r="F2614"/>
      <c r="G2614" s="17" t="s">
        <v>3</v>
      </c>
      <c r="H2614" s="132">
        <v>46085</v>
      </c>
      <c r="I2614" s="127">
        <v>0.60902777777777772</v>
      </c>
      <c r="J2614"/>
      <c r="K2614"/>
      <c r="L2614"/>
    </row>
    <row r="2615" spans="1:12">
      <c r="A2615" s="94" t="s">
        <v>1727</v>
      </c>
      <c r="B2615" t="s">
        <v>5415</v>
      </c>
      <c r="C2615" s="92"/>
      <c r="D2615" s="17" t="s">
        <v>5474</v>
      </c>
      <c r="E2615" s="93" t="s">
        <v>5475</v>
      </c>
      <c r="F2615" s="99" t="s">
        <v>5476</v>
      </c>
      <c r="G2615" s="17" t="s">
        <v>1</v>
      </c>
      <c r="H2615" s="132">
        <v>46085</v>
      </c>
      <c r="I2615" s="127">
        <v>0.61041666666666672</v>
      </c>
      <c r="J2615"/>
      <c r="K2615"/>
      <c r="L2615"/>
    </row>
    <row r="2616" spans="1:12">
      <c r="A2616" s="94" t="s">
        <v>1727</v>
      </c>
      <c r="B2616" t="s">
        <v>5415</v>
      </c>
      <c r="C2616" s="92"/>
      <c r="D2616" s="17" t="s">
        <v>5477</v>
      </c>
      <c r="E2616" s="93" t="s">
        <v>5164</v>
      </c>
      <c r="F2616"/>
      <c r="G2616" s="17" t="s">
        <v>2</v>
      </c>
      <c r="H2616" s="132">
        <v>46085</v>
      </c>
      <c r="I2616" s="127">
        <v>0.61041666666666672</v>
      </c>
      <c r="J2616" s="22">
        <v>46087</v>
      </c>
      <c r="K2616" s="154">
        <v>0.60763888888888884</v>
      </c>
      <c r="L2616"/>
    </row>
    <row r="2617" spans="1:12">
      <c r="A2617" s="94" t="s">
        <v>1727</v>
      </c>
      <c r="B2617" t="s">
        <v>5415</v>
      </c>
      <c r="C2617" s="92"/>
      <c r="D2617" s="17" t="s">
        <v>5478</v>
      </c>
      <c r="E2617" s="93" t="s">
        <v>5479</v>
      </c>
      <c r="F2617"/>
      <c r="G2617" s="17" t="s">
        <v>4</v>
      </c>
      <c r="H2617" s="132">
        <v>46085</v>
      </c>
      <c r="I2617" s="127">
        <v>0.61111111111111116</v>
      </c>
      <c r="J2617"/>
      <c r="K2617"/>
      <c r="L2617" t="s">
        <v>5480</v>
      </c>
    </row>
    <row r="2618" spans="1:12">
      <c r="A2618" s="94" t="s">
        <v>1727</v>
      </c>
      <c r="B2618" t="s">
        <v>5415</v>
      </c>
      <c r="C2618" s="92"/>
      <c r="D2618" s="17" t="s">
        <v>5481</v>
      </c>
      <c r="E2618" s="93" t="s">
        <v>5482</v>
      </c>
      <c r="F2618"/>
      <c r="G2618" s="17" t="s">
        <v>3</v>
      </c>
      <c r="H2618" s="132">
        <v>46085</v>
      </c>
      <c r="I2618" s="127">
        <v>0.61250000000000004</v>
      </c>
      <c r="J2618"/>
      <c r="K2618"/>
      <c r="L2618"/>
    </row>
    <row r="2619" spans="1:12">
      <c r="A2619" s="94" t="s">
        <v>1727</v>
      </c>
      <c r="B2619" t="s">
        <v>5415</v>
      </c>
      <c r="C2619" s="92"/>
      <c r="D2619" s="17" t="s">
        <v>5483</v>
      </c>
      <c r="E2619" s="93" t="s">
        <v>5484</v>
      </c>
      <c r="F2619" s="99" t="s">
        <v>5485</v>
      </c>
      <c r="G2619" s="17" t="s">
        <v>1</v>
      </c>
      <c r="H2619" s="132">
        <v>46085</v>
      </c>
      <c r="I2619" s="127">
        <v>0.61388888888888893</v>
      </c>
      <c r="J2619"/>
      <c r="K2619"/>
      <c r="L2619"/>
    </row>
    <row r="2620" spans="1:12">
      <c r="A2620" s="94" t="s">
        <v>1727</v>
      </c>
      <c r="B2620" t="s">
        <v>5415</v>
      </c>
      <c r="C2620" s="92"/>
      <c r="D2620" s="17" t="s">
        <v>5486</v>
      </c>
      <c r="E2620" s="93" t="s">
        <v>5487</v>
      </c>
      <c r="F2620"/>
      <c r="G2620" s="17" t="s">
        <v>4</v>
      </c>
      <c r="H2620" s="132">
        <v>46085</v>
      </c>
      <c r="I2620" s="127">
        <v>0.61458333333333337</v>
      </c>
      <c r="J2620"/>
      <c r="K2620"/>
      <c r="L2620" t="s">
        <v>5421</v>
      </c>
    </row>
    <row r="2621" spans="1:12">
      <c r="A2621" s="94" t="s">
        <v>1727</v>
      </c>
      <c r="B2621" t="s">
        <v>5415</v>
      </c>
      <c r="C2621" s="92"/>
      <c r="D2621" s="17" t="s">
        <v>5488</v>
      </c>
      <c r="E2621" s="93" t="s">
        <v>5489</v>
      </c>
      <c r="F2621" s="99" t="s">
        <v>5490</v>
      </c>
      <c r="G2621" s="17" t="s">
        <v>1</v>
      </c>
      <c r="H2621" s="132">
        <v>46085</v>
      </c>
      <c r="I2621" s="127">
        <v>0.61597222222222225</v>
      </c>
      <c r="J2621"/>
      <c r="K2621"/>
      <c r="L2621"/>
    </row>
    <row r="2622" spans="1:12">
      <c r="A2622" s="94" t="s">
        <v>1727</v>
      </c>
      <c r="B2622" t="s">
        <v>5415</v>
      </c>
      <c r="C2622" s="92"/>
      <c r="D2622" s="17" t="s">
        <v>5491</v>
      </c>
      <c r="E2622" s="93" t="s">
        <v>5492</v>
      </c>
      <c r="F2622" s="99" t="s">
        <v>5493</v>
      </c>
      <c r="G2622" s="17" t="s">
        <v>1</v>
      </c>
      <c r="H2622" s="132">
        <v>46085</v>
      </c>
      <c r="I2622" s="127">
        <v>0.61805555555555558</v>
      </c>
      <c r="J2622"/>
      <c r="K2622"/>
      <c r="L2622"/>
    </row>
    <row r="2623" spans="1:12">
      <c r="A2623" s="94" t="s">
        <v>1727</v>
      </c>
      <c r="B2623" t="s">
        <v>5415</v>
      </c>
      <c r="C2623" s="92"/>
      <c r="D2623" s="17" t="s">
        <v>5494</v>
      </c>
      <c r="E2623" s="93" t="s">
        <v>5495</v>
      </c>
      <c r="F2623"/>
      <c r="G2623" s="17" t="s">
        <v>6</v>
      </c>
      <c r="H2623" s="132">
        <v>46085</v>
      </c>
      <c r="I2623" s="127">
        <v>0.61944444444444446</v>
      </c>
      <c r="J2623" s="22">
        <v>46087</v>
      </c>
      <c r="K2623" s="154">
        <v>0.60763888888888884</v>
      </c>
      <c r="L2623"/>
    </row>
    <row r="2624" spans="1:12">
      <c r="A2624" s="94" t="s">
        <v>1727</v>
      </c>
      <c r="B2624" t="s">
        <v>5415</v>
      </c>
      <c r="C2624" s="92"/>
      <c r="D2624" s="17" t="s">
        <v>5496</v>
      </c>
      <c r="E2624" s="93" t="s">
        <v>5497</v>
      </c>
      <c r="F2624"/>
      <c r="G2624" s="17" t="s">
        <v>9</v>
      </c>
      <c r="H2624" s="132">
        <v>46085</v>
      </c>
      <c r="I2624" s="127">
        <v>0.61944444444444446</v>
      </c>
      <c r="J2624"/>
      <c r="K2624"/>
      <c r="L2624"/>
    </row>
    <row r="2625" spans="1:12">
      <c r="A2625" s="94" t="s">
        <v>1727</v>
      </c>
      <c r="B2625" t="s">
        <v>5415</v>
      </c>
      <c r="C2625" s="92"/>
      <c r="D2625" s="17" t="s">
        <v>5498</v>
      </c>
      <c r="E2625" s="93" t="s">
        <v>5499</v>
      </c>
      <c r="F2625" s="99" t="s">
        <v>5500</v>
      </c>
      <c r="G2625" s="17" t="s">
        <v>1</v>
      </c>
      <c r="H2625" s="132">
        <v>46085</v>
      </c>
      <c r="I2625" s="127">
        <v>0.62083333333333335</v>
      </c>
      <c r="J2625"/>
      <c r="K2625"/>
      <c r="L2625"/>
    </row>
    <row r="2626" spans="1:12">
      <c r="A2626" s="94" t="s">
        <v>1727</v>
      </c>
      <c r="B2626" t="s">
        <v>5415</v>
      </c>
      <c r="C2626" s="92"/>
      <c r="D2626" s="17" t="s">
        <v>5501</v>
      </c>
      <c r="E2626" s="93" t="s">
        <v>5502</v>
      </c>
      <c r="F2626" s="99" t="s">
        <v>5503</v>
      </c>
      <c r="G2626" s="17" t="s">
        <v>1</v>
      </c>
      <c r="H2626" s="132">
        <v>46085</v>
      </c>
      <c r="I2626" s="127">
        <v>0.62222222222222223</v>
      </c>
      <c r="J2626"/>
      <c r="K2626"/>
      <c r="L2626"/>
    </row>
    <row r="2627" spans="1:12">
      <c r="A2627" s="94" t="s">
        <v>1727</v>
      </c>
      <c r="B2627" t="s">
        <v>5415</v>
      </c>
      <c r="C2627" s="92"/>
      <c r="D2627" s="17" t="s">
        <v>5504</v>
      </c>
      <c r="E2627" s="93" t="s">
        <v>5505</v>
      </c>
      <c r="F2627"/>
      <c r="G2627" s="17" t="s">
        <v>6</v>
      </c>
      <c r="H2627" s="132">
        <v>46085</v>
      </c>
      <c r="I2627" s="127">
        <v>0.62291666666666667</v>
      </c>
      <c r="J2627" s="22">
        <v>46087</v>
      </c>
      <c r="K2627" s="154">
        <v>0.60833333333333328</v>
      </c>
      <c r="L2627"/>
    </row>
    <row r="2628" spans="1:12">
      <c r="A2628" s="94" t="s">
        <v>1727</v>
      </c>
      <c r="B2628" t="s">
        <v>5415</v>
      </c>
      <c r="C2628" s="92"/>
      <c r="D2628" s="17" t="s">
        <v>5506</v>
      </c>
      <c r="E2628" s="93" t="s">
        <v>5507</v>
      </c>
      <c r="F2628"/>
      <c r="G2628" s="17" t="s">
        <v>6</v>
      </c>
      <c r="H2628" s="132">
        <v>46085</v>
      </c>
      <c r="I2628" s="127">
        <v>0.62361111111111112</v>
      </c>
      <c r="J2628" s="22">
        <v>46087</v>
      </c>
      <c r="K2628" s="154">
        <v>0.60902777777777772</v>
      </c>
      <c r="L2628"/>
    </row>
    <row r="2629" spans="1:12">
      <c r="A2629" s="94" t="s">
        <v>1727</v>
      </c>
      <c r="B2629" t="s">
        <v>5415</v>
      </c>
      <c r="C2629" s="92"/>
      <c r="D2629" s="17" t="s">
        <v>5508</v>
      </c>
      <c r="E2629" s="93" t="s">
        <v>5509</v>
      </c>
      <c r="F2629"/>
      <c r="G2629" s="17" t="s">
        <v>9</v>
      </c>
      <c r="H2629" s="132">
        <v>46085</v>
      </c>
      <c r="I2629" s="127">
        <v>0.62361111111111112</v>
      </c>
      <c r="J2629"/>
      <c r="K2629"/>
      <c r="L2629"/>
    </row>
    <row r="2630" spans="1:12">
      <c r="A2630" s="94" t="s">
        <v>1727</v>
      </c>
      <c r="B2630" t="s">
        <v>5415</v>
      </c>
      <c r="C2630" s="92"/>
      <c r="D2630" s="17" t="s">
        <v>5510</v>
      </c>
      <c r="E2630" s="93" t="s">
        <v>4541</v>
      </c>
      <c r="F2630"/>
      <c r="G2630" s="17" t="s">
        <v>3</v>
      </c>
      <c r="H2630" s="132">
        <v>46085</v>
      </c>
      <c r="I2630" s="127">
        <v>0.625</v>
      </c>
      <c r="J2630"/>
      <c r="K2630"/>
      <c r="L2630"/>
    </row>
    <row r="2631" spans="1:12">
      <c r="A2631" s="94" t="s">
        <v>1727</v>
      </c>
      <c r="B2631" t="s">
        <v>5415</v>
      </c>
      <c r="C2631" s="92"/>
      <c r="D2631" s="17" t="s">
        <v>5511</v>
      </c>
      <c r="E2631" s="93" t="s">
        <v>5512</v>
      </c>
      <c r="F2631"/>
      <c r="G2631" s="17" t="s">
        <v>9</v>
      </c>
      <c r="H2631" s="132">
        <v>46085</v>
      </c>
      <c r="I2631" s="127">
        <v>0.64652777777777781</v>
      </c>
      <c r="J2631"/>
      <c r="K2631"/>
      <c r="L2631"/>
    </row>
    <row r="2632" spans="1:12">
      <c r="A2632" s="94" t="s">
        <v>1727</v>
      </c>
      <c r="B2632" t="s">
        <v>5415</v>
      </c>
      <c r="C2632" s="92"/>
      <c r="D2632" s="17" t="s">
        <v>5513</v>
      </c>
      <c r="E2632" s="93" t="s">
        <v>5514</v>
      </c>
      <c r="F2632" s="99" t="s">
        <v>5515</v>
      </c>
      <c r="G2632" s="17" t="s">
        <v>1</v>
      </c>
      <c r="H2632" s="132">
        <v>46085</v>
      </c>
      <c r="I2632" s="127">
        <v>0.6479166666666667</v>
      </c>
      <c r="J2632"/>
      <c r="K2632"/>
      <c r="L2632"/>
    </row>
    <row r="2633" spans="1:12">
      <c r="A2633" s="94" t="s">
        <v>1727</v>
      </c>
      <c r="B2633" t="s">
        <v>5415</v>
      </c>
      <c r="C2633" s="92"/>
      <c r="D2633" s="17" t="s">
        <v>5516</v>
      </c>
      <c r="E2633" s="93" t="s">
        <v>5517</v>
      </c>
      <c r="F2633"/>
      <c r="G2633" s="17" t="s">
        <v>6</v>
      </c>
      <c r="H2633" s="132">
        <v>46085</v>
      </c>
      <c r="I2633" s="127">
        <v>0.64861111111111114</v>
      </c>
      <c r="J2633" s="22">
        <v>46087</v>
      </c>
      <c r="K2633" s="109">
        <v>0.60902777777777772</v>
      </c>
      <c r="L2633"/>
    </row>
    <row r="2634" spans="1:12">
      <c r="A2634" s="94" t="s">
        <v>1727</v>
      </c>
      <c r="B2634" t="s">
        <v>5415</v>
      </c>
      <c r="C2634" s="92"/>
      <c r="D2634" s="17" t="s">
        <v>5518</v>
      </c>
      <c r="E2634" s="93" t="s">
        <v>5519</v>
      </c>
      <c r="F2634" t="s">
        <v>5520</v>
      </c>
      <c r="G2634" s="17" t="s">
        <v>1</v>
      </c>
      <c r="H2634" s="132">
        <v>46085</v>
      </c>
      <c r="I2634" s="127">
        <v>0.64930555555555558</v>
      </c>
      <c r="J2634"/>
      <c r="K2634"/>
      <c r="L2634"/>
    </row>
    <row r="2635" spans="1:12">
      <c r="A2635" s="94" t="s">
        <v>1727</v>
      </c>
      <c r="B2635" t="s">
        <v>5415</v>
      </c>
      <c r="C2635" s="92"/>
      <c r="D2635" s="17" t="s">
        <v>5521</v>
      </c>
      <c r="E2635" s="93" t="s">
        <v>5522</v>
      </c>
      <c r="F2635"/>
      <c r="G2635" s="17" t="s">
        <v>1</v>
      </c>
      <c r="H2635" s="132">
        <v>46085</v>
      </c>
      <c r="I2635" s="127">
        <v>0.65</v>
      </c>
      <c r="J2635" s="22">
        <v>46087</v>
      </c>
      <c r="K2635" s="154">
        <v>0.60902777777777772</v>
      </c>
      <c r="L2635"/>
    </row>
    <row r="2636" spans="1:12">
      <c r="A2636" s="94" t="s">
        <v>1727</v>
      </c>
      <c r="B2636" t="s">
        <v>5415</v>
      </c>
      <c r="C2636" s="92"/>
      <c r="D2636" s="17" t="s">
        <v>5523</v>
      </c>
      <c r="E2636" s="93" t="s">
        <v>5524</v>
      </c>
      <c r="F2636"/>
      <c r="G2636" s="17" t="s">
        <v>6</v>
      </c>
      <c r="H2636" s="132">
        <v>46085</v>
      </c>
      <c r="I2636" s="127">
        <v>0.65069444444444446</v>
      </c>
      <c r="J2636" s="22">
        <v>46087</v>
      </c>
      <c r="K2636" s="154">
        <v>0.61319444444444449</v>
      </c>
      <c r="L2636"/>
    </row>
    <row r="2637" spans="1:12">
      <c r="A2637" s="94" t="s">
        <v>1727</v>
      </c>
      <c r="B2637" t="s">
        <v>5415</v>
      </c>
      <c r="C2637" s="92"/>
      <c r="D2637" s="17" t="s">
        <v>5525</v>
      </c>
      <c r="E2637" s="93" t="s">
        <v>5526</v>
      </c>
      <c r="F2637" s="99" t="s">
        <v>5527</v>
      </c>
      <c r="G2637" s="17" t="s">
        <v>1</v>
      </c>
      <c r="H2637" s="132">
        <v>46085</v>
      </c>
      <c r="I2637" s="127">
        <v>0.65208333333333335</v>
      </c>
      <c r="J2637"/>
      <c r="K2637"/>
      <c r="L2637"/>
    </row>
    <row r="2638" spans="1:12">
      <c r="A2638" s="94" t="s">
        <v>1727</v>
      </c>
      <c r="B2638" t="s">
        <v>5415</v>
      </c>
      <c r="C2638" s="92"/>
      <c r="D2638" s="17" t="s">
        <v>5528</v>
      </c>
      <c r="E2638" s="93" t="s">
        <v>5529</v>
      </c>
      <c r="F2638" s="99" t="s">
        <v>5530</v>
      </c>
      <c r="G2638" s="17" t="s">
        <v>1</v>
      </c>
      <c r="H2638" s="132">
        <v>46085</v>
      </c>
      <c r="I2638" s="127">
        <v>0.65277777777777779</v>
      </c>
      <c r="J2638"/>
      <c r="K2638"/>
      <c r="L2638"/>
    </row>
    <row r="2639" spans="1:12">
      <c r="A2639" s="94" t="s">
        <v>1727</v>
      </c>
      <c r="B2639" t="s">
        <v>5415</v>
      </c>
      <c r="C2639" s="92"/>
      <c r="D2639" s="17" t="s">
        <v>5531</v>
      </c>
      <c r="E2639" s="93" t="s">
        <v>5532</v>
      </c>
      <c r="F2639"/>
      <c r="G2639" s="17" t="s">
        <v>6</v>
      </c>
      <c r="H2639" s="132">
        <v>46085</v>
      </c>
      <c r="I2639" s="127">
        <v>0.65347222222222223</v>
      </c>
      <c r="J2639" s="22">
        <v>46087</v>
      </c>
      <c r="K2639" s="154">
        <v>0.61388888888888893</v>
      </c>
      <c r="L2639"/>
    </row>
    <row r="2640" spans="1:12">
      <c r="A2640" s="94" t="s">
        <v>1727</v>
      </c>
      <c r="B2640" t="s">
        <v>5415</v>
      </c>
      <c r="C2640" s="92"/>
      <c r="D2640" s="17" t="s">
        <v>5533</v>
      </c>
      <c r="E2640" s="93" t="s">
        <v>5534</v>
      </c>
      <c r="F2640"/>
      <c r="G2640" s="17" t="s">
        <v>1</v>
      </c>
      <c r="H2640" s="132">
        <v>46085</v>
      </c>
      <c r="I2640" s="127">
        <v>0.65416666666666667</v>
      </c>
      <c r="J2640" s="22">
        <v>46087</v>
      </c>
      <c r="K2640" s="154">
        <v>0.61388888888888893</v>
      </c>
      <c r="L2640"/>
    </row>
    <row r="2641" spans="1:12">
      <c r="A2641" s="94" t="s">
        <v>1727</v>
      </c>
      <c r="B2641" t="s">
        <v>5415</v>
      </c>
      <c r="C2641" s="92"/>
      <c r="D2641" s="17" t="s">
        <v>5535</v>
      </c>
      <c r="E2641" s="93" t="s">
        <v>5536</v>
      </c>
      <c r="F2641" s="99" t="s">
        <v>5537</v>
      </c>
      <c r="G2641" s="17" t="s">
        <v>1</v>
      </c>
      <c r="H2641" s="132">
        <v>46085</v>
      </c>
      <c r="I2641" s="127">
        <v>0.65555555555555556</v>
      </c>
      <c r="J2641"/>
      <c r="K2641"/>
      <c r="L2641"/>
    </row>
    <row r="2642" spans="1:12">
      <c r="A2642" s="94" t="s">
        <v>1727</v>
      </c>
      <c r="B2642" t="s">
        <v>5415</v>
      </c>
      <c r="C2642" s="92"/>
      <c r="D2642" s="17" t="s">
        <v>5538</v>
      </c>
      <c r="E2642" s="93" t="s">
        <v>5539</v>
      </c>
      <c r="F2642"/>
      <c r="G2642" s="17" t="s">
        <v>6</v>
      </c>
      <c r="H2642" s="132">
        <v>46085</v>
      </c>
      <c r="I2642" s="127">
        <v>0.65625</v>
      </c>
      <c r="J2642" s="22">
        <v>46087</v>
      </c>
      <c r="K2642" s="154">
        <v>0.61527777777777781</v>
      </c>
      <c r="L2642"/>
    </row>
    <row r="2643" spans="1:12">
      <c r="A2643" s="94" t="s">
        <v>1727</v>
      </c>
      <c r="B2643" t="s">
        <v>5415</v>
      </c>
      <c r="C2643" s="92"/>
      <c r="D2643" s="17" t="s">
        <v>5540</v>
      </c>
      <c r="E2643" s="93" t="s">
        <v>5541</v>
      </c>
      <c r="F2643"/>
      <c r="G2643" s="17" t="s">
        <v>4</v>
      </c>
      <c r="H2643" s="132">
        <v>46087</v>
      </c>
      <c r="I2643" s="127">
        <v>0.41666666666666669</v>
      </c>
      <c r="J2643"/>
      <c r="K2643"/>
      <c r="L2643" t="s">
        <v>5542</v>
      </c>
    </row>
    <row r="2644" spans="1:12">
      <c r="A2644" s="94" t="s">
        <v>1727</v>
      </c>
      <c r="B2644" t="s">
        <v>5415</v>
      </c>
      <c r="C2644" s="92"/>
      <c r="D2644" s="17" t="s">
        <v>5543</v>
      </c>
      <c r="E2644" s="93" t="s">
        <v>5544</v>
      </c>
      <c r="F2644" s="99" t="s">
        <v>5545</v>
      </c>
      <c r="G2644" s="17" t="s">
        <v>1</v>
      </c>
      <c r="H2644" s="132">
        <v>46087</v>
      </c>
      <c r="I2644" s="127">
        <v>0.41736111111111113</v>
      </c>
      <c r="J2644" s="22">
        <v>46087</v>
      </c>
      <c r="K2644" s="154">
        <v>0.61597222222222225</v>
      </c>
      <c r="L2644"/>
    </row>
    <row r="2645" spans="1:12">
      <c r="A2645" s="94" t="s">
        <v>1727</v>
      </c>
      <c r="B2645" t="s">
        <v>5415</v>
      </c>
      <c r="C2645" s="92"/>
      <c r="D2645" s="17" t="s">
        <v>5546</v>
      </c>
      <c r="E2645" s="93" t="s">
        <v>5547</v>
      </c>
      <c r="F2645"/>
      <c r="G2645" s="17" t="s">
        <v>9</v>
      </c>
      <c r="H2645" s="132">
        <v>46087</v>
      </c>
      <c r="I2645" s="127">
        <v>0.41736111111111113</v>
      </c>
      <c r="J2645"/>
      <c r="K2645"/>
      <c r="L2645"/>
    </row>
    <row r="2646" spans="1:12">
      <c r="A2646" s="94" t="s">
        <v>1727</v>
      </c>
      <c r="B2646" t="s">
        <v>5415</v>
      </c>
      <c r="C2646" s="92"/>
      <c r="D2646" s="17" t="s">
        <v>5548</v>
      </c>
      <c r="E2646" s="93" t="s">
        <v>5549</v>
      </c>
      <c r="F2646" s="99" t="s">
        <v>5550</v>
      </c>
      <c r="G2646" s="17" t="s">
        <v>1</v>
      </c>
      <c r="H2646" s="132">
        <v>46087</v>
      </c>
      <c r="I2646" s="127">
        <v>0.41875000000000001</v>
      </c>
      <c r="J2646"/>
      <c r="K2646"/>
      <c r="L2646"/>
    </row>
    <row r="2647" spans="1:12">
      <c r="A2647" s="94" t="s">
        <v>1727</v>
      </c>
      <c r="B2647" t="s">
        <v>5415</v>
      </c>
      <c r="C2647" s="92"/>
      <c r="D2647" s="17" t="s">
        <v>5551</v>
      </c>
      <c r="E2647" s="93" t="s">
        <v>5552</v>
      </c>
      <c r="F2647"/>
      <c r="G2647" s="17" t="s">
        <v>2</v>
      </c>
      <c r="H2647" s="132">
        <v>46087</v>
      </c>
      <c r="I2647" s="127">
        <v>0.42222222222222222</v>
      </c>
      <c r="J2647" s="22">
        <v>46090</v>
      </c>
      <c r="K2647" s="154">
        <v>0.44930555555555557</v>
      </c>
      <c r="L2647"/>
    </row>
    <row r="2648" spans="1:12">
      <c r="A2648" s="94" t="s">
        <v>1727</v>
      </c>
      <c r="B2648" t="s">
        <v>5415</v>
      </c>
      <c r="C2648" s="92"/>
      <c r="D2648" s="17" t="s">
        <v>5553</v>
      </c>
      <c r="E2648" s="93" t="s">
        <v>5554</v>
      </c>
      <c r="F2648"/>
      <c r="G2648" s="17" t="s">
        <v>2</v>
      </c>
      <c r="H2648" s="132">
        <v>46087</v>
      </c>
      <c r="I2648" s="127">
        <v>0.4236111111111111</v>
      </c>
      <c r="J2648" s="22">
        <v>46090</v>
      </c>
      <c r="K2648" s="154">
        <v>0.45</v>
      </c>
      <c r="L2648"/>
    </row>
    <row r="2649" spans="1:12">
      <c r="A2649" s="94" t="s">
        <v>1727</v>
      </c>
      <c r="B2649" t="s">
        <v>5415</v>
      </c>
      <c r="C2649" s="92"/>
      <c r="D2649" s="17" t="s">
        <v>5555</v>
      </c>
      <c r="E2649" s="93" t="s">
        <v>5556</v>
      </c>
      <c r="F2649" s="99" t="s">
        <v>5557</v>
      </c>
      <c r="G2649" s="17" t="s">
        <v>1</v>
      </c>
      <c r="H2649" s="132">
        <v>46087</v>
      </c>
      <c r="I2649" s="127">
        <v>0.42499999999999999</v>
      </c>
      <c r="J2649"/>
      <c r="K2649"/>
      <c r="L2649"/>
    </row>
    <row r="2650" spans="1:12">
      <c r="A2650" s="94" t="s">
        <v>1727</v>
      </c>
      <c r="B2650" t="s">
        <v>5415</v>
      </c>
      <c r="C2650" s="92"/>
      <c r="D2650" s="17" t="s">
        <v>5558</v>
      </c>
      <c r="E2650" s="93" t="s">
        <v>5559</v>
      </c>
      <c r="F2650" s="99" t="s">
        <v>5560</v>
      </c>
      <c r="G2650" s="17" t="s">
        <v>1</v>
      </c>
      <c r="H2650" s="132">
        <v>46087</v>
      </c>
      <c r="I2650" s="127">
        <v>0.42638888888888887</v>
      </c>
      <c r="J2650"/>
      <c r="K2650"/>
      <c r="L2650"/>
    </row>
    <row r="2651" spans="1:12">
      <c r="A2651" s="94" t="s">
        <v>1727</v>
      </c>
      <c r="B2651" t="s">
        <v>5415</v>
      </c>
      <c r="C2651" s="92"/>
      <c r="D2651" s="17" t="s">
        <v>5561</v>
      </c>
      <c r="E2651" s="93" t="s">
        <v>5562</v>
      </c>
      <c r="F2651"/>
      <c r="G2651" s="17" t="s">
        <v>6</v>
      </c>
      <c r="H2651" s="132">
        <v>46087</v>
      </c>
      <c r="I2651" s="127">
        <v>0.42708333333333331</v>
      </c>
      <c r="J2651" s="22">
        <v>46090</v>
      </c>
      <c r="K2651" s="154">
        <v>0.45069444444444445</v>
      </c>
      <c r="L2651"/>
    </row>
    <row r="2652" spans="1:12">
      <c r="A2652" s="94" t="s">
        <v>1727</v>
      </c>
      <c r="B2652" t="s">
        <v>5415</v>
      </c>
      <c r="C2652" s="92"/>
      <c r="D2652" s="17" t="s">
        <v>4843</v>
      </c>
      <c r="E2652" s="93" t="s">
        <v>4844</v>
      </c>
      <c r="F2652" t="s">
        <v>5563</v>
      </c>
      <c r="G2652" s="17" t="s">
        <v>1</v>
      </c>
      <c r="H2652" s="132">
        <v>46087</v>
      </c>
      <c r="I2652" s="127">
        <v>0.42777777777777776</v>
      </c>
      <c r="J2652"/>
      <c r="K2652"/>
      <c r="L2652"/>
    </row>
    <row r="2653" spans="1:12">
      <c r="A2653" s="94" t="s">
        <v>1727</v>
      </c>
      <c r="B2653" t="s">
        <v>5415</v>
      </c>
      <c r="C2653" s="92"/>
      <c r="D2653" s="17" t="s">
        <v>5564</v>
      </c>
      <c r="E2653" s="93" t="s">
        <v>5565</v>
      </c>
      <c r="F2653" s="99" t="s">
        <v>5566</v>
      </c>
      <c r="G2653" s="17" t="s">
        <v>1</v>
      </c>
      <c r="H2653" s="132">
        <v>46087</v>
      </c>
      <c r="I2653" s="127">
        <v>0.42986111111111114</v>
      </c>
      <c r="J2653"/>
      <c r="K2653"/>
      <c r="L2653"/>
    </row>
    <row r="2654" spans="1:12">
      <c r="A2654" s="94" t="s">
        <v>1727</v>
      </c>
      <c r="B2654" t="s">
        <v>5415</v>
      </c>
      <c r="C2654" s="92"/>
      <c r="D2654" s="17" t="s">
        <v>5567</v>
      </c>
      <c r="E2654" s="93">
        <v>68937090</v>
      </c>
      <c r="F2654"/>
      <c r="G2654" s="17" t="s">
        <v>9</v>
      </c>
      <c r="H2654" s="132">
        <v>46087</v>
      </c>
      <c r="I2654" s="127">
        <v>0.42986111111111114</v>
      </c>
      <c r="J2654"/>
      <c r="K2654"/>
      <c r="L2654"/>
    </row>
    <row r="2655" spans="1:12">
      <c r="A2655" s="94" t="s">
        <v>1727</v>
      </c>
      <c r="B2655" t="s">
        <v>5415</v>
      </c>
      <c r="C2655" s="92"/>
      <c r="D2655" s="17" t="s">
        <v>5568</v>
      </c>
      <c r="E2655" s="93">
        <v>66637942</v>
      </c>
      <c r="F2655" s="99" t="s">
        <v>5569</v>
      </c>
      <c r="G2655" s="17" t="s">
        <v>1</v>
      </c>
      <c r="H2655" s="132">
        <v>46087</v>
      </c>
      <c r="I2655" s="127">
        <v>0.43055555555555558</v>
      </c>
      <c r="J2655" s="22">
        <v>46090</v>
      </c>
      <c r="K2655" s="154">
        <v>0.4513888888888889</v>
      </c>
      <c r="L2655"/>
    </row>
    <row r="2656" spans="1:12">
      <c r="A2656" s="94" t="s">
        <v>1727</v>
      </c>
      <c r="B2656" t="s">
        <v>5415</v>
      </c>
      <c r="C2656" s="92"/>
      <c r="D2656" s="17" t="s">
        <v>5570</v>
      </c>
      <c r="E2656" s="93">
        <v>69086304</v>
      </c>
      <c r="F2656"/>
      <c r="G2656" s="17" t="s">
        <v>3</v>
      </c>
      <c r="H2656" s="132">
        <v>46087</v>
      </c>
      <c r="I2656" s="127">
        <v>0.43125000000000002</v>
      </c>
      <c r="J2656"/>
      <c r="K2656"/>
      <c r="L2656"/>
    </row>
    <row r="2657" spans="1:12">
      <c r="A2657" s="94" t="s">
        <v>1727</v>
      </c>
      <c r="B2657" t="s">
        <v>5415</v>
      </c>
      <c r="C2657" s="92"/>
      <c r="D2657" s="17" t="s">
        <v>4442</v>
      </c>
      <c r="E2657" s="93">
        <v>64066021</v>
      </c>
      <c r="F2657" s="99" t="s">
        <v>5571</v>
      </c>
      <c r="G2657" s="17" t="s">
        <v>1</v>
      </c>
      <c r="H2657" s="132">
        <v>46087</v>
      </c>
      <c r="I2657" s="127">
        <v>0.43263888888888891</v>
      </c>
      <c r="J2657"/>
      <c r="K2657"/>
      <c r="L2657"/>
    </row>
    <row r="2658" spans="1:12">
      <c r="A2658" s="94" t="s">
        <v>1727</v>
      </c>
      <c r="B2658" t="s">
        <v>5415</v>
      </c>
      <c r="C2658" s="92"/>
      <c r="D2658" s="17" t="s">
        <v>5572</v>
      </c>
      <c r="E2658" s="93" t="s">
        <v>5573</v>
      </c>
      <c r="F2658" s="99" t="s">
        <v>5574</v>
      </c>
      <c r="G2658" s="17" t="s">
        <v>1</v>
      </c>
      <c r="H2658" s="132">
        <v>46087</v>
      </c>
      <c r="I2658" s="127">
        <v>0.43333333333333335</v>
      </c>
      <c r="J2658" s="22">
        <v>46090</v>
      </c>
      <c r="K2658" s="154">
        <v>0.45208333333333334</v>
      </c>
      <c r="L2658"/>
    </row>
    <row r="2659" spans="1:12">
      <c r="A2659" s="94" t="s">
        <v>1727</v>
      </c>
      <c r="B2659" t="s">
        <v>5415</v>
      </c>
      <c r="C2659" s="92"/>
      <c r="D2659" s="17" t="s">
        <v>5575</v>
      </c>
      <c r="E2659" s="93" t="s">
        <v>5576</v>
      </c>
      <c r="F2659"/>
      <c r="G2659" s="17" t="s">
        <v>3</v>
      </c>
      <c r="H2659" s="132">
        <v>46087</v>
      </c>
      <c r="I2659" s="127">
        <v>0.43402777777777779</v>
      </c>
      <c r="J2659"/>
      <c r="K2659"/>
      <c r="L2659"/>
    </row>
    <row r="2660" spans="1:12">
      <c r="A2660" s="94" t="s">
        <v>1727</v>
      </c>
      <c r="B2660" t="s">
        <v>5415</v>
      </c>
      <c r="C2660" s="92"/>
      <c r="D2660" s="17" t="s">
        <v>5577</v>
      </c>
      <c r="E2660" s="93" t="s">
        <v>5578</v>
      </c>
      <c r="F2660"/>
      <c r="G2660" s="17" t="s">
        <v>3</v>
      </c>
      <c r="H2660" s="132">
        <v>46087</v>
      </c>
      <c r="I2660" s="127">
        <v>0.43472222222222223</v>
      </c>
      <c r="J2660"/>
      <c r="K2660"/>
      <c r="L2660"/>
    </row>
    <row r="2661" spans="1:12">
      <c r="A2661" s="94" t="s">
        <v>1727</v>
      </c>
      <c r="B2661" t="s">
        <v>5415</v>
      </c>
      <c r="C2661" s="92"/>
      <c r="D2661" s="17" t="s">
        <v>5579</v>
      </c>
      <c r="E2661" s="93" t="s">
        <v>5580</v>
      </c>
      <c r="F2661"/>
      <c r="G2661" s="17" t="s">
        <v>9</v>
      </c>
      <c r="H2661" s="132">
        <v>46087</v>
      </c>
      <c r="I2661" s="127">
        <v>0.43541666666666667</v>
      </c>
      <c r="J2661"/>
      <c r="K2661"/>
      <c r="L2661"/>
    </row>
    <row r="2662" spans="1:12">
      <c r="A2662" s="94" t="s">
        <v>1727</v>
      </c>
      <c r="B2662" t="s">
        <v>5415</v>
      </c>
      <c r="C2662" s="92"/>
      <c r="D2662" s="17" t="s">
        <v>5581</v>
      </c>
      <c r="E2662" s="93" t="s">
        <v>5582</v>
      </c>
      <c r="F2662"/>
      <c r="G2662" s="17" t="s">
        <v>3</v>
      </c>
      <c r="H2662" s="132">
        <v>46087</v>
      </c>
      <c r="I2662" s="127">
        <v>0.43611111111111112</v>
      </c>
      <c r="J2662" s="22">
        <v>46090</v>
      </c>
      <c r="K2662" s="154">
        <v>0.45416666666666666</v>
      </c>
      <c r="L2662"/>
    </row>
    <row r="2663" spans="1:12">
      <c r="A2663" s="94" t="s">
        <v>1727</v>
      </c>
      <c r="B2663" t="s">
        <v>5415</v>
      </c>
      <c r="C2663" s="92"/>
      <c r="D2663" s="17" t="s">
        <v>5583</v>
      </c>
      <c r="E2663" s="93" t="s">
        <v>5584</v>
      </c>
      <c r="F2663"/>
      <c r="G2663" s="17" t="s">
        <v>4</v>
      </c>
      <c r="H2663" s="132">
        <v>46087</v>
      </c>
      <c r="I2663" s="127">
        <v>0.43680555555555556</v>
      </c>
      <c r="J2663"/>
      <c r="K2663"/>
      <c r="L2663" t="s">
        <v>5542</v>
      </c>
    </row>
    <row r="2664" spans="1:12">
      <c r="A2664" s="94" t="s">
        <v>1727</v>
      </c>
      <c r="B2664" t="s">
        <v>5415</v>
      </c>
      <c r="C2664" s="92"/>
      <c r="D2664" s="17" t="s">
        <v>5585</v>
      </c>
      <c r="E2664" s="93" t="s">
        <v>5586</v>
      </c>
      <c r="F2664" s="99" t="s">
        <v>5587</v>
      </c>
      <c r="G2664" s="17" t="s">
        <v>1</v>
      </c>
      <c r="H2664" s="132">
        <v>46087</v>
      </c>
      <c r="I2664" s="127">
        <v>0.44027777777777777</v>
      </c>
      <c r="J2664"/>
      <c r="K2664"/>
      <c r="L2664"/>
    </row>
    <row r="2665" spans="1:12">
      <c r="A2665" s="94" t="s">
        <v>1727</v>
      </c>
      <c r="B2665" t="s">
        <v>5415</v>
      </c>
      <c r="C2665" s="92"/>
      <c r="D2665" s="17" t="s">
        <v>5588</v>
      </c>
      <c r="E2665" s="93" t="s">
        <v>4676</v>
      </c>
      <c r="F2665"/>
      <c r="G2665" s="17" t="s">
        <v>9</v>
      </c>
      <c r="H2665" s="132">
        <v>46087</v>
      </c>
      <c r="I2665" s="127">
        <v>0.44097222222222221</v>
      </c>
      <c r="J2665"/>
      <c r="K2665"/>
      <c r="L2665"/>
    </row>
    <row r="2666" spans="1:12">
      <c r="A2666" s="94" t="s">
        <v>1727</v>
      </c>
      <c r="B2666" t="s">
        <v>5415</v>
      </c>
      <c r="C2666" s="92"/>
      <c r="D2666" s="17" t="s">
        <v>5589</v>
      </c>
      <c r="E2666" s="93" t="s">
        <v>5590</v>
      </c>
      <c r="F2666"/>
      <c r="G2666" s="17" t="s">
        <v>6</v>
      </c>
      <c r="H2666" s="132">
        <v>46087</v>
      </c>
      <c r="I2666" s="127">
        <v>0.44166666666666665</v>
      </c>
      <c r="J2666" s="22">
        <v>46090</v>
      </c>
      <c r="K2666" s="154">
        <v>0.45555555555555555</v>
      </c>
      <c r="L2666"/>
    </row>
    <row r="2667" spans="1:12">
      <c r="A2667" s="94" t="s">
        <v>1727</v>
      </c>
      <c r="B2667" t="s">
        <v>5415</v>
      </c>
      <c r="C2667" s="92"/>
      <c r="D2667" s="17" t="s">
        <v>5591</v>
      </c>
      <c r="E2667" s="93" t="s">
        <v>5592</v>
      </c>
      <c r="F2667" s="99" t="s">
        <v>5593</v>
      </c>
      <c r="G2667" s="17" t="s">
        <v>1</v>
      </c>
      <c r="H2667" s="132">
        <v>46087</v>
      </c>
      <c r="I2667" s="127">
        <v>0.44166666666666665</v>
      </c>
      <c r="J2667" s="22">
        <v>46090</v>
      </c>
      <c r="K2667" s="154">
        <v>0.45555555555555555</v>
      </c>
      <c r="L2667"/>
    </row>
    <row r="2668" spans="1:12">
      <c r="A2668" s="94" t="s">
        <v>1727</v>
      </c>
      <c r="B2668" t="s">
        <v>5415</v>
      </c>
      <c r="C2668" s="92"/>
      <c r="D2668" s="17" t="s">
        <v>5594</v>
      </c>
      <c r="E2668" s="93" t="s">
        <v>5595</v>
      </c>
      <c r="F2668"/>
      <c r="G2668" s="17" t="s">
        <v>2</v>
      </c>
      <c r="H2668" s="132">
        <v>46087</v>
      </c>
      <c r="I2668" s="127">
        <v>0.44236111111111109</v>
      </c>
      <c r="J2668" s="22">
        <v>46090</v>
      </c>
      <c r="K2668" s="154">
        <v>0.45694444444444443</v>
      </c>
      <c r="L2668"/>
    </row>
    <row r="2669" spans="1:12">
      <c r="A2669" s="94" t="s">
        <v>1727</v>
      </c>
      <c r="B2669" t="s">
        <v>5415</v>
      </c>
      <c r="C2669" s="92"/>
      <c r="D2669" s="17" t="s">
        <v>5596</v>
      </c>
      <c r="E2669" s="93" t="s">
        <v>5597</v>
      </c>
      <c r="F2669"/>
      <c r="G2669" s="17" t="s">
        <v>3</v>
      </c>
      <c r="H2669" s="132">
        <v>46087</v>
      </c>
      <c r="I2669" s="127">
        <v>0.44305555555555554</v>
      </c>
      <c r="J2669"/>
      <c r="K2669"/>
      <c r="L2669"/>
    </row>
    <row r="2670" spans="1:12">
      <c r="A2670" s="94" t="s">
        <v>1727</v>
      </c>
      <c r="B2670" t="s">
        <v>5415</v>
      </c>
      <c r="C2670" s="92"/>
      <c r="D2670" s="17" t="s">
        <v>5598</v>
      </c>
      <c r="E2670" s="93" t="s">
        <v>5599</v>
      </c>
      <c r="F2670" s="99" t="s">
        <v>5600</v>
      </c>
      <c r="G2670" s="17" t="s">
        <v>1</v>
      </c>
      <c r="H2670" s="132">
        <v>46087</v>
      </c>
      <c r="I2670" s="127">
        <v>0.44374999999999998</v>
      </c>
      <c r="J2670" s="22">
        <v>46090</v>
      </c>
      <c r="K2670" s="154">
        <v>0.45763888888888887</v>
      </c>
      <c r="L2670"/>
    </row>
    <row r="2671" spans="1:12">
      <c r="A2671" s="94" t="s">
        <v>1727</v>
      </c>
      <c r="B2671" t="s">
        <v>5415</v>
      </c>
      <c r="C2671" s="92"/>
      <c r="D2671" s="17" t="s">
        <v>5601</v>
      </c>
      <c r="E2671" s="93" t="s">
        <v>5602</v>
      </c>
      <c r="F2671" s="99" t="s">
        <v>5603</v>
      </c>
      <c r="G2671" s="17" t="s">
        <v>1</v>
      </c>
      <c r="H2671" s="132">
        <v>46087</v>
      </c>
      <c r="I2671" s="127">
        <v>0.44444444444444442</v>
      </c>
      <c r="J2671" s="22">
        <v>46090</v>
      </c>
      <c r="K2671" s="154">
        <v>0.45902777777777776</v>
      </c>
      <c r="L2671"/>
    </row>
    <row r="2672" spans="1:12">
      <c r="A2672" s="94" t="s">
        <v>1727</v>
      </c>
      <c r="B2672" t="s">
        <v>5415</v>
      </c>
      <c r="C2672" s="92"/>
      <c r="D2672" s="17" t="s">
        <v>5604</v>
      </c>
      <c r="E2672" s="93" t="s">
        <v>5605</v>
      </c>
      <c r="F2672"/>
      <c r="G2672" s="17" t="s">
        <v>3</v>
      </c>
      <c r="H2672" s="132">
        <v>46087</v>
      </c>
      <c r="I2672" s="127">
        <v>0.44513888888888886</v>
      </c>
      <c r="J2672" s="22">
        <v>46090</v>
      </c>
      <c r="K2672" s="154">
        <v>0.46041666666666664</v>
      </c>
      <c r="L2672" t="s">
        <v>5606</v>
      </c>
    </row>
    <row r="2673" spans="1:12">
      <c r="A2673" s="94" t="s">
        <v>1727</v>
      </c>
      <c r="B2673" t="s">
        <v>5415</v>
      </c>
      <c r="C2673" s="92"/>
      <c r="D2673" s="17" t="s">
        <v>5607</v>
      </c>
      <c r="E2673" s="93" t="s">
        <v>5608</v>
      </c>
      <c r="F2673"/>
      <c r="G2673" s="17" t="s">
        <v>3</v>
      </c>
      <c r="H2673" s="132">
        <v>46087</v>
      </c>
      <c r="I2673" s="127">
        <v>0.44583333333333336</v>
      </c>
      <c r="J2673"/>
      <c r="K2673"/>
      <c r="L2673"/>
    </row>
    <row r="2674" spans="1:12">
      <c r="A2674" s="94" t="s">
        <v>1727</v>
      </c>
      <c r="B2674" t="s">
        <v>5415</v>
      </c>
      <c r="C2674" s="92"/>
      <c r="D2674" s="17" t="s">
        <v>5609</v>
      </c>
      <c r="E2674" s="93" t="s">
        <v>5610</v>
      </c>
      <c r="F2674" s="99" t="s">
        <v>5611</v>
      </c>
      <c r="G2674" s="17" t="s">
        <v>1</v>
      </c>
      <c r="H2674" s="132">
        <v>46087</v>
      </c>
      <c r="I2674" s="127">
        <v>0.44722222222222224</v>
      </c>
      <c r="J2674"/>
      <c r="K2674"/>
      <c r="L2674"/>
    </row>
    <row r="2675" spans="1:12">
      <c r="A2675" s="94" t="s">
        <v>1727</v>
      </c>
      <c r="B2675" t="s">
        <v>5415</v>
      </c>
      <c r="C2675" s="92"/>
      <c r="D2675" s="17" t="s">
        <v>5612</v>
      </c>
      <c r="E2675" s="93" t="s">
        <v>5613</v>
      </c>
      <c r="F2675" s="99" t="s">
        <v>5614</v>
      </c>
      <c r="G2675" s="17" t="s">
        <v>1</v>
      </c>
      <c r="H2675" s="132">
        <v>46087</v>
      </c>
      <c r="I2675" s="127">
        <v>0.44861111111111113</v>
      </c>
      <c r="J2675"/>
      <c r="K2675"/>
      <c r="L2675"/>
    </row>
    <row r="2676" spans="1:12">
      <c r="A2676" s="94" t="s">
        <v>1727</v>
      </c>
      <c r="B2676" t="s">
        <v>5415</v>
      </c>
      <c r="C2676" s="92"/>
      <c r="D2676" s="17" t="s">
        <v>5615</v>
      </c>
      <c r="E2676" s="93" t="s">
        <v>5616</v>
      </c>
      <c r="F2676" t="s">
        <v>5563</v>
      </c>
      <c r="G2676" s="17" t="s">
        <v>1</v>
      </c>
      <c r="H2676" s="132">
        <v>46087</v>
      </c>
      <c r="I2676" s="127">
        <v>0.45</v>
      </c>
      <c r="J2676"/>
      <c r="K2676"/>
      <c r="L2676" t="s">
        <v>5617</v>
      </c>
    </row>
    <row r="2677" spans="1:12">
      <c r="A2677" s="94" t="s">
        <v>1727</v>
      </c>
      <c r="B2677" t="s">
        <v>5415</v>
      </c>
      <c r="C2677" s="92"/>
      <c r="D2677" s="17" t="s">
        <v>5618</v>
      </c>
      <c r="E2677" s="93" t="s">
        <v>5619</v>
      </c>
      <c r="F2677"/>
      <c r="G2677" s="17" t="s">
        <v>2</v>
      </c>
      <c r="H2677" s="132">
        <v>46087</v>
      </c>
      <c r="I2677" s="127">
        <v>0.45069444444444445</v>
      </c>
      <c r="J2677" s="22">
        <v>46090</v>
      </c>
      <c r="K2677" s="154">
        <v>0.46180555555555558</v>
      </c>
      <c r="L2677"/>
    </row>
    <row r="2678" spans="1:12">
      <c r="A2678" s="94" t="s">
        <v>1727</v>
      </c>
      <c r="B2678" t="s">
        <v>5415</v>
      </c>
      <c r="C2678" s="92"/>
      <c r="D2678" s="17" t="s">
        <v>5620</v>
      </c>
      <c r="E2678" s="93" t="s">
        <v>5621</v>
      </c>
      <c r="F2678"/>
      <c r="G2678" s="17" t="s">
        <v>4</v>
      </c>
      <c r="H2678" s="132">
        <v>46087</v>
      </c>
      <c r="I2678" s="127">
        <v>0.45069444444444445</v>
      </c>
      <c r="J2678"/>
      <c r="K2678"/>
      <c r="L2678" t="s">
        <v>5622</v>
      </c>
    </row>
    <row r="2679" spans="1:12">
      <c r="A2679" s="94" t="s">
        <v>1727</v>
      </c>
      <c r="B2679" t="s">
        <v>5415</v>
      </c>
      <c r="C2679" s="92"/>
      <c r="D2679" s="17" t="s">
        <v>5623</v>
      </c>
      <c r="E2679" s="93" t="s">
        <v>5305</v>
      </c>
      <c r="F2679"/>
      <c r="G2679" s="17" t="s">
        <v>1</v>
      </c>
      <c r="H2679" s="132">
        <v>46087</v>
      </c>
      <c r="I2679" s="127">
        <v>0.45208333333333334</v>
      </c>
      <c r="J2679"/>
      <c r="K2679"/>
      <c r="L2679"/>
    </row>
    <row r="2680" spans="1:12">
      <c r="A2680" s="94" t="s">
        <v>1727</v>
      </c>
      <c r="B2680" t="s">
        <v>5415</v>
      </c>
      <c r="C2680" s="92"/>
      <c r="D2680" s="17" t="s">
        <v>5624</v>
      </c>
      <c r="E2680" s="93" t="s">
        <v>5625</v>
      </c>
      <c r="F2680"/>
      <c r="G2680" s="17" t="s">
        <v>9</v>
      </c>
      <c r="H2680" s="132">
        <v>46087</v>
      </c>
      <c r="I2680" s="127">
        <v>0.45208333333333334</v>
      </c>
      <c r="J2680"/>
      <c r="K2680"/>
      <c r="L2680"/>
    </row>
    <row r="2681" spans="1:12">
      <c r="A2681" s="94" t="s">
        <v>1727</v>
      </c>
      <c r="B2681" t="s">
        <v>5415</v>
      </c>
      <c r="C2681" s="92"/>
      <c r="D2681" s="17" t="s">
        <v>5626</v>
      </c>
      <c r="E2681" s="93" t="s">
        <v>5627</v>
      </c>
      <c r="F2681"/>
      <c r="G2681" s="17" t="s">
        <v>3</v>
      </c>
      <c r="H2681" s="132">
        <v>46087</v>
      </c>
      <c r="I2681" s="127">
        <v>0.45416666666666666</v>
      </c>
      <c r="J2681"/>
      <c r="K2681"/>
      <c r="L2681"/>
    </row>
    <row r="2682" spans="1:12">
      <c r="A2682" s="95" t="s">
        <v>2088</v>
      </c>
      <c r="B2682" t="s">
        <v>5628</v>
      </c>
      <c r="C2682" s="87" t="s">
        <v>2134</v>
      </c>
      <c r="D2682" s="89" t="s">
        <v>5629</v>
      </c>
      <c r="E2682" s="89">
        <v>67199040</v>
      </c>
      <c r="F2682"/>
      <c r="G2682" s="17" t="s">
        <v>3</v>
      </c>
      <c r="H2682" s="132"/>
      <c r="J2682"/>
      <c r="K2682"/>
      <c r="L2682"/>
    </row>
    <row r="2683" spans="1:12">
      <c r="A2683" s="95" t="s">
        <v>2088</v>
      </c>
      <c r="B2683" t="s">
        <v>5628</v>
      </c>
      <c r="C2683" s="87" t="s">
        <v>2126</v>
      </c>
      <c r="D2683" s="89" t="s">
        <v>5630</v>
      </c>
      <c r="E2683" s="89">
        <v>64983778</v>
      </c>
      <c r="F2683"/>
      <c r="G2683" s="17" t="s">
        <v>1</v>
      </c>
      <c r="H2683" s="132"/>
      <c r="J2683"/>
      <c r="K2683"/>
      <c r="L2683"/>
    </row>
    <row r="2684" spans="1:12">
      <c r="A2684" s="95" t="s">
        <v>2088</v>
      </c>
      <c r="B2684" t="s">
        <v>5415</v>
      </c>
      <c r="C2684" s="87" t="s">
        <v>2089</v>
      </c>
      <c r="D2684" s="88"/>
      <c r="E2684" s="89">
        <v>66785378</v>
      </c>
      <c r="F2684" s="99" t="s">
        <v>5631</v>
      </c>
      <c r="G2684" s="17" t="s">
        <v>1</v>
      </c>
      <c r="H2684" s="132"/>
      <c r="J2684"/>
      <c r="K2684"/>
      <c r="L2684"/>
    </row>
    <row r="2685" spans="1:12">
      <c r="A2685" s="95" t="s">
        <v>2088</v>
      </c>
      <c r="B2685" t="s">
        <v>5628</v>
      </c>
      <c r="C2685" s="97" t="s">
        <v>2090</v>
      </c>
      <c r="D2685" s="89" t="s">
        <v>5632</v>
      </c>
      <c r="E2685" s="89">
        <v>7305778</v>
      </c>
      <c r="F2685"/>
      <c r="G2685" s="17" t="s">
        <v>1</v>
      </c>
      <c r="H2685" s="132"/>
      <c r="J2685"/>
      <c r="K2685"/>
      <c r="L2685" t="s">
        <v>5633</v>
      </c>
    </row>
    <row r="2686" spans="1:12">
      <c r="A2686" s="95" t="s">
        <v>2088</v>
      </c>
      <c r="B2686" t="s">
        <v>5628</v>
      </c>
      <c r="C2686" s="97" t="s">
        <v>2091</v>
      </c>
      <c r="D2686" s="88"/>
      <c r="E2686" s="89">
        <v>7768993</v>
      </c>
      <c r="F2686"/>
      <c r="G2686" s="17" t="s">
        <v>4</v>
      </c>
      <c r="H2686" s="132"/>
      <c r="J2686"/>
      <c r="K2686"/>
      <c r="L2686" t="s">
        <v>5634</v>
      </c>
    </row>
    <row r="2687" spans="1:12">
      <c r="A2687" s="95" t="s">
        <v>2088</v>
      </c>
      <c r="B2687" t="s">
        <v>5628</v>
      </c>
      <c r="C2687" s="97" t="s">
        <v>2092</v>
      </c>
      <c r="D2687" s="88"/>
      <c r="E2687" s="89">
        <v>69011754</v>
      </c>
      <c r="F2687"/>
      <c r="G2687" s="104" t="s">
        <v>5</v>
      </c>
      <c r="H2687" s="132"/>
      <c r="J2687"/>
      <c r="K2687"/>
      <c r="L2687" t="s">
        <v>5635</v>
      </c>
    </row>
    <row r="2688" spans="1:12">
      <c r="A2688" s="95" t="s">
        <v>2088</v>
      </c>
      <c r="B2688" t="s">
        <v>5628</v>
      </c>
      <c r="C2688" s="97" t="s">
        <v>1532</v>
      </c>
      <c r="D2688" s="89" t="s">
        <v>5636</v>
      </c>
      <c r="E2688" s="89">
        <v>66013206</v>
      </c>
      <c r="F2688" s="99" t="s">
        <v>5637</v>
      </c>
      <c r="G2688" s="17" t="s">
        <v>1</v>
      </c>
      <c r="H2688" s="132"/>
      <c r="J2688"/>
      <c r="K2688"/>
      <c r="L2688"/>
    </row>
    <row r="2689" spans="1:12">
      <c r="A2689" s="95" t="s">
        <v>2088</v>
      </c>
      <c r="B2689" t="s">
        <v>5628</v>
      </c>
      <c r="C2689" s="97" t="s">
        <v>2093</v>
      </c>
      <c r="D2689" s="88"/>
      <c r="E2689" s="89">
        <v>64346918</v>
      </c>
      <c r="F2689"/>
      <c r="G2689" s="17" t="s">
        <v>6</v>
      </c>
      <c r="H2689" s="132"/>
      <c r="J2689"/>
      <c r="K2689"/>
      <c r="L2689"/>
    </row>
    <row r="2690" spans="1:12">
      <c r="A2690" s="95" t="s">
        <v>2088</v>
      </c>
      <c r="B2690" t="s">
        <v>5628</v>
      </c>
      <c r="C2690" s="97" t="s">
        <v>2094</v>
      </c>
      <c r="D2690" s="88"/>
      <c r="E2690" s="89">
        <v>68041008</v>
      </c>
      <c r="F2690"/>
      <c r="G2690" s="17" t="s">
        <v>6</v>
      </c>
      <c r="H2690" s="132"/>
      <c r="J2690"/>
      <c r="K2690"/>
      <c r="L2690" t="s">
        <v>5638</v>
      </c>
    </row>
    <row r="2691" spans="1:12">
      <c r="A2691" s="95" t="s">
        <v>2088</v>
      </c>
      <c r="B2691" t="s">
        <v>5628</v>
      </c>
      <c r="C2691" s="97" t="s">
        <v>2095</v>
      </c>
      <c r="D2691" s="88"/>
      <c r="E2691" s="89">
        <v>69831390</v>
      </c>
      <c r="F2691"/>
      <c r="G2691" s="17" t="s">
        <v>2</v>
      </c>
      <c r="H2691" s="132"/>
      <c r="J2691"/>
      <c r="K2691"/>
      <c r="L2691"/>
    </row>
    <row r="2692" spans="1:12">
      <c r="A2692" s="95" t="s">
        <v>2088</v>
      </c>
      <c r="B2692" t="s">
        <v>5628</v>
      </c>
      <c r="C2692" s="97" t="s">
        <v>2096</v>
      </c>
      <c r="D2692" s="89" t="s">
        <v>5639</v>
      </c>
      <c r="E2692" s="89">
        <v>69678221</v>
      </c>
      <c r="F2692" s="99" t="s">
        <v>5640</v>
      </c>
      <c r="G2692" s="17" t="s">
        <v>1</v>
      </c>
      <c r="H2692" s="132"/>
      <c r="J2692"/>
      <c r="K2692"/>
      <c r="L2692"/>
    </row>
    <row r="2693" spans="1:12">
      <c r="A2693" s="95" t="s">
        <v>2088</v>
      </c>
      <c r="B2693" t="s">
        <v>5628</v>
      </c>
      <c r="C2693" s="97" t="s">
        <v>2097</v>
      </c>
      <c r="D2693" s="88"/>
      <c r="E2693" s="89">
        <v>63822038</v>
      </c>
      <c r="F2693"/>
      <c r="G2693" s="17" t="s">
        <v>6</v>
      </c>
      <c r="H2693" s="132"/>
      <c r="J2693"/>
      <c r="K2693"/>
      <c r="L2693"/>
    </row>
    <row r="2694" spans="1:12">
      <c r="A2694" s="95" t="s">
        <v>2088</v>
      </c>
      <c r="B2694" t="s">
        <v>5628</v>
      </c>
      <c r="C2694" s="97" t="s">
        <v>2098</v>
      </c>
      <c r="D2694" s="88"/>
      <c r="E2694" s="89">
        <v>65656053</v>
      </c>
      <c r="F2694"/>
      <c r="G2694" s="17" t="s">
        <v>6</v>
      </c>
      <c r="H2694" s="132"/>
      <c r="J2694"/>
      <c r="K2694"/>
      <c r="L2694"/>
    </row>
    <row r="2695" spans="1:12">
      <c r="A2695" s="95" t="s">
        <v>2088</v>
      </c>
      <c r="B2695" t="s">
        <v>5628</v>
      </c>
      <c r="C2695" s="97" t="s">
        <v>2099</v>
      </c>
      <c r="D2695" s="89" t="s">
        <v>5641</v>
      </c>
      <c r="E2695" s="89">
        <v>65593856</v>
      </c>
      <c r="F2695" s="99" t="s">
        <v>5642</v>
      </c>
      <c r="G2695" s="17" t="s">
        <v>5</v>
      </c>
      <c r="H2695" s="132"/>
      <c r="J2695"/>
      <c r="K2695"/>
      <c r="L2695" t="s">
        <v>5643</v>
      </c>
    </row>
    <row r="2696" spans="1:12">
      <c r="A2696" s="95" t="s">
        <v>2088</v>
      </c>
      <c r="B2696" t="s">
        <v>5628</v>
      </c>
      <c r="C2696" s="97" t="s">
        <v>2100</v>
      </c>
      <c r="D2696" s="89" t="s">
        <v>5644</v>
      </c>
      <c r="E2696" s="89">
        <v>67508214</v>
      </c>
      <c r="F2696" s="99" t="s">
        <v>5645</v>
      </c>
      <c r="G2696" s="17" t="s">
        <v>7</v>
      </c>
      <c r="H2696" s="132"/>
      <c r="J2696"/>
      <c r="K2696"/>
      <c r="L2696" t="s">
        <v>5646</v>
      </c>
    </row>
    <row r="2697" spans="1:12">
      <c r="A2697" s="95" t="s">
        <v>2088</v>
      </c>
      <c r="B2697" t="s">
        <v>5628</v>
      </c>
      <c r="C2697" s="97" t="s">
        <v>422</v>
      </c>
      <c r="D2697" s="88"/>
      <c r="E2697" s="89">
        <v>65238898</v>
      </c>
      <c r="F2697"/>
      <c r="G2697" s="17" t="s">
        <v>6</v>
      </c>
      <c r="H2697" s="132"/>
      <c r="J2697"/>
      <c r="K2697"/>
      <c r="L2697"/>
    </row>
    <row r="2698" spans="1:12">
      <c r="A2698" s="95" t="s">
        <v>2088</v>
      </c>
      <c r="B2698" t="s">
        <v>5628</v>
      </c>
      <c r="C2698" s="97" t="s">
        <v>2101</v>
      </c>
      <c r="D2698" s="88"/>
      <c r="E2698" s="89">
        <v>69191304</v>
      </c>
      <c r="F2698"/>
      <c r="G2698" s="17" t="s">
        <v>4</v>
      </c>
      <c r="H2698" s="132"/>
      <c r="J2698"/>
      <c r="K2698"/>
      <c r="L2698" t="s">
        <v>5638</v>
      </c>
    </row>
    <row r="2699" spans="1:12">
      <c r="A2699" s="95" t="s">
        <v>2088</v>
      </c>
      <c r="B2699" t="s">
        <v>5628</v>
      </c>
      <c r="C2699" s="97" t="s">
        <v>2102</v>
      </c>
      <c r="D2699" s="88"/>
      <c r="E2699" s="89">
        <v>68118696</v>
      </c>
      <c r="F2699"/>
      <c r="G2699" s="17" t="s">
        <v>4</v>
      </c>
      <c r="H2699" s="132"/>
      <c r="J2699"/>
      <c r="K2699"/>
      <c r="L2699" t="s">
        <v>5638</v>
      </c>
    </row>
    <row r="2700" spans="1:12">
      <c r="A2700" s="95" t="s">
        <v>2088</v>
      </c>
      <c r="B2700" t="s">
        <v>5628</v>
      </c>
      <c r="C2700" s="97" t="s">
        <v>2103</v>
      </c>
      <c r="D2700" s="88"/>
      <c r="E2700" s="89">
        <v>7758960</v>
      </c>
      <c r="F2700"/>
      <c r="G2700" s="17" t="s">
        <v>4</v>
      </c>
      <c r="H2700" s="132"/>
      <c r="J2700"/>
      <c r="K2700"/>
      <c r="L2700" t="s">
        <v>5647</v>
      </c>
    </row>
    <row r="2701" spans="1:12">
      <c r="A2701" s="95" t="s">
        <v>2088</v>
      </c>
      <c r="B2701" t="s">
        <v>5628</v>
      </c>
      <c r="C2701" s="97" t="s">
        <v>2104</v>
      </c>
      <c r="D2701" s="88"/>
      <c r="E2701" s="89">
        <v>64609054</v>
      </c>
      <c r="F2701"/>
      <c r="G2701" s="17" t="s">
        <v>6</v>
      </c>
      <c r="H2701" s="132"/>
      <c r="J2701"/>
      <c r="K2701"/>
      <c r="L2701"/>
    </row>
    <row r="2702" spans="1:12">
      <c r="A2702" s="95" t="s">
        <v>2088</v>
      </c>
      <c r="B2702" t="s">
        <v>5628</v>
      </c>
      <c r="C2702" s="97" t="s">
        <v>2105</v>
      </c>
      <c r="D2702" s="88"/>
      <c r="E2702" s="89">
        <v>67260104</v>
      </c>
      <c r="F2702"/>
      <c r="G2702" s="17" t="s">
        <v>2</v>
      </c>
      <c r="H2702" s="132"/>
      <c r="J2702"/>
      <c r="K2702"/>
      <c r="L2702"/>
    </row>
    <row r="2703" spans="1:12">
      <c r="A2703" s="95" t="s">
        <v>2088</v>
      </c>
      <c r="B2703" t="s">
        <v>5628</v>
      </c>
      <c r="C2703" s="97" t="s">
        <v>2106</v>
      </c>
      <c r="D2703" s="88"/>
      <c r="E2703" s="89">
        <v>69011276</v>
      </c>
      <c r="F2703"/>
      <c r="G2703" s="17" t="s">
        <v>2</v>
      </c>
      <c r="H2703" s="132"/>
      <c r="J2703"/>
      <c r="K2703"/>
      <c r="L2703"/>
    </row>
    <row r="2704" spans="1:12">
      <c r="A2704" s="95" t="s">
        <v>2088</v>
      </c>
      <c r="B2704" t="s">
        <v>5628</v>
      </c>
      <c r="C2704" s="97" t="s">
        <v>2107</v>
      </c>
      <c r="D2704" s="89" t="s">
        <v>5648</v>
      </c>
      <c r="E2704" s="89">
        <v>69135882</v>
      </c>
      <c r="F2704"/>
      <c r="G2704" s="17" t="s">
        <v>1</v>
      </c>
      <c r="H2704" s="132"/>
      <c r="J2704"/>
      <c r="K2704"/>
      <c r="L2704" t="s">
        <v>5649</v>
      </c>
    </row>
    <row r="2705" spans="1:12">
      <c r="A2705" s="95" t="s">
        <v>2088</v>
      </c>
      <c r="B2705" t="s">
        <v>5628</v>
      </c>
      <c r="C2705" s="97" t="s">
        <v>2108</v>
      </c>
      <c r="D2705" s="89" t="s">
        <v>5650</v>
      </c>
      <c r="E2705" s="89">
        <v>66514387</v>
      </c>
      <c r="F2705" t="s">
        <v>5651</v>
      </c>
      <c r="G2705" s="17" t="s">
        <v>1</v>
      </c>
      <c r="H2705" s="132"/>
      <c r="J2705"/>
      <c r="K2705"/>
      <c r="L2705"/>
    </row>
    <row r="2706" spans="1:12" ht="24">
      <c r="A2706" s="95" t="s">
        <v>2088</v>
      </c>
      <c r="B2706" t="s">
        <v>5628</v>
      </c>
      <c r="C2706" s="97" t="s">
        <v>2109</v>
      </c>
      <c r="D2706" s="88"/>
      <c r="E2706" s="89">
        <v>68615659</v>
      </c>
      <c r="F2706"/>
      <c r="G2706" s="17" t="s">
        <v>2</v>
      </c>
      <c r="H2706" s="132"/>
      <c r="J2706"/>
      <c r="K2706"/>
      <c r="L2706"/>
    </row>
    <row r="2707" spans="1:12">
      <c r="A2707" s="95" t="s">
        <v>2088</v>
      </c>
      <c r="B2707" t="s">
        <v>5628</v>
      </c>
      <c r="C2707" s="87" t="s">
        <v>2110</v>
      </c>
      <c r="D2707" s="88"/>
      <c r="E2707" s="89">
        <v>68687838</v>
      </c>
      <c r="F2707"/>
      <c r="G2707" s="17" t="s">
        <v>6</v>
      </c>
      <c r="H2707" s="132"/>
      <c r="J2707"/>
      <c r="K2707"/>
      <c r="L2707"/>
    </row>
    <row r="2708" spans="1:12">
      <c r="A2708" s="95" t="s">
        <v>2088</v>
      </c>
      <c r="B2708" t="s">
        <v>5628</v>
      </c>
      <c r="C2708" s="87" t="s">
        <v>2111</v>
      </c>
      <c r="D2708" s="89" t="s">
        <v>5652</v>
      </c>
      <c r="E2708" s="89">
        <v>64262259</v>
      </c>
      <c r="F2708" s="99" t="s">
        <v>5653</v>
      </c>
      <c r="G2708" s="17" t="s">
        <v>1</v>
      </c>
      <c r="H2708" s="132"/>
      <c r="J2708"/>
      <c r="K2708"/>
      <c r="L2708"/>
    </row>
    <row r="2709" spans="1:12">
      <c r="A2709" s="95" t="s">
        <v>2088</v>
      </c>
      <c r="B2709" t="s">
        <v>5628</v>
      </c>
      <c r="C2709" s="87" t="s">
        <v>2112</v>
      </c>
      <c r="D2709" s="88"/>
      <c r="E2709" s="89">
        <v>66431440</v>
      </c>
      <c r="F2709"/>
      <c r="G2709" s="17" t="s">
        <v>6</v>
      </c>
      <c r="H2709" s="132"/>
      <c r="J2709"/>
      <c r="K2709"/>
      <c r="L2709"/>
    </row>
    <row r="2710" spans="1:12">
      <c r="A2710" s="95" t="s">
        <v>2088</v>
      </c>
      <c r="B2710" t="s">
        <v>5628</v>
      </c>
      <c r="C2710" s="87" t="s">
        <v>2113</v>
      </c>
      <c r="D2710" s="88"/>
      <c r="E2710" s="89">
        <v>62900103</v>
      </c>
      <c r="F2710"/>
      <c r="G2710" s="17" t="s">
        <v>2</v>
      </c>
      <c r="H2710" s="132"/>
      <c r="J2710"/>
      <c r="K2710"/>
      <c r="L2710"/>
    </row>
    <row r="2711" spans="1:12">
      <c r="A2711" s="95" t="s">
        <v>2088</v>
      </c>
      <c r="B2711" t="s">
        <v>5628</v>
      </c>
      <c r="C2711" s="87" t="s">
        <v>2114</v>
      </c>
      <c r="D2711" s="88"/>
      <c r="E2711" s="89">
        <v>64524919</v>
      </c>
      <c r="F2711"/>
      <c r="G2711" s="17" t="s">
        <v>6</v>
      </c>
      <c r="H2711" s="132"/>
      <c r="J2711"/>
      <c r="K2711"/>
      <c r="L2711"/>
    </row>
    <row r="2712" spans="1:12">
      <c r="A2712" s="95" t="s">
        <v>2088</v>
      </c>
      <c r="B2712" t="s">
        <v>5628</v>
      </c>
      <c r="C2712" s="87" t="s">
        <v>2115</v>
      </c>
      <c r="D2712" s="89" t="s">
        <v>5654</v>
      </c>
      <c r="E2712" s="89">
        <v>65578794</v>
      </c>
      <c r="F2712" s="99" t="s">
        <v>5655</v>
      </c>
      <c r="G2712" s="17" t="s">
        <v>1</v>
      </c>
      <c r="H2712" s="132"/>
      <c r="J2712"/>
      <c r="K2712"/>
      <c r="L2712"/>
    </row>
    <row r="2713" spans="1:12">
      <c r="A2713" s="95" t="s">
        <v>2088</v>
      </c>
      <c r="B2713" t="s">
        <v>5628</v>
      </c>
      <c r="C2713" s="87" t="s">
        <v>2116</v>
      </c>
      <c r="D2713" s="88"/>
      <c r="E2713" s="89">
        <v>7871468</v>
      </c>
      <c r="F2713"/>
      <c r="G2713" s="17" t="s">
        <v>4</v>
      </c>
      <c r="H2713" s="132"/>
      <c r="J2713"/>
      <c r="K2713"/>
      <c r="L2713" t="s">
        <v>5656</v>
      </c>
    </row>
    <row r="2714" spans="1:12">
      <c r="A2714" s="95" t="s">
        <v>2088</v>
      </c>
      <c r="B2714" t="s">
        <v>5628</v>
      </c>
      <c r="C2714" s="87" t="s">
        <v>2117</v>
      </c>
      <c r="D2714" s="89" t="s">
        <v>5657</v>
      </c>
      <c r="E2714" s="89">
        <v>64829242</v>
      </c>
      <c r="F2714" s="99" t="s">
        <v>5658</v>
      </c>
      <c r="G2714" s="17" t="s">
        <v>1</v>
      </c>
      <c r="H2714" s="132"/>
      <c r="J2714"/>
      <c r="K2714"/>
      <c r="L2714"/>
    </row>
    <row r="2715" spans="1:12">
      <c r="A2715" s="95" t="s">
        <v>2088</v>
      </c>
      <c r="B2715" t="s">
        <v>5628</v>
      </c>
      <c r="C2715" s="87" t="s">
        <v>2118</v>
      </c>
      <c r="D2715" s="88"/>
      <c r="E2715" s="89">
        <v>69936523</v>
      </c>
      <c r="F2715"/>
      <c r="G2715" s="17" t="s">
        <v>2</v>
      </c>
      <c r="H2715" s="132"/>
      <c r="J2715"/>
      <c r="K2715"/>
      <c r="L2715"/>
    </row>
    <row r="2716" spans="1:12">
      <c r="A2716" s="95" t="s">
        <v>2088</v>
      </c>
      <c r="B2716" t="s">
        <v>5628</v>
      </c>
      <c r="C2716" s="87" t="s">
        <v>2119</v>
      </c>
      <c r="D2716" s="89" t="s">
        <v>5659</v>
      </c>
      <c r="E2716" s="89">
        <v>62466109</v>
      </c>
      <c r="F2716"/>
      <c r="G2716" s="17" t="s">
        <v>1</v>
      </c>
      <c r="H2716" s="132"/>
      <c r="J2716"/>
      <c r="K2716"/>
      <c r="L2716"/>
    </row>
    <row r="2717" spans="1:12">
      <c r="A2717" s="95" t="s">
        <v>2088</v>
      </c>
      <c r="B2717" t="s">
        <v>5628</v>
      </c>
      <c r="C2717" s="87" t="s">
        <v>2120</v>
      </c>
      <c r="D2717" s="89" t="s">
        <v>5660</v>
      </c>
      <c r="E2717" s="89">
        <v>66034964</v>
      </c>
      <c r="F2717"/>
      <c r="G2717" s="17" t="s">
        <v>1</v>
      </c>
      <c r="H2717" s="132"/>
      <c r="J2717"/>
      <c r="K2717"/>
      <c r="L2717"/>
    </row>
    <row r="2718" spans="1:12">
      <c r="A2718" s="95" t="s">
        <v>2088</v>
      </c>
      <c r="B2718" t="s">
        <v>5628</v>
      </c>
      <c r="C2718" s="87" t="s">
        <v>2121</v>
      </c>
      <c r="D2718" s="88"/>
      <c r="E2718" s="89">
        <v>69854646</v>
      </c>
      <c r="F2718"/>
      <c r="G2718" s="17" t="s">
        <v>6</v>
      </c>
      <c r="H2718" s="132"/>
      <c r="J2718"/>
      <c r="K2718"/>
      <c r="L2718"/>
    </row>
    <row r="2719" spans="1:12">
      <c r="A2719" s="95" t="s">
        <v>2088</v>
      </c>
      <c r="B2719" t="s">
        <v>5628</v>
      </c>
      <c r="C2719" s="87" t="s">
        <v>2122</v>
      </c>
      <c r="D2719" s="89" t="s">
        <v>5661</v>
      </c>
      <c r="E2719" s="89">
        <v>69359791</v>
      </c>
      <c r="F2719"/>
      <c r="G2719" s="17" t="s">
        <v>3</v>
      </c>
      <c r="H2719" s="132"/>
      <c r="J2719"/>
      <c r="K2719"/>
      <c r="L2719"/>
    </row>
    <row r="2720" spans="1:12">
      <c r="A2720" s="95" t="s">
        <v>2088</v>
      </c>
      <c r="B2720" t="s">
        <v>5628</v>
      </c>
      <c r="C2720" s="87" t="s">
        <v>2123</v>
      </c>
      <c r="D2720" s="89" t="s">
        <v>5662</v>
      </c>
      <c r="E2720" s="89">
        <v>65045733</v>
      </c>
      <c r="F2720"/>
      <c r="G2720" s="17" t="s">
        <v>1</v>
      </c>
      <c r="H2720" s="132"/>
      <c r="J2720"/>
      <c r="K2720"/>
      <c r="L2720"/>
    </row>
    <row r="2721" spans="1:12">
      <c r="A2721" s="95" t="s">
        <v>2088</v>
      </c>
      <c r="B2721" t="s">
        <v>5628</v>
      </c>
      <c r="C2721" s="87" t="s">
        <v>2124</v>
      </c>
      <c r="D2721" s="88"/>
      <c r="E2721" s="89">
        <v>69225460</v>
      </c>
      <c r="F2721"/>
      <c r="G2721" s="17" t="s">
        <v>2</v>
      </c>
      <c r="H2721" s="132"/>
      <c r="J2721"/>
      <c r="K2721"/>
      <c r="L2721"/>
    </row>
    <row r="2722" spans="1:12">
      <c r="A2722" s="95" t="s">
        <v>2088</v>
      </c>
      <c r="B2722" t="s">
        <v>5628</v>
      </c>
      <c r="C2722" s="87" t="s">
        <v>2125</v>
      </c>
      <c r="D2722" s="89" t="s">
        <v>5663</v>
      </c>
      <c r="E2722" s="89">
        <v>7746901</v>
      </c>
      <c r="F2722"/>
      <c r="G2722" s="17" t="s">
        <v>3</v>
      </c>
      <c r="H2722" s="132"/>
      <c r="J2722"/>
      <c r="K2722"/>
      <c r="L2722"/>
    </row>
    <row r="2723" spans="1:12">
      <c r="A2723" s="95" t="s">
        <v>2088</v>
      </c>
      <c r="B2723" t="s">
        <v>5628</v>
      </c>
      <c r="C2723" s="87" t="s">
        <v>2127</v>
      </c>
      <c r="D2723" s="88"/>
      <c r="E2723" s="89">
        <v>7768655</v>
      </c>
      <c r="F2723"/>
      <c r="G2723" s="17" t="s">
        <v>5</v>
      </c>
      <c r="H2723" s="132"/>
      <c r="J2723"/>
      <c r="K2723"/>
      <c r="L2723"/>
    </row>
    <row r="2724" spans="1:12">
      <c r="A2724" s="95" t="s">
        <v>2088</v>
      </c>
      <c r="B2724" t="s">
        <v>5628</v>
      </c>
      <c r="C2724" s="87" t="s">
        <v>2128</v>
      </c>
      <c r="D2724" s="88"/>
      <c r="E2724" s="89">
        <v>64773782</v>
      </c>
      <c r="F2724"/>
      <c r="G2724" s="17" t="s">
        <v>6</v>
      </c>
      <c r="H2724" s="132"/>
      <c r="J2724"/>
      <c r="K2724"/>
      <c r="L2724"/>
    </row>
    <row r="2725" spans="1:12">
      <c r="A2725" s="95" t="s">
        <v>2088</v>
      </c>
      <c r="B2725" t="s">
        <v>5628</v>
      </c>
      <c r="C2725" s="87" t="s">
        <v>2129</v>
      </c>
      <c r="D2725" s="88"/>
      <c r="E2725" s="89">
        <v>65027325</v>
      </c>
      <c r="F2725"/>
      <c r="G2725" s="17" t="s">
        <v>6</v>
      </c>
      <c r="H2725" s="132"/>
      <c r="J2725"/>
      <c r="K2725"/>
      <c r="L2725"/>
    </row>
    <row r="2726" spans="1:12">
      <c r="A2726" s="95" t="s">
        <v>2088</v>
      </c>
      <c r="B2726" t="s">
        <v>5628</v>
      </c>
      <c r="C2726" s="87" t="s">
        <v>2130</v>
      </c>
      <c r="D2726" s="89" t="s">
        <v>5664</v>
      </c>
      <c r="E2726" s="89">
        <v>67281132</v>
      </c>
      <c r="F2726" s="99" t="s">
        <v>5665</v>
      </c>
      <c r="G2726" s="17" t="s">
        <v>1</v>
      </c>
      <c r="H2726" s="132"/>
      <c r="J2726"/>
      <c r="K2726"/>
      <c r="L2726"/>
    </row>
    <row r="2727" spans="1:12">
      <c r="A2727" s="95" t="s">
        <v>2088</v>
      </c>
      <c r="B2727" t="s">
        <v>5628</v>
      </c>
      <c r="C2727" s="87" t="s">
        <v>2131</v>
      </c>
      <c r="D2727" s="89" t="s">
        <v>5666</v>
      </c>
      <c r="E2727" s="89">
        <v>62253530</v>
      </c>
      <c r="F2727" s="99" t="s">
        <v>5667</v>
      </c>
      <c r="G2727" s="17" t="s">
        <v>1</v>
      </c>
      <c r="H2727" s="132"/>
      <c r="J2727"/>
      <c r="K2727"/>
      <c r="L2727"/>
    </row>
    <row r="2728" spans="1:12">
      <c r="A2728" s="95" t="s">
        <v>2088</v>
      </c>
      <c r="B2728" t="s">
        <v>5628</v>
      </c>
      <c r="C2728" s="87" t="s">
        <v>2132</v>
      </c>
      <c r="D2728" s="88"/>
      <c r="E2728" s="89">
        <v>68741524</v>
      </c>
      <c r="F2728"/>
      <c r="G2728" s="17" t="s">
        <v>2</v>
      </c>
      <c r="H2728" s="132"/>
      <c r="J2728"/>
      <c r="K2728"/>
      <c r="L2728"/>
    </row>
    <row r="2729" spans="1:12">
      <c r="A2729" s="95" t="s">
        <v>2088</v>
      </c>
      <c r="B2729" t="s">
        <v>5628</v>
      </c>
      <c r="C2729" s="87" t="s">
        <v>2133</v>
      </c>
      <c r="D2729" s="89" t="s">
        <v>5668</v>
      </c>
      <c r="E2729" s="89">
        <v>69109293</v>
      </c>
      <c r="F2729" s="99" t="s">
        <v>5669</v>
      </c>
      <c r="G2729" s="17" t="s">
        <v>1</v>
      </c>
      <c r="H2729" s="132"/>
      <c r="J2729"/>
      <c r="K2729"/>
      <c r="L2729"/>
    </row>
    <row r="2730" spans="1:12">
      <c r="A2730" s="95" t="s">
        <v>2088</v>
      </c>
      <c r="B2730" t="s">
        <v>5628</v>
      </c>
      <c r="C2730" s="87" t="s">
        <v>2135</v>
      </c>
      <c r="D2730" s="88"/>
      <c r="E2730" s="89">
        <v>7714874</v>
      </c>
      <c r="F2730"/>
      <c r="G2730" s="17" t="s">
        <v>4</v>
      </c>
      <c r="H2730" s="132"/>
      <c r="J2730"/>
      <c r="K2730"/>
      <c r="L2730" t="s">
        <v>5670</v>
      </c>
    </row>
    <row r="2731" spans="1:12">
      <c r="A2731" s="95" t="s">
        <v>2088</v>
      </c>
      <c r="B2731" t="s">
        <v>5628</v>
      </c>
      <c r="C2731" s="87" t="s">
        <v>2136</v>
      </c>
      <c r="D2731" s="88"/>
      <c r="E2731" s="89">
        <v>65326876</v>
      </c>
      <c r="F2731"/>
      <c r="G2731" s="17" t="s">
        <v>6</v>
      </c>
      <c r="H2731" s="132"/>
      <c r="J2731"/>
      <c r="K2731"/>
      <c r="L2731"/>
    </row>
    <row r="2732" spans="1:12">
      <c r="A2732" s="95" t="s">
        <v>2088</v>
      </c>
      <c r="B2732" t="s">
        <v>5628</v>
      </c>
      <c r="C2732" s="87" t="s">
        <v>2137</v>
      </c>
      <c r="D2732" s="88"/>
      <c r="E2732" s="89">
        <v>7884724</v>
      </c>
      <c r="F2732"/>
      <c r="G2732" s="17" t="s">
        <v>4</v>
      </c>
      <c r="H2732" s="132"/>
      <c r="J2732"/>
      <c r="K2732"/>
      <c r="L2732" t="s">
        <v>5671</v>
      </c>
    </row>
    <row r="2733" spans="1:12">
      <c r="A2733" s="95" t="s">
        <v>2088</v>
      </c>
      <c r="B2733" t="s">
        <v>5628</v>
      </c>
      <c r="C2733" s="87" t="s">
        <v>2138</v>
      </c>
      <c r="D2733" s="88"/>
      <c r="E2733" s="89">
        <v>64396853</v>
      </c>
      <c r="F2733"/>
      <c r="G2733" s="17" t="s">
        <v>6</v>
      </c>
      <c r="H2733" s="132"/>
      <c r="J2733"/>
      <c r="K2733"/>
      <c r="L2733"/>
    </row>
    <row r="2734" spans="1:12">
      <c r="A2734" s="95" t="s">
        <v>2088</v>
      </c>
      <c r="B2734" t="s">
        <v>5628</v>
      </c>
      <c r="C2734" s="87" t="s">
        <v>2139</v>
      </c>
      <c r="D2734" s="88"/>
      <c r="E2734" s="89">
        <v>68826900</v>
      </c>
      <c r="F2734"/>
      <c r="G2734" s="17" t="s">
        <v>6</v>
      </c>
      <c r="H2734" s="132"/>
      <c r="J2734"/>
      <c r="K2734"/>
      <c r="L2734"/>
    </row>
    <row r="2735" spans="1:12">
      <c r="A2735" s="95" t="s">
        <v>2088</v>
      </c>
      <c r="B2735" t="s">
        <v>5628</v>
      </c>
      <c r="C2735" s="87" t="s">
        <v>2140</v>
      </c>
      <c r="D2735" t="s">
        <v>5672</v>
      </c>
      <c r="E2735" s="89">
        <v>7092007</v>
      </c>
      <c r="F2735" s="99" t="s">
        <v>5673</v>
      </c>
      <c r="G2735" s="17" t="s">
        <v>1</v>
      </c>
      <c r="H2735" s="132"/>
      <c r="J2735"/>
      <c r="K2735"/>
      <c r="L2735"/>
    </row>
    <row r="2736" spans="1:12" ht="24">
      <c r="A2736" s="95" t="s">
        <v>2088</v>
      </c>
      <c r="B2736" t="s">
        <v>5628</v>
      </c>
      <c r="C2736" s="97" t="s">
        <v>2141</v>
      </c>
      <c r="D2736" s="89" t="s">
        <v>5674</v>
      </c>
      <c r="E2736" s="89">
        <v>7752109</v>
      </c>
      <c r="F2736" s="99" t="s">
        <v>5675</v>
      </c>
      <c r="G2736" s="17" t="s">
        <v>1</v>
      </c>
      <c r="H2736" s="132"/>
      <c r="J2736"/>
      <c r="K2736"/>
      <c r="L2736"/>
    </row>
    <row r="2737" spans="1:12">
      <c r="A2737" s="95" t="s">
        <v>2088</v>
      </c>
      <c r="B2737" t="s">
        <v>5628</v>
      </c>
      <c r="C2737" s="97" t="s">
        <v>2142</v>
      </c>
      <c r="D2737" s="89" t="s">
        <v>5676</v>
      </c>
      <c r="E2737" s="89" t="s">
        <v>5677</v>
      </c>
      <c r="F2737" s="99" t="s">
        <v>5678</v>
      </c>
      <c r="G2737" s="17" t="s">
        <v>1</v>
      </c>
      <c r="H2737" s="132"/>
      <c r="J2737"/>
      <c r="K2737"/>
      <c r="L2737"/>
    </row>
    <row r="2738" spans="1:12">
      <c r="A2738" s="95" t="s">
        <v>2088</v>
      </c>
      <c r="B2738" t="s">
        <v>5628</v>
      </c>
      <c r="C2738" s="97" t="s">
        <v>2143</v>
      </c>
      <c r="D2738" s="88"/>
      <c r="E2738" s="89">
        <v>7305598</v>
      </c>
      <c r="F2738"/>
      <c r="G2738" s="17" t="s">
        <v>4</v>
      </c>
      <c r="H2738" s="132"/>
      <c r="J2738"/>
      <c r="K2738"/>
      <c r="L2738" t="s">
        <v>5679</v>
      </c>
    </row>
    <row r="2739" spans="1:12">
      <c r="A2739" s="95" t="s">
        <v>2088</v>
      </c>
      <c r="B2739" t="s">
        <v>5628</v>
      </c>
      <c r="C2739" s="97" t="s">
        <v>2144</v>
      </c>
      <c r="D2739" s="150"/>
      <c r="E2739" s="89">
        <v>69037410</v>
      </c>
      <c r="F2739"/>
      <c r="G2739" s="17" t="s">
        <v>6</v>
      </c>
      <c r="H2739" s="132"/>
      <c r="J2739"/>
      <c r="K2739"/>
      <c r="L2739"/>
    </row>
    <row r="2740" spans="1:12" ht="24">
      <c r="A2740" s="95" t="s">
        <v>2088</v>
      </c>
      <c r="B2740" t="s">
        <v>5628</v>
      </c>
      <c r="C2740" s="97" t="s">
        <v>2145</v>
      </c>
      <c r="D2740" s="88"/>
      <c r="E2740" s="89">
        <v>7277710</v>
      </c>
      <c r="F2740"/>
      <c r="G2740" s="17" t="s">
        <v>5</v>
      </c>
      <c r="H2740" s="132"/>
      <c r="J2740"/>
      <c r="K2740"/>
      <c r="L2740" t="s">
        <v>5680</v>
      </c>
    </row>
    <row r="2741" spans="1:12">
      <c r="A2741" s="95" t="s">
        <v>2088</v>
      </c>
      <c r="B2741" t="s">
        <v>5628</v>
      </c>
      <c r="C2741" s="97" t="s">
        <v>2146</v>
      </c>
      <c r="D2741" s="88"/>
      <c r="E2741" s="89">
        <v>64484960</v>
      </c>
      <c r="F2741"/>
      <c r="G2741" s="17" t="s">
        <v>2</v>
      </c>
      <c r="H2741" s="132"/>
      <c r="J2741"/>
      <c r="K2741"/>
      <c r="L2741"/>
    </row>
    <row r="2742" spans="1:12">
      <c r="A2742" s="95" t="s">
        <v>2088</v>
      </c>
      <c r="B2742" t="s">
        <v>5628</v>
      </c>
      <c r="C2742" s="97" t="s">
        <v>2147</v>
      </c>
      <c r="D2742" s="88"/>
      <c r="E2742" s="89">
        <v>7706061</v>
      </c>
      <c r="F2742"/>
      <c r="G2742" s="17" t="s">
        <v>5</v>
      </c>
      <c r="H2742" s="132"/>
      <c r="J2742"/>
      <c r="K2742"/>
      <c r="L2742" t="s">
        <v>5680</v>
      </c>
    </row>
    <row r="2743" spans="1:12">
      <c r="A2743" s="95" t="s">
        <v>2088</v>
      </c>
      <c r="B2743" t="s">
        <v>5628</v>
      </c>
      <c r="C2743" s="97" t="s">
        <v>2148</v>
      </c>
      <c r="D2743" s="88"/>
      <c r="E2743" s="89">
        <v>69084071</v>
      </c>
      <c r="F2743"/>
      <c r="G2743" s="17" t="s">
        <v>4</v>
      </c>
      <c r="H2743" s="132"/>
      <c r="J2743"/>
      <c r="K2743"/>
      <c r="L2743" t="s">
        <v>5681</v>
      </c>
    </row>
    <row r="2744" spans="1:12">
      <c r="A2744" s="95" t="s">
        <v>2088</v>
      </c>
      <c r="B2744" t="s">
        <v>5628</v>
      </c>
      <c r="C2744" s="97" t="s">
        <v>2149</v>
      </c>
      <c r="D2744" s="88"/>
      <c r="E2744" s="89">
        <v>7098722</v>
      </c>
      <c r="F2744"/>
      <c r="G2744" s="17" t="s">
        <v>4</v>
      </c>
      <c r="H2744" s="132"/>
      <c r="J2744"/>
      <c r="K2744"/>
      <c r="L2744" t="s">
        <v>5682</v>
      </c>
    </row>
    <row r="2745" spans="1:12">
      <c r="A2745" s="95" t="s">
        <v>2088</v>
      </c>
      <c r="B2745" t="s">
        <v>5628</v>
      </c>
      <c r="C2745" s="97" t="s">
        <v>2150</v>
      </c>
      <c r="D2745" s="88"/>
      <c r="E2745" s="89">
        <v>7757128</v>
      </c>
      <c r="F2745"/>
      <c r="G2745" s="17" t="s">
        <v>6</v>
      </c>
      <c r="H2745" s="132"/>
      <c r="J2745"/>
      <c r="K2745"/>
      <c r="L2745"/>
    </row>
    <row r="2746" spans="1:12">
      <c r="A2746" s="95" t="s">
        <v>2088</v>
      </c>
      <c r="B2746" t="s">
        <v>5628</v>
      </c>
      <c r="C2746" s="97" t="s">
        <v>2151</v>
      </c>
      <c r="D2746" s="88"/>
      <c r="E2746" s="89">
        <v>7871323</v>
      </c>
      <c r="F2746"/>
      <c r="G2746" s="17" t="s">
        <v>5</v>
      </c>
      <c r="H2746" s="132"/>
      <c r="J2746"/>
      <c r="K2746"/>
      <c r="L2746" t="s">
        <v>5683</v>
      </c>
    </row>
    <row r="2747" spans="1:12">
      <c r="A2747" s="95" t="s">
        <v>2088</v>
      </c>
      <c r="B2747" t="s">
        <v>5628</v>
      </c>
      <c r="C2747" s="97" t="s">
        <v>2152</v>
      </c>
      <c r="D2747" s="88"/>
      <c r="E2747" s="89">
        <v>7888075</v>
      </c>
      <c r="F2747"/>
      <c r="G2747" s="17" t="s">
        <v>5</v>
      </c>
      <c r="H2747" s="132"/>
      <c r="J2747"/>
      <c r="K2747"/>
      <c r="L2747" t="s">
        <v>5684</v>
      </c>
    </row>
    <row r="2748" spans="1:12" ht="24">
      <c r="A2748" s="95" t="s">
        <v>2088</v>
      </c>
      <c r="B2748" t="s">
        <v>5628</v>
      </c>
      <c r="C2748" s="97" t="s">
        <v>2153</v>
      </c>
      <c r="D2748" s="88"/>
      <c r="E2748" s="89">
        <v>69214054</v>
      </c>
      <c r="F2748"/>
      <c r="G2748" s="17" t="s">
        <v>2</v>
      </c>
      <c r="H2748" s="132"/>
      <c r="J2748"/>
      <c r="K2748"/>
      <c r="L2748"/>
    </row>
    <row r="2749" spans="1:12">
      <c r="A2749" s="95" t="s">
        <v>2088</v>
      </c>
      <c r="B2749" t="s">
        <v>5628</v>
      </c>
      <c r="C2749" s="87" t="s">
        <v>2154</v>
      </c>
      <c r="D2749" s="88"/>
      <c r="E2749" s="89">
        <v>7270326</v>
      </c>
      <c r="F2749"/>
      <c r="G2749" s="17" t="s">
        <v>6</v>
      </c>
      <c r="H2749" s="132"/>
      <c r="J2749"/>
      <c r="K2749"/>
      <c r="L2749"/>
    </row>
    <row r="2750" spans="1:12">
      <c r="A2750" s="95" t="s">
        <v>2088</v>
      </c>
      <c r="B2750" t="s">
        <v>5628</v>
      </c>
      <c r="C2750" s="87" t="s">
        <v>2155</v>
      </c>
      <c r="D2750" s="88"/>
      <c r="E2750" s="89">
        <v>68889321</v>
      </c>
      <c r="F2750"/>
      <c r="G2750" s="17" t="s">
        <v>6</v>
      </c>
      <c r="H2750" s="132"/>
      <c r="J2750"/>
      <c r="K2750"/>
      <c r="L2750"/>
    </row>
    <row r="2751" spans="1:12">
      <c r="A2751" s="95" t="s">
        <v>2088</v>
      </c>
      <c r="B2751" t="s">
        <v>5628</v>
      </c>
      <c r="C2751" s="87" t="s">
        <v>2156</v>
      </c>
      <c r="D2751" s="89" t="s">
        <v>5685</v>
      </c>
      <c r="E2751" s="89">
        <v>66784538</v>
      </c>
      <c r="F2751" s="99" t="s">
        <v>5686</v>
      </c>
      <c r="G2751" s="17" t="s">
        <v>1</v>
      </c>
      <c r="H2751" s="132"/>
      <c r="J2751"/>
      <c r="K2751"/>
      <c r="L2751"/>
    </row>
    <row r="2752" spans="1:12">
      <c r="A2752" s="95" t="s">
        <v>2088</v>
      </c>
      <c r="B2752" t="s">
        <v>5628</v>
      </c>
      <c r="C2752" s="87" t="s">
        <v>2157</v>
      </c>
      <c r="D2752" s="88"/>
      <c r="E2752" s="89">
        <v>7719795</v>
      </c>
      <c r="F2752"/>
      <c r="G2752" s="17" t="s">
        <v>5</v>
      </c>
      <c r="H2752" s="132"/>
      <c r="J2752"/>
      <c r="K2752"/>
      <c r="L2752" t="s">
        <v>5687</v>
      </c>
    </row>
    <row r="2753" spans="1:12">
      <c r="A2753" s="95" t="s">
        <v>2088</v>
      </c>
      <c r="B2753" t="s">
        <v>5628</v>
      </c>
      <c r="C2753" s="87" t="s">
        <v>2158</v>
      </c>
      <c r="D2753" s="88"/>
      <c r="E2753" s="89">
        <v>65576588</v>
      </c>
      <c r="F2753"/>
      <c r="G2753" s="17" t="s">
        <v>6</v>
      </c>
      <c r="H2753" s="132"/>
      <c r="J2753"/>
      <c r="K2753"/>
      <c r="L2753"/>
    </row>
    <row r="2754" spans="1:12">
      <c r="A2754" s="95" t="s">
        <v>2088</v>
      </c>
      <c r="B2754" t="s">
        <v>5628</v>
      </c>
      <c r="C2754" s="87" t="s">
        <v>2159</v>
      </c>
      <c r="D2754" s="88"/>
      <c r="E2754" s="89">
        <v>65543060</v>
      </c>
      <c r="F2754"/>
      <c r="G2754" s="17" t="s">
        <v>6</v>
      </c>
      <c r="H2754" s="132"/>
      <c r="J2754"/>
      <c r="K2754"/>
      <c r="L2754"/>
    </row>
    <row r="2755" spans="1:12">
      <c r="A2755" s="95" t="s">
        <v>2088</v>
      </c>
      <c r="B2755" t="s">
        <v>5628</v>
      </c>
      <c r="C2755" s="87" t="s">
        <v>2160</v>
      </c>
      <c r="D2755" s="88"/>
      <c r="E2755" s="89">
        <v>63243386</v>
      </c>
      <c r="F2755"/>
      <c r="G2755" s="17" t="s">
        <v>4</v>
      </c>
      <c r="H2755" s="132"/>
      <c r="J2755"/>
      <c r="K2755"/>
      <c r="L2755" t="s">
        <v>5688</v>
      </c>
    </row>
    <row r="2756" spans="1:12">
      <c r="A2756" s="95" t="s">
        <v>2088</v>
      </c>
      <c r="B2756" t="s">
        <v>5628</v>
      </c>
      <c r="C2756" s="87" t="s">
        <v>2161</v>
      </c>
      <c r="D2756" s="89" t="s">
        <v>5689</v>
      </c>
      <c r="E2756" s="89">
        <v>68659068</v>
      </c>
      <c r="F2756" s="99" t="s">
        <v>5690</v>
      </c>
      <c r="G2756" s="17" t="s">
        <v>1</v>
      </c>
      <c r="H2756" s="132"/>
      <c r="J2756"/>
      <c r="K2756"/>
      <c r="L2756"/>
    </row>
    <row r="2757" spans="1:12">
      <c r="A2757" s="95" t="s">
        <v>2088</v>
      </c>
      <c r="B2757" t="s">
        <v>5628</v>
      </c>
      <c r="C2757" s="87" t="s">
        <v>2162</v>
      </c>
      <c r="D2757" s="89" t="s">
        <v>5691</v>
      </c>
      <c r="E2757" s="89">
        <v>62033755</v>
      </c>
      <c r="F2757" s="99" t="s">
        <v>5692</v>
      </c>
      <c r="G2757" s="17" t="s">
        <v>1</v>
      </c>
      <c r="H2757" s="132"/>
      <c r="J2757"/>
      <c r="K2757"/>
      <c r="L2757"/>
    </row>
    <row r="2758" spans="1:12">
      <c r="A2758" s="95" t="s">
        <v>2088</v>
      </c>
      <c r="B2758" t="s">
        <v>5628</v>
      </c>
      <c r="C2758" s="87" t="s">
        <v>2163</v>
      </c>
      <c r="D2758" s="89" t="s">
        <v>5693</v>
      </c>
      <c r="E2758" s="89">
        <v>66441015</v>
      </c>
      <c r="F2758"/>
      <c r="G2758" s="17" t="s">
        <v>1</v>
      </c>
      <c r="H2758" s="132"/>
      <c r="J2758"/>
      <c r="K2758"/>
      <c r="L2758"/>
    </row>
    <row r="2759" spans="1:12">
      <c r="A2759" s="95" t="s">
        <v>2088</v>
      </c>
      <c r="B2759" t="s">
        <v>5628</v>
      </c>
      <c r="C2759" s="87" t="s">
        <v>2164</v>
      </c>
      <c r="D2759" s="89" t="s">
        <v>5694</v>
      </c>
      <c r="E2759" s="89">
        <v>64723829</v>
      </c>
      <c r="F2759"/>
      <c r="G2759" s="17" t="s">
        <v>1</v>
      </c>
      <c r="H2759" s="132"/>
      <c r="J2759"/>
      <c r="K2759"/>
      <c r="L2759"/>
    </row>
    <row r="2760" spans="1:12">
      <c r="A2760" s="95" t="s">
        <v>2088</v>
      </c>
      <c r="B2760" t="s">
        <v>5628</v>
      </c>
      <c r="C2760" s="87" t="s">
        <v>2165</v>
      </c>
      <c r="D2760" s="88"/>
      <c r="E2760" s="89">
        <v>68103187</v>
      </c>
      <c r="F2760"/>
      <c r="G2760" s="17" t="s">
        <v>6</v>
      </c>
      <c r="H2760" s="132"/>
      <c r="J2760"/>
      <c r="K2760"/>
      <c r="L2760"/>
    </row>
    <row r="2761" spans="1:12">
      <c r="A2761" s="95" t="s">
        <v>2088</v>
      </c>
      <c r="B2761" t="s">
        <v>5628</v>
      </c>
      <c r="C2761" s="87" t="s">
        <v>2166</v>
      </c>
      <c r="D2761" s="88"/>
      <c r="E2761" s="89">
        <v>67789880</v>
      </c>
      <c r="F2761"/>
      <c r="G2761" s="17" t="s">
        <v>2</v>
      </c>
      <c r="H2761" s="132"/>
      <c r="J2761"/>
      <c r="K2761"/>
      <c r="L2761"/>
    </row>
    <row r="2762" spans="1:12">
      <c r="A2762" s="95" t="s">
        <v>2088</v>
      </c>
      <c r="B2762" t="s">
        <v>5628</v>
      </c>
      <c r="C2762" s="87" t="s">
        <v>2167</v>
      </c>
      <c r="D2762" s="88"/>
      <c r="E2762" s="89">
        <v>66230109</v>
      </c>
      <c r="F2762"/>
      <c r="G2762" s="17" t="s">
        <v>2</v>
      </c>
      <c r="H2762" s="132"/>
      <c r="J2762"/>
      <c r="K2762"/>
      <c r="L2762"/>
    </row>
    <row r="2763" spans="1:12">
      <c r="A2763" s="95" t="s">
        <v>2088</v>
      </c>
      <c r="B2763" t="s">
        <v>5628</v>
      </c>
      <c r="C2763" s="87" t="s">
        <v>2168</v>
      </c>
      <c r="D2763" s="88"/>
      <c r="E2763" s="89">
        <v>67356128</v>
      </c>
      <c r="F2763"/>
      <c r="G2763" s="17" t="s">
        <v>2</v>
      </c>
      <c r="H2763" s="132"/>
      <c r="J2763"/>
      <c r="K2763"/>
      <c r="L2763"/>
    </row>
    <row r="2764" spans="1:12">
      <c r="A2764" s="95" t="s">
        <v>2088</v>
      </c>
      <c r="B2764" t="s">
        <v>5628</v>
      </c>
      <c r="C2764" s="87" t="s">
        <v>2169</v>
      </c>
      <c r="D2764" s="89" t="s">
        <v>5695</v>
      </c>
      <c r="E2764" s="89">
        <v>7307538</v>
      </c>
      <c r="F2764"/>
      <c r="G2764" s="17" t="s">
        <v>3</v>
      </c>
      <c r="H2764" s="132"/>
      <c r="J2764"/>
      <c r="K2764"/>
      <c r="L2764"/>
    </row>
    <row r="2765" spans="1:12">
      <c r="A2765" s="95" t="s">
        <v>2088</v>
      </c>
      <c r="B2765" t="s">
        <v>5628</v>
      </c>
      <c r="C2765" s="87" t="s">
        <v>2170</v>
      </c>
      <c r="D2765" s="88"/>
      <c r="E2765" s="89" t="s">
        <v>5696</v>
      </c>
      <c r="F2765"/>
      <c r="G2765" s="17" t="s">
        <v>6</v>
      </c>
      <c r="H2765" s="132"/>
      <c r="J2765"/>
      <c r="K2765"/>
      <c r="L2765"/>
    </row>
    <row r="2766" spans="1:12">
      <c r="A2766" s="95" t="s">
        <v>2088</v>
      </c>
      <c r="B2766" t="s">
        <v>5628</v>
      </c>
      <c r="C2766" s="87" t="s">
        <v>2171</v>
      </c>
      <c r="D2766" s="88"/>
      <c r="E2766" s="89">
        <v>69939845</v>
      </c>
      <c r="F2766"/>
      <c r="G2766" s="17" t="s">
        <v>4</v>
      </c>
      <c r="H2766" s="132"/>
      <c r="J2766"/>
      <c r="K2766"/>
      <c r="L2766" t="s">
        <v>5697</v>
      </c>
    </row>
    <row r="2767" spans="1:12">
      <c r="A2767" s="95" t="s">
        <v>2088</v>
      </c>
      <c r="B2767" t="s">
        <v>5628</v>
      </c>
      <c r="C2767" s="87" t="s">
        <v>2172</v>
      </c>
      <c r="D2767" s="88"/>
      <c r="E2767" s="89">
        <v>64045952</v>
      </c>
      <c r="F2767"/>
      <c r="G2767" s="17" t="s">
        <v>2</v>
      </c>
      <c r="H2767" s="132"/>
      <c r="J2767"/>
      <c r="K2767"/>
      <c r="L2767" t="s">
        <v>5698</v>
      </c>
    </row>
    <row r="2768" spans="1:12">
      <c r="A2768" s="95" t="s">
        <v>2088</v>
      </c>
      <c r="B2768" t="s">
        <v>5628</v>
      </c>
      <c r="C2768" s="87" t="s">
        <v>2173</v>
      </c>
      <c r="D2768" s="88"/>
      <c r="E2768" s="89">
        <v>62501735</v>
      </c>
      <c r="F2768"/>
      <c r="G2768" s="17" t="s">
        <v>2</v>
      </c>
      <c r="H2768" s="132"/>
      <c r="J2768"/>
      <c r="K2768"/>
      <c r="L2768"/>
    </row>
    <row r="2769" spans="1:12">
      <c r="A2769" s="95" t="s">
        <v>2088</v>
      </c>
      <c r="B2769" t="s">
        <v>5628</v>
      </c>
      <c r="C2769" s="87" t="s">
        <v>2174</v>
      </c>
      <c r="D2769" s="88" t="s">
        <v>5699</v>
      </c>
      <c r="E2769" s="89">
        <v>69043639</v>
      </c>
      <c r="F2769" s="99" t="s">
        <v>5700</v>
      </c>
      <c r="G2769" s="17" t="s">
        <v>1</v>
      </c>
      <c r="H2769" s="132"/>
      <c r="J2769"/>
      <c r="K2769"/>
      <c r="L2769"/>
    </row>
    <row r="2770" spans="1:12" ht="24">
      <c r="A2770" s="95" t="s">
        <v>2088</v>
      </c>
      <c r="B2770" t="s">
        <v>5628</v>
      </c>
      <c r="C2770" s="97" t="s">
        <v>2175</v>
      </c>
      <c r="D2770" s="88"/>
      <c r="E2770" s="89">
        <v>65269414</v>
      </c>
      <c r="F2770"/>
      <c r="G2770" s="17" t="s">
        <v>6</v>
      </c>
      <c r="H2770" s="132"/>
      <c r="J2770"/>
      <c r="K2770"/>
      <c r="L2770"/>
    </row>
    <row r="2771" spans="1:12">
      <c r="A2771" s="95" t="s">
        <v>2088</v>
      </c>
      <c r="B2771" t="s">
        <v>5628</v>
      </c>
      <c r="C2771" s="87" t="s">
        <v>2176</v>
      </c>
      <c r="D2771" s="88"/>
      <c r="E2771" s="89">
        <v>67872500</v>
      </c>
      <c r="F2771"/>
      <c r="G2771" s="17" t="s">
        <v>2</v>
      </c>
      <c r="H2771" s="132"/>
      <c r="J2771"/>
      <c r="K2771"/>
      <c r="L2771"/>
    </row>
    <row r="2772" spans="1:12">
      <c r="A2772" s="95" t="s">
        <v>2088</v>
      </c>
      <c r="B2772" t="s">
        <v>5628</v>
      </c>
      <c r="C2772" s="87" t="s">
        <v>2177</v>
      </c>
      <c r="D2772" s="88"/>
      <c r="E2772" s="89">
        <v>67259884</v>
      </c>
      <c r="F2772"/>
      <c r="G2772" s="17" t="s">
        <v>2</v>
      </c>
      <c r="H2772" s="132"/>
      <c r="J2772"/>
      <c r="K2772"/>
      <c r="L2772"/>
    </row>
    <row r="2773" spans="1:12">
      <c r="A2773" s="95" t="s">
        <v>2088</v>
      </c>
      <c r="B2773" t="s">
        <v>5628</v>
      </c>
      <c r="C2773" s="87" t="s">
        <v>2178</v>
      </c>
      <c r="D2773" s="88"/>
      <c r="E2773" s="89">
        <v>64438850</v>
      </c>
      <c r="F2773"/>
      <c r="G2773" s="17" t="s">
        <v>2</v>
      </c>
      <c r="H2773" s="132"/>
      <c r="J2773"/>
      <c r="K2773"/>
      <c r="L2773"/>
    </row>
    <row r="2774" spans="1:12">
      <c r="A2774" s="95" t="s">
        <v>2088</v>
      </c>
      <c r="B2774" t="s">
        <v>5628</v>
      </c>
      <c r="C2774" s="87" t="s">
        <v>2179</v>
      </c>
      <c r="D2774" s="88"/>
      <c r="E2774" s="89">
        <v>7788252</v>
      </c>
      <c r="F2774"/>
      <c r="G2774" s="17" t="s">
        <v>9</v>
      </c>
      <c r="H2774" s="132"/>
      <c r="J2774"/>
      <c r="K2774"/>
      <c r="L2774"/>
    </row>
    <row r="2775" spans="1:12">
      <c r="A2775" s="95" t="s">
        <v>2088</v>
      </c>
      <c r="B2775" t="s">
        <v>5628</v>
      </c>
      <c r="C2775" s="87" t="s">
        <v>2180</v>
      </c>
      <c r="D2775" s="88"/>
      <c r="E2775" s="89">
        <v>62935677</v>
      </c>
      <c r="F2775"/>
      <c r="G2775" s="17" t="s">
        <v>6</v>
      </c>
      <c r="H2775" s="132"/>
      <c r="J2775"/>
      <c r="K2775"/>
      <c r="L2775"/>
    </row>
    <row r="2776" spans="1:12">
      <c r="A2776" s="95" t="s">
        <v>2088</v>
      </c>
      <c r="B2776" t="s">
        <v>5628</v>
      </c>
      <c r="C2776" s="87" t="s">
        <v>2181</v>
      </c>
      <c r="D2776" s="88"/>
      <c r="E2776" s="89">
        <v>65699625</v>
      </c>
      <c r="F2776"/>
      <c r="G2776" s="17" t="s">
        <v>3</v>
      </c>
      <c r="H2776" s="132"/>
      <c r="J2776"/>
      <c r="K2776"/>
      <c r="L2776"/>
    </row>
    <row r="2777" spans="1:12">
      <c r="A2777" s="95" t="s">
        <v>2088</v>
      </c>
      <c r="B2777" t="s">
        <v>5628</v>
      </c>
      <c r="C2777" s="87" t="s">
        <v>2182</v>
      </c>
      <c r="D2777" s="88"/>
      <c r="E2777" s="89">
        <v>7772373</v>
      </c>
      <c r="F2777"/>
      <c r="G2777" s="17" t="s">
        <v>8</v>
      </c>
      <c r="H2777" s="132"/>
      <c r="J2777"/>
      <c r="K2777"/>
      <c r="L2777"/>
    </row>
    <row r="2778" spans="1:12">
      <c r="A2778" s="95" t="s">
        <v>2088</v>
      </c>
      <c r="B2778" t="s">
        <v>5628</v>
      </c>
      <c r="C2778" s="87" t="s">
        <v>2183</v>
      </c>
      <c r="D2778" s="88"/>
      <c r="E2778" s="89">
        <v>7277732</v>
      </c>
      <c r="F2778"/>
      <c r="G2778" s="17" t="s">
        <v>9</v>
      </c>
      <c r="H2778" s="132"/>
      <c r="J2778"/>
      <c r="K2778"/>
      <c r="L2778"/>
    </row>
    <row r="2779" spans="1:12">
      <c r="A2779" s="95" t="s">
        <v>2088</v>
      </c>
      <c r="B2779" t="s">
        <v>5628</v>
      </c>
      <c r="C2779" s="87" t="s">
        <v>2184</v>
      </c>
      <c r="D2779" s="88"/>
      <c r="E2779" s="89">
        <v>7746642</v>
      </c>
      <c r="F2779"/>
      <c r="G2779" s="17" t="s">
        <v>1</v>
      </c>
      <c r="H2779" s="132"/>
      <c r="J2779"/>
      <c r="K2779"/>
      <c r="L2779"/>
    </row>
    <row r="2780" spans="1:12">
      <c r="A2780" s="95" t="s">
        <v>2088</v>
      </c>
      <c r="B2780" t="s">
        <v>5628</v>
      </c>
      <c r="C2780" s="87" t="s">
        <v>2185</v>
      </c>
      <c r="D2780" s="88"/>
      <c r="E2780" s="89">
        <v>64907225</v>
      </c>
      <c r="F2780"/>
      <c r="G2780" s="17" t="s">
        <v>1</v>
      </c>
      <c r="H2780" s="132"/>
      <c r="J2780"/>
      <c r="K2780"/>
      <c r="L2780"/>
    </row>
    <row r="2781" spans="1:12">
      <c r="A2781" s="95" t="s">
        <v>2088</v>
      </c>
      <c r="B2781" t="s">
        <v>5628</v>
      </c>
      <c r="C2781" s="87" t="s">
        <v>2186</v>
      </c>
      <c r="D2781" s="88"/>
      <c r="E2781" s="89">
        <v>62940612</v>
      </c>
      <c r="F2781"/>
      <c r="G2781" s="17" t="s">
        <v>9</v>
      </c>
      <c r="H2781" s="132"/>
      <c r="J2781"/>
      <c r="K2781"/>
      <c r="L2781"/>
    </row>
    <row r="2782" spans="1:12">
      <c r="A2782" s="95" t="s">
        <v>2088</v>
      </c>
      <c r="B2782" t="s">
        <v>5628</v>
      </c>
      <c r="C2782" s="87" t="s">
        <v>2187</v>
      </c>
      <c r="D2782" s="88"/>
      <c r="E2782" s="89">
        <v>63445436</v>
      </c>
      <c r="F2782"/>
      <c r="G2782" s="17" t="s">
        <v>4</v>
      </c>
      <c r="H2782" s="132"/>
      <c r="J2782"/>
      <c r="K2782"/>
      <c r="L2782"/>
    </row>
    <row r="2783" spans="1:12">
      <c r="A2783" s="95" t="s">
        <v>2088</v>
      </c>
      <c r="B2783" t="s">
        <v>5628</v>
      </c>
      <c r="C2783" s="87" t="s">
        <v>2188</v>
      </c>
      <c r="D2783" s="88"/>
      <c r="E2783" s="89">
        <v>67964069</v>
      </c>
      <c r="F2783"/>
      <c r="G2783" s="17" t="s">
        <v>1</v>
      </c>
      <c r="H2783" s="132"/>
      <c r="J2783"/>
      <c r="K2783"/>
      <c r="L2783"/>
    </row>
    <row r="2784" spans="1:12">
      <c r="A2784" s="95" t="s">
        <v>2088</v>
      </c>
      <c r="B2784" t="s">
        <v>5628</v>
      </c>
      <c r="C2784" s="87" t="s">
        <v>2189</v>
      </c>
      <c r="D2784" s="88"/>
      <c r="E2784" s="89">
        <v>7743655</v>
      </c>
      <c r="F2784"/>
      <c r="G2784" s="17" t="s">
        <v>9</v>
      </c>
      <c r="H2784" s="132"/>
      <c r="J2784"/>
      <c r="K2784"/>
      <c r="L2784"/>
    </row>
    <row r="2785" spans="1:12">
      <c r="A2785" s="95" t="s">
        <v>2088</v>
      </c>
      <c r="B2785" t="s">
        <v>5628</v>
      </c>
      <c r="C2785" s="87" t="s">
        <v>2190</v>
      </c>
      <c r="D2785" s="88" t="s">
        <v>5701</v>
      </c>
      <c r="E2785" s="89">
        <v>63657458</v>
      </c>
      <c r="F2785"/>
      <c r="G2785" s="17" t="s">
        <v>1</v>
      </c>
      <c r="H2785" s="132"/>
      <c r="J2785"/>
      <c r="K2785"/>
      <c r="L2785"/>
    </row>
    <row r="2786" spans="1:12">
      <c r="A2786" s="95" t="s">
        <v>2088</v>
      </c>
      <c r="B2786" t="s">
        <v>5628</v>
      </c>
      <c r="C2786" s="87" t="s">
        <v>2191</v>
      </c>
      <c r="D2786" s="88"/>
      <c r="E2786" s="89">
        <v>68479349</v>
      </c>
      <c r="F2786"/>
      <c r="G2786" s="17" t="s">
        <v>2</v>
      </c>
      <c r="H2786" s="132"/>
      <c r="J2786"/>
      <c r="K2786"/>
      <c r="L2786"/>
    </row>
    <row r="2787" spans="1:12">
      <c r="A2787" s="95" t="s">
        <v>2088</v>
      </c>
      <c r="B2787" t="s">
        <v>5628</v>
      </c>
      <c r="C2787" s="87" t="s">
        <v>2192</v>
      </c>
      <c r="D2787" s="88"/>
      <c r="E2787" s="89">
        <v>62369497</v>
      </c>
      <c r="F2787"/>
      <c r="G2787" s="17" t="s">
        <v>6</v>
      </c>
      <c r="H2787" s="132"/>
      <c r="J2787"/>
      <c r="K2787"/>
      <c r="L2787"/>
    </row>
    <row r="2788" spans="1:12">
      <c r="A2788" s="95" t="s">
        <v>2088</v>
      </c>
      <c r="B2788" t="s">
        <v>5628</v>
      </c>
      <c r="C2788" s="87" t="s">
        <v>2193</v>
      </c>
      <c r="D2788" s="88"/>
      <c r="E2788" s="89">
        <v>62257435</v>
      </c>
      <c r="F2788"/>
      <c r="G2788" s="17" t="s">
        <v>2</v>
      </c>
      <c r="H2788" s="132"/>
      <c r="J2788"/>
      <c r="K2788"/>
      <c r="L2788"/>
    </row>
    <row r="2789" spans="1:12">
      <c r="A2789" s="95" t="s">
        <v>2088</v>
      </c>
      <c r="B2789" t="s">
        <v>5628</v>
      </c>
      <c r="C2789" s="87" t="s">
        <v>2194</v>
      </c>
      <c r="D2789" s="88"/>
      <c r="E2789" s="89">
        <v>62366965</v>
      </c>
      <c r="F2789"/>
      <c r="G2789" s="17" t="s">
        <v>1</v>
      </c>
      <c r="H2789" s="132"/>
      <c r="J2789"/>
      <c r="K2789"/>
      <c r="L2789"/>
    </row>
    <row r="2790" spans="1:12">
      <c r="A2790" s="95" t="s">
        <v>2088</v>
      </c>
      <c r="B2790" t="s">
        <v>5628</v>
      </c>
      <c r="C2790" s="87" t="s">
        <v>2195</v>
      </c>
      <c r="D2790" s="88"/>
      <c r="E2790" s="89">
        <v>69411080</v>
      </c>
      <c r="F2790"/>
      <c r="G2790" s="17" t="s">
        <v>3</v>
      </c>
      <c r="H2790" s="132"/>
      <c r="J2790"/>
      <c r="K2790"/>
      <c r="L2790"/>
    </row>
    <row r="2791" spans="1:12" ht="24">
      <c r="A2791" s="95" t="s">
        <v>2088</v>
      </c>
      <c r="B2791" t="s">
        <v>5702</v>
      </c>
      <c r="C2791" s="97" t="s">
        <v>2196</v>
      </c>
      <c r="D2791" s="100" t="s">
        <v>5703</v>
      </c>
      <c r="E2791" s="89">
        <v>68148452</v>
      </c>
      <c r="F2791" s="101" t="s">
        <v>5704</v>
      </c>
      <c r="G2791" s="102" t="s">
        <v>1</v>
      </c>
      <c r="H2791" s="103">
        <v>46084</v>
      </c>
      <c r="I2791" s="105" t="s">
        <v>5705</v>
      </c>
      <c r="J2791"/>
      <c r="K2791"/>
      <c r="L2791"/>
    </row>
    <row r="2792" spans="1:12">
      <c r="A2792" s="95" t="s">
        <v>2088</v>
      </c>
      <c r="B2792" t="s">
        <v>5702</v>
      </c>
      <c r="C2792" s="87" t="s">
        <v>2197</v>
      </c>
      <c r="D2792" s="88"/>
      <c r="E2792" s="89">
        <v>64815558</v>
      </c>
      <c r="F2792"/>
      <c r="G2792" s="17" t="s">
        <v>2</v>
      </c>
      <c r="H2792" s="132">
        <v>46084</v>
      </c>
      <c r="I2792" s="127" t="s">
        <v>5706</v>
      </c>
      <c r="J2792"/>
      <c r="K2792"/>
      <c r="L2792"/>
    </row>
    <row r="2793" spans="1:12">
      <c r="A2793" s="95" t="s">
        <v>2088</v>
      </c>
      <c r="B2793" t="s">
        <v>5702</v>
      </c>
      <c r="C2793" s="87" t="s">
        <v>2198</v>
      </c>
      <c r="D2793" s="88"/>
      <c r="E2793" s="89">
        <v>68363598</v>
      </c>
      <c r="F2793"/>
      <c r="G2793" s="17" t="s">
        <v>3</v>
      </c>
      <c r="H2793" s="132">
        <v>46084</v>
      </c>
      <c r="I2793" s="127" t="s">
        <v>5707</v>
      </c>
      <c r="J2793"/>
      <c r="K2793"/>
      <c r="L2793" t="s">
        <v>5708</v>
      </c>
    </row>
    <row r="2794" spans="1:12">
      <c r="A2794" s="95" t="s">
        <v>2088</v>
      </c>
      <c r="B2794" t="s">
        <v>5702</v>
      </c>
      <c r="C2794" s="87" t="s">
        <v>2199</v>
      </c>
      <c r="D2794" s="88"/>
      <c r="E2794" s="89">
        <v>69878899</v>
      </c>
      <c r="F2794"/>
      <c r="G2794" s="17" t="s">
        <v>6</v>
      </c>
      <c r="H2794" s="132">
        <v>46084</v>
      </c>
      <c r="I2794" s="127" t="s">
        <v>5709</v>
      </c>
      <c r="J2794"/>
      <c r="K2794"/>
      <c r="L2794"/>
    </row>
    <row r="2795" spans="1:12" ht="24">
      <c r="A2795" s="95" t="s">
        <v>2088</v>
      </c>
      <c r="B2795" t="s">
        <v>5702</v>
      </c>
      <c r="C2795" s="97" t="s">
        <v>2200</v>
      </c>
      <c r="D2795" s="88" t="s">
        <v>5710</v>
      </c>
      <c r="E2795" s="89">
        <v>7766878</v>
      </c>
      <c r="F2795" s="99" t="s">
        <v>5711</v>
      </c>
      <c r="G2795" s="17" t="s">
        <v>7</v>
      </c>
      <c r="H2795" s="132">
        <v>46084</v>
      </c>
      <c r="I2795" s="127" t="s">
        <v>5712</v>
      </c>
      <c r="J2795"/>
      <c r="K2795"/>
      <c r="L2795"/>
    </row>
    <row r="2796" spans="1:12">
      <c r="A2796" s="95" t="s">
        <v>2088</v>
      </c>
      <c r="B2796" t="s">
        <v>5702</v>
      </c>
      <c r="C2796" s="87" t="s">
        <v>2201</v>
      </c>
      <c r="D2796" s="88" t="s">
        <v>5713</v>
      </c>
      <c r="E2796" s="89">
        <v>64347909</v>
      </c>
      <c r="F2796" s="99" t="s">
        <v>5714</v>
      </c>
      <c r="G2796" s="17" t="s">
        <v>7</v>
      </c>
      <c r="H2796" s="132">
        <v>46084</v>
      </c>
      <c r="I2796" s="127" t="s">
        <v>5715</v>
      </c>
      <c r="J2796"/>
      <c r="K2796"/>
      <c r="L2796"/>
    </row>
    <row r="2797" spans="1:12">
      <c r="A2797" s="95" t="s">
        <v>2088</v>
      </c>
      <c r="B2797" t="s">
        <v>5702</v>
      </c>
      <c r="C2797" s="87" t="s">
        <v>2202</v>
      </c>
      <c r="D2797" s="88" t="s">
        <v>5716</v>
      </c>
      <c r="E2797" s="89">
        <v>68535397</v>
      </c>
      <c r="F2797"/>
      <c r="G2797" s="17" t="s">
        <v>3</v>
      </c>
      <c r="H2797" s="132">
        <v>46084</v>
      </c>
      <c r="I2797" s="127" t="s">
        <v>5717</v>
      </c>
      <c r="J2797"/>
      <c r="K2797"/>
      <c r="L2797" t="s">
        <v>5718</v>
      </c>
    </row>
    <row r="2798" spans="1:12">
      <c r="A2798" s="95" t="s">
        <v>2088</v>
      </c>
      <c r="B2798" t="s">
        <v>5702</v>
      </c>
      <c r="C2798" s="87" t="s">
        <v>2203</v>
      </c>
      <c r="D2798" s="88"/>
      <c r="E2798" s="89">
        <v>60985110</v>
      </c>
      <c r="F2798"/>
      <c r="G2798" s="17" t="s">
        <v>6</v>
      </c>
      <c r="H2798" s="132">
        <v>46084</v>
      </c>
      <c r="I2798" s="127" t="s">
        <v>5719</v>
      </c>
      <c r="J2798"/>
      <c r="K2798"/>
      <c r="L2798"/>
    </row>
    <row r="2799" spans="1:12">
      <c r="A2799" s="95" t="s">
        <v>2088</v>
      </c>
      <c r="B2799" t="s">
        <v>5702</v>
      </c>
      <c r="C2799" s="87" t="s">
        <v>2204</v>
      </c>
      <c r="D2799" s="88" t="s">
        <v>5720</v>
      </c>
      <c r="E2799" s="89">
        <v>69759291</v>
      </c>
      <c r="F2799"/>
      <c r="G2799" s="17" t="s">
        <v>3</v>
      </c>
      <c r="H2799" s="132">
        <v>46084</v>
      </c>
      <c r="I2799" s="127" t="s">
        <v>5721</v>
      </c>
      <c r="J2799"/>
      <c r="K2799"/>
      <c r="L2799" t="s">
        <v>5722</v>
      </c>
    </row>
    <row r="2800" spans="1:12">
      <c r="A2800" s="95" t="s">
        <v>2088</v>
      </c>
      <c r="B2800" t="s">
        <v>5702</v>
      </c>
      <c r="C2800" s="87" t="s">
        <v>2205</v>
      </c>
      <c r="D2800" s="88" t="s">
        <v>5723</v>
      </c>
      <c r="E2800" s="89">
        <v>64260990</v>
      </c>
      <c r="F2800"/>
      <c r="G2800" s="17" t="s">
        <v>3</v>
      </c>
      <c r="H2800" s="132">
        <v>46084</v>
      </c>
      <c r="I2800" s="127" t="s">
        <v>5724</v>
      </c>
      <c r="J2800"/>
      <c r="K2800"/>
      <c r="L2800"/>
    </row>
    <row r="2801" spans="1:12">
      <c r="A2801" s="95" t="s">
        <v>2088</v>
      </c>
      <c r="B2801" t="s">
        <v>5702</v>
      </c>
      <c r="C2801" s="87" t="s">
        <v>2206</v>
      </c>
      <c r="D2801" s="88"/>
      <c r="E2801" s="89">
        <v>7751679</v>
      </c>
      <c r="F2801"/>
      <c r="G2801" s="17" t="s">
        <v>2</v>
      </c>
      <c r="H2801" s="132">
        <v>46084</v>
      </c>
      <c r="I2801" s="127" t="s">
        <v>5725</v>
      </c>
      <c r="J2801"/>
      <c r="K2801"/>
      <c r="L2801"/>
    </row>
    <row r="2802" spans="1:12">
      <c r="A2802" s="95" t="s">
        <v>2088</v>
      </c>
      <c r="B2802" t="s">
        <v>5702</v>
      </c>
      <c r="C2802" s="87" t="s">
        <v>2207</v>
      </c>
      <c r="D2802" s="88" t="s">
        <v>5726</v>
      </c>
      <c r="E2802" s="89">
        <v>68304668</v>
      </c>
      <c r="F2802"/>
      <c r="G2802" s="17" t="s">
        <v>3</v>
      </c>
      <c r="H2802" s="132">
        <v>46084</v>
      </c>
      <c r="I2802" s="127" t="s">
        <v>5727</v>
      </c>
      <c r="J2802"/>
      <c r="K2802"/>
      <c r="L2802"/>
    </row>
    <row r="2803" spans="1:12">
      <c r="A2803" s="95" t="s">
        <v>2088</v>
      </c>
      <c r="B2803" t="s">
        <v>5702</v>
      </c>
      <c r="C2803" s="87" t="s">
        <v>2208</v>
      </c>
      <c r="D2803" s="88"/>
      <c r="E2803" s="89">
        <v>68555506</v>
      </c>
      <c r="F2803"/>
      <c r="G2803" s="17" t="s">
        <v>2</v>
      </c>
      <c r="H2803" s="132">
        <v>46084</v>
      </c>
      <c r="I2803" s="127" t="s">
        <v>5728</v>
      </c>
      <c r="J2803"/>
      <c r="K2803"/>
      <c r="L2803"/>
    </row>
    <row r="2804" spans="1:12">
      <c r="A2804" s="95" t="s">
        <v>2088</v>
      </c>
      <c r="B2804" t="s">
        <v>5702</v>
      </c>
      <c r="C2804" s="87" t="s">
        <v>2209</v>
      </c>
      <c r="D2804" s="88" t="s">
        <v>5729</v>
      </c>
      <c r="E2804" s="89">
        <v>69235806</v>
      </c>
      <c r="F2804" s="99" t="s">
        <v>5730</v>
      </c>
      <c r="G2804" s="17" t="s">
        <v>1</v>
      </c>
      <c r="H2804" s="132">
        <v>46084</v>
      </c>
      <c r="I2804" s="127" t="s">
        <v>5731</v>
      </c>
      <c r="J2804"/>
      <c r="K2804"/>
      <c r="L2804"/>
    </row>
    <row r="2805" spans="1:12">
      <c r="A2805" s="95" t="s">
        <v>2088</v>
      </c>
      <c r="B2805" t="s">
        <v>5702</v>
      </c>
      <c r="C2805" s="87" t="s">
        <v>2210</v>
      </c>
      <c r="D2805" s="88"/>
      <c r="E2805" s="89">
        <v>64653036</v>
      </c>
      <c r="F2805"/>
      <c r="G2805" s="17" t="s">
        <v>2</v>
      </c>
      <c r="H2805" s="132">
        <v>46084</v>
      </c>
      <c r="I2805" s="127" t="s">
        <v>5732</v>
      </c>
      <c r="J2805"/>
      <c r="K2805"/>
      <c r="L2805"/>
    </row>
    <row r="2806" spans="1:12">
      <c r="A2806" s="95" t="s">
        <v>2088</v>
      </c>
      <c r="B2806" t="s">
        <v>5702</v>
      </c>
      <c r="C2806" s="87" t="s">
        <v>2211</v>
      </c>
      <c r="D2806" s="88"/>
      <c r="E2806" s="89">
        <v>64152597</v>
      </c>
      <c r="F2806"/>
      <c r="G2806" s="17" t="s">
        <v>2</v>
      </c>
      <c r="H2806" s="132">
        <v>46084</v>
      </c>
      <c r="I2806" s="127" t="s">
        <v>5733</v>
      </c>
      <c r="J2806"/>
      <c r="K2806"/>
      <c r="L2806"/>
    </row>
    <row r="2807" spans="1:12">
      <c r="A2807" s="95" t="s">
        <v>2088</v>
      </c>
      <c r="B2807" t="s">
        <v>5702</v>
      </c>
      <c r="C2807" s="87" t="s">
        <v>2212</v>
      </c>
      <c r="D2807" s="88" t="s">
        <v>5734</v>
      </c>
      <c r="E2807" s="89">
        <v>63825292</v>
      </c>
      <c r="F2807" s="99" t="s">
        <v>5735</v>
      </c>
      <c r="G2807" s="17" t="s">
        <v>8</v>
      </c>
      <c r="H2807" s="132">
        <v>46084</v>
      </c>
      <c r="I2807" s="127" t="s">
        <v>5736</v>
      </c>
      <c r="J2807"/>
      <c r="K2807"/>
      <c r="L2807" t="s">
        <v>5737</v>
      </c>
    </row>
    <row r="2808" spans="1:12">
      <c r="A2808" s="95" t="s">
        <v>2088</v>
      </c>
      <c r="B2808" t="s">
        <v>5702</v>
      </c>
      <c r="C2808" s="87" t="s">
        <v>2213</v>
      </c>
      <c r="D2808" s="88" t="s">
        <v>5738</v>
      </c>
      <c r="E2808" s="89">
        <v>63641412</v>
      </c>
      <c r="F2808"/>
      <c r="G2808" s="17" t="s">
        <v>8</v>
      </c>
      <c r="H2808" s="132">
        <v>46084</v>
      </c>
      <c r="I2808" s="127" t="s">
        <v>5739</v>
      </c>
      <c r="J2808"/>
      <c r="K2808"/>
      <c r="L2808" t="s">
        <v>5740</v>
      </c>
    </row>
    <row r="2809" spans="1:12">
      <c r="A2809" s="95" t="s">
        <v>2088</v>
      </c>
      <c r="B2809" t="s">
        <v>5702</v>
      </c>
      <c r="C2809" s="87" t="s">
        <v>2214</v>
      </c>
      <c r="D2809" s="88"/>
      <c r="E2809" s="89">
        <v>69526290</v>
      </c>
      <c r="F2809"/>
      <c r="G2809" s="17" t="s">
        <v>6</v>
      </c>
      <c r="H2809" s="132">
        <v>46084</v>
      </c>
      <c r="I2809" s="127" t="s">
        <v>5741</v>
      </c>
      <c r="J2809"/>
      <c r="K2809"/>
      <c r="L2809"/>
    </row>
    <row r="2810" spans="1:12">
      <c r="A2810" s="95" t="s">
        <v>2088</v>
      </c>
      <c r="B2810" t="s">
        <v>5702</v>
      </c>
      <c r="C2810" s="87" t="s">
        <v>2215</v>
      </c>
      <c r="D2810" s="88" t="s">
        <v>5742</v>
      </c>
      <c r="E2810" s="89">
        <v>69304971</v>
      </c>
      <c r="F2810"/>
      <c r="G2810" s="17" t="s">
        <v>8</v>
      </c>
      <c r="H2810" s="132">
        <v>46084</v>
      </c>
      <c r="I2810" s="127" t="s">
        <v>5743</v>
      </c>
      <c r="J2810"/>
      <c r="K2810"/>
      <c r="L2810" t="s">
        <v>5744</v>
      </c>
    </row>
    <row r="2811" spans="1:12">
      <c r="A2811" s="95" t="s">
        <v>2088</v>
      </c>
      <c r="B2811" t="s">
        <v>5702</v>
      </c>
      <c r="C2811" s="87" t="s">
        <v>2216</v>
      </c>
      <c r="D2811" s="88"/>
      <c r="E2811" s="89">
        <v>65037405</v>
      </c>
      <c r="F2811"/>
      <c r="G2811" s="17" t="s">
        <v>2</v>
      </c>
      <c r="H2811" s="132">
        <v>46084</v>
      </c>
      <c r="I2811" s="127" t="s">
        <v>5745</v>
      </c>
      <c r="J2811"/>
      <c r="K2811"/>
      <c r="L2811" t="s">
        <v>5746</v>
      </c>
    </row>
    <row r="2812" spans="1:12">
      <c r="A2812" s="95" t="s">
        <v>2088</v>
      </c>
      <c r="B2812" t="s">
        <v>5702</v>
      </c>
      <c r="C2812" s="87" t="s">
        <v>2217</v>
      </c>
      <c r="D2812" s="88"/>
      <c r="E2812" s="89">
        <v>69219082</v>
      </c>
      <c r="F2812"/>
      <c r="G2812" s="17" t="s">
        <v>3</v>
      </c>
      <c r="H2812" s="132">
        <v>46084</v>
      </c>
      <c r="I2812" s="127" t="s">
        <v>5747</v>
      </c>
      <c r="J2812"/>
      <c r="K2812"/>
      <c r="L2812"/>
    </row>
    <row r="2813" spans="1:12">
      <c r="A2813" s="95" t="s">
        <v>2088</v>
      </c>
      <c r="B2813" t="s">
        <v>5702</v>
      </c>
      <c r="C2813" s="87" t="s">
        <v>2218</v>
      </c>
      <c r="D2813" s="88" t="s">
        <v>5748</v>
      </c>
      <c r="E2813" s="89">
        <v>61997017</v>
      </c>
      <c r="F2813"/>
      <c r="G2813" s="17" t="s">
        <v>1</v>
      </c>
      <c r="H2813" s="132">
        <v>46084</v>
      </c>
      <c r="I2813" s="127" t="s">
        <v>5749</v>
      </c>
      <c r="J2813"/>
      <c r="K2813"/>
      <c r="L2813"/>
    </row>
    <row r="2814" spans="1:12">
      <c r="A2814" s="95" t="s">
        <v>2088</v>
      </c>
      <c r="B2814" t="s">
        <v>5702</v>
      </c>
      <c r="C2814" s="87" t="s">
        <v>2219</v>
      </c>
      <c r="D2814" s="88"/>
      <c r="E2814" s="89">
        <v>65089320</v>
      </c>
      <c r="F2814"/>
      <c r="G2814" s="17" t="s">
        <v>6</v>
      </c>
      <c r="H2814" s="132">
        <v>46084</v>
      </c>
      <c r="I2814" s="127" t="s">
        <v>5750</v>
      </c>
      <c r="J2814"/>
      <c r="K2814"/>
      <c r="L2814"/>
    </row>
    <row r="2815" spans="1:12">
      <c r="A2815" s="95" t="s">
        <v>2088</v>
      </c>
      <c r="B2815" t="s">
        <v>5702</v>
      </c>
      <c r="C2815" s="87" t="s">
        <v>2220</v>
      </c>
      <c r="D2815" s="88" t="s">
        <v>5751</v>
      </c>
      <c r="E2815" s="89">
        <v>69555204</v>
      </c>
      <c r="F2815"/>
      <c r="G2815" s="17" t="s">
        <v>1</v>
      </c>
      <c r="H2815" s="132">
        <v>46084</v>
      </c>
      <c r="I2815" s="127" t="s">
        <v>5752</v>
      </c>
      <c r="J2815"/>
      <c r="K2815"/>
      <c r="L2815"/>
    </row>
    <row r="2816" spans="1:12">
      <c r="A2816" s="95" t="s">
        <v>2088</v>
      </c>
      <c r="B2816" t="s">
        <v>5702</v>
      </c>
      <c r="C2816" s="87" t="s">
        <v>2221</v>
      </c>
      <c r="D2816" s="88"/>
      <c r="E2816" s="89">
        <v>67772083</v>
      </c>
      <c r="F2816"/>
      <c r="G2816" s="17" t="s">
        <v>9</v>
      </c>
      <c r="H2816" s="132">
        <v>46084</v>
      </c>
      <c r="I2816" s="127" t="s">
        <v>5753</v>
      </c>
      <c r="J2816"/>
      <c r="K2816"/>
      <c r="L2816"/>
    </row>
    <row r="2817" spans="1:12">
      <c r="A2817" s="95" t="s">
        <v>2088</v>
      </c>
      <c r="B2817" t="s">
        <v>5702</v>
      </c>
      <c r="C2817" s="87" t="s">
        <v>2222</v>
      </c>
      <c r="D2817" s="88" t="s">
        <v>5754</v>
      </c>
      <c r="E2817" s="89">
        <v>66821996</v>
      </c>
      <c r="F2817"/>
      <c r="G2817" s="17" t="s">
        <v>8</v>
      </c>
      <c r="H2817" s="132">
        <v>46084</v>
      </c>
      <c r="I2817" s="127" t="s">
        <v>5755</v>
      </c>
      <c r="J2817"/>
      <c r="K2817"/>
      <c r="L2817" t="s">
        <v>5756</v>
      </c>
    </row>
    <row r="2818" spans="1:12">
      <c r="A2818" s="95" t="s">
        <v>2088</v>
      </c>
      <c r="B2818" t="s">
        <v>5702</v>
      </c>
      <c r="C2818" s="87" t="s">
        <v>2223</v>
      </c>
      <c r="D2818" s="88"/>
      <c r="E2818" s="89">
        <v>68851361</v>
      </c>
      <c r="F2818"/>
      <c r="G2818" s="17" t="s">
        <v>6</v>
      </c>
      <c r="H2818" s="132">
        <v>46084</v>
      </c>
      <c r="I2818" s="127" t="s">
        <v>5757</v>
      </c>
      <c r="J2818"/>
      <c r="K2818"/>
      <c r="L2818" t="s">
        <v>5746</v>
      </c>
    </row>
    <row r="2819" spans="1:12">
      <c r="A2819" s="95" t="s">
        <v>2088</v>
      </c>
      <c r="B2819" t="s">
        <v>5702</v>
      </c>
      <c r="C2819" s="87" t="s">
        <v>2224</v>
      </c>
      <c r="D2819" s="88" t="s">
        <v>5758</v>
      </c>
      <c r="E2819" s="89">
        <v>67323256</v>
      </c>
      <c r="F2819"/>
      <c r="G2819" s="17" t="s">
        <v>3</v>
      </c>
      <c r="H2819" s="132">
        <v>46084</v>
      </c>
      <c r="I2819" s="127" t="s">
        <v>5759</v>
      </c>
      <c r="J2819"/>
      <c r="K2819"/>
      <c r="L2819" t="s">
        <v>5760</v>
      </c>
    </row>
    <row r="2820" spans="1:12">
      <c r="A2820" s="95" t="s">
        <v>2088</v>
      </c>
      <c r="B2820" t="s">
        <v>5702</v>
      </c>
      <c r="C2820" s="87" t="s">
        <v>2225</v>
      </c>
      <c r="D2820" s="88" t="s">
        <v>5761</v>
      </c>
      <c r="E2820" s="89">
        <v>67879058</v>
      </c>
      <c r="F2820" s="99" t="s">
        <v>5762</v>
      </c>
      <c r="G2820" s="17" t="s">
        <v>7</v>
      </c>
      <c r="H2820" s="132">
        <v>46084</v>
      </c>
      <c r="I2820" s="127" t="s">
        <v>5763</v>
      </c>
      <c r="J2820"/>
      <c r="K2820"/>
      <c r="L2820"/>
    </row>
    <row r="2821" spans="1:12">
      <c r="A2821" s="95" t="s">
        <v>2088</v>
      </c>
      <c r="B2821" t="s">
        <v>5702</v>
      </c>
      <c r="C2821" s="87" t="s">
        <v>2226</v>
      </c>
      <c r="D2821" s="88" t="s">
        <v>5764</v>
      </c>
      <c r="E2821" s="89">
        <v>63822747</v>
      </c>
      <c r="F2821"/>
      <c r="G2821" s="17" t="s">
        <v>8</v>
      </c>
      <c r="H2821" s="132">
        <v>46085</v>
      </c>
      <c r="I2821" s="127" t="s">
        <v>5765</v>
      </c>
      <c r="J2821"/>
      <c r="K2821"/>
      <c r="L2821" t="s">
        <v>5760</v>
      </c>
    </row>
    <row r="2822" spans="1:12">
      <c r="A2822" s="95" t="s">
        <v>2088</v>
      </c>
      <c r="B2822" t="s">
        <v>5702</v>
      </c>
      <c r="C2822" s="87" t="s">
        <v>2227</v>
      </c>
      <c r="D2822" s="88"/>
      <c r="E2822" s="89">
        <v>65254082</v>
      </c>
      <c r="F2822"/>
      <c r="G2822" s="17" t="s">
        <v>6</v>
      </c>
      <c r="H2822" s="132">
        <v>46085</v>
      </c>
      <c r="I2822" s="127" t="s">
        <v>5766</v>
      </c>
      <c r="J2822"/>
      <c r="K2822"/>
      <c r="L2822"/>
    </row>
    <row r="2823" spans="1:12">
      <c r="A2823" s="95" t="s">
        <v>2088</v>
      </c>
      <c r="B2823" t="s">
        <v>5702</v>
      </c>
      <c r="C2823" s="87" t="s">
        <v>2228</v>
      </c>
      <c r="D2823" s="88"/>
      <c r="E2823" s="89">
        <v>63152433</v>
      </c>
      <c r="F2823"/>
      <c r="G2823" s="17" t="s">
        <v>6</v>
      </c>
      <c r="H2823" s="132">
        <v>46085</v>
      </c>
      <c r="I2823" s="127" t="s">
        <v>5767</v>
      </c>
      <c r="J2823"/>
      <c r="K2823"/>
      <c r="L2823" t="s">
        <v>5768</v>
      </c>
    </row>
    <row r="2824" spans="1:12">
      <c r="A2824" s="95" t="s">
        <v>2088</v>
      </c>
      <c r="B2824" t="s">
        <v>5702</v>
      </c>
      <c r="C2824" s="87" t="s">
        <v>2229</v>
      </c>
      <c r="D2824" s="88" t="s">
        <v>5769</v>
      </c>
      <c r="E2824" s="89">
        <v>69063571</v>
      </c>
      <c r="F2824"/>
      <c r="G2824" s="17" t="s">
        <v>8</v>
      </c>
      <c r="H2824" s="132">
        <v>46085</v>
      </c>
      <c r="I2824" s="127" t="s">
        <v>5770</v>
      </c>
      <c r="J2824"/>
      <c r="K2824"/>
      <c r="L2824"/>
    </row>
    <row r="2825" spans="1:12">
      <c r="A2825" s="95" t="s">
        <v>2088</v>
      </c>
      <c r="B2825" t="s">
        <v>5702</v>
      </c>
      <c r="C2825" s="87" t="s">
        <v>2230</v>
      </c>
      <c r="D2825" s="88"/>
      <c r="E2825" s="89">
        <v>63887912</v>
      </c>
      <c r="F2825"/>
      <c r="G2825" s="17" t="s">
        <v>8</v>
      </c>
      <c r="H2825" s="132">
        <v>46085</v>
      </c>
      <c r="I2825" s="127" t="s">
        <v>5771</v>
      </c>
      <c r="J2825"/>
      <c r="K2825"/>
      <c r="L2825" t="s">
        <v>5772</v>
      </c>
    </row>
    <row r="2826" spans="1:12">
      <c r="A2826" s="95" t="s">
        <v>2088</v>
      </c>
      <c r="B2826" t="s">
        <v>5702</v>
      </c>
      <c r="C2826" s="87" t="s">
        <v>2231</v>
      </c>
      <c r="D2826" s="88"/>
      <c r="E2826" s="89">
        <v>65459117</v>
      </c>
      <c r="F2826"/>
      <c r="G2826" s="17" t="s">
        <v>6</v>
      </c>
      <c r="H2826" s="132">
        <v>46085</v>
      </c>
      <c r="I2826" s="127" t="s">
        <v>5725</v>
      </c>
      <c r="J2826"/>
      <c r="K2826"/>
      <c r="L2826" t="s">
        <v>5773</v>
      </c>
    </row>
    <row r="2827" spans="1:12">
      <c r="A2827" s="95" t="s">
        <v>2088</v>
      </c>
      <c r="B2827" t="s">
        <v>5702</v>
      </c>
      <c r="C2827" s="87" t="s">
        <v>2232</v>
      </c>
      <c r="D2827" s="88" t="s">
        <v>5774</v>
      </c>
      <c r="E2827" s="89">
        <v>65494876</v>
      </c>
      <c r="F2827"/>
      <c r="G2827" s="17" t="s">
        <v>3</v>
      </c>
      <c r="H2827" s="132">
        <v>46085</v>
      </c>
      <c r="I2827" s="127" t="s">
        <v>5775</v>
      </c>
      <c r="J2827"/>
      <c r="K2827"/>
      <c r="L2827" t="s">
        <v>5776</v>
      </c>
    </row>
    <row r="2828" spans="1:12">
      <c r="A2828" s="95" t="s">
        <v>2088</v>
      </c>
      <c r="B2828" t="s">
        <v>5702</v>
      </c>
      <c r="C2828" s="87" t="s">
        <v>2233</v>
      </c>
      <c r="D2828" s="88"/>
      <c r="E2828" s="89">
        <v>64614249</v>
      </c>
      <c r="F2828"/>
      <c r="G2828" s="17" t="s">
        <v>2</v>
      </c>
      <c r="H2828" s="132">
        <v>46085</v>
      </c>
      <c r="I2828" s="127" t="s">
        <v>5777</v>
      </c>
      <c r="J2828"/>
      <c r="K2828"/>
      <c r="L2828"/>
    </row>
    <row r="2829" spans="1:12">
      <c r="A2829" s="95" t="s">
        <v>2088</v>
      </c>
      <c r="B2829" t="s">
        <v>5702</v>
      </c>
      <c r="C2829" s="87" t="s">
        <v>2234</v>
      </c>
      <c r="D2829" s="88" t="s">
        <v>5778</v>
      </c>
      <c r="E2829" s="89">
        <v>64466292</v>
      </c>
      <c r="F2829"/>
      <c r="G2829" s="17" t="s">
        <v>1</v>
      </c>
      <c r="H2829" s="132">
        <v>46085</v>
      </c>
      <c r="I2829" s="127" t="s">
        <v>5779</v>
      </c>
      <c r="J2829"/>
      <c r="K2829"/>
      <c r="L2829"/>
    </row>
    <row r="2830" spans="1:12">
      <c r="A2830" s="95" t="s">
        <v>2088</v>
      </c>
      <c r="B2830" t="s">
        <v>5702</v>
      </c>
      <c r="C2830" s="87" t="s">
        <v>2235</v>
      </c>
      <c r="D2830" s="88" t="s">
        <v>5780</v>
      </c>
      <c r="E2830" s="89">
        <v>7755137</v>
      </c>
      <c r="F2830"/>
      <c r="G2830" s="17" t="s">
        <v>1</v>
      </c>
      <c r="H2830" s="132">
        <v>46085</v>
      </c>
      <c r="I2830" s="127" t="s">
        <v>5781</v>
      </c>
      <c r="J2830"/>
      <c r="K2830"/>
      <c r="L2830"/>
    </row>
    <row r="2831" spans="1:12">
      <c r="A2831" s="95" t="s">
        <v>2088</v>
      </c>
      <c r="B2831" t="s">
        <v>5702</v>
      </c>
      <c r="C2831" s="87" t="s">
        <v>2236</v>
      </c>
      <c r="D2831" s="88"/>
      <c r="E2831" s="89">
        <v>65974494</v>
      </c>
      <c r="F2831"/>
      <c r="G2831" s="17" t="s">
        <v>2</v>
      </c>
      <c r="H2831" s="132">
        <v>46085</v>
      </c>
      <c r="I2831" s="127" t="s">
        <v>5782</v>
      </c>
      <c r="J2831"/>
      <c r="K2831"/>
      <c r="L2831"/>
    </row>
    <row r="2832" spans="1:12">
      <c r="A2832" s="95" t="s">
        <v>2088</v>
      </c>
      <c r="B2832" t="s">
        <v>5702</v>
      </c>
      <c r="C2832" s="87" t="s">
        <v>2237</v>
      </c>
      <c r="D2832" s="88"/>
      <c r="E2832" s="89">
        <v>7097080</v>
      </c>
      <c r="F2832"/>
      <c r="G2832" s="17" t="s">
        <v>9</v>
      </c>
      <c r="H2832" s="132">
        <v>46085</v>
      </c>
      <c r="I2832" s="127" t="s">
        <v>5783</v>
      </c>
      <c r="J2832"/>
      <c r="K2832"/>
      <c r="L2832" t="s">
        <v>5784</v>
      </c>
    </row>
    <row r="2833" spans="1:12">
      <c r="A2833" s="95" t="s">
        <v>2088</v>
      </c>
      <c r="B2833" t="s">
        <v>5702</v>
      </c>
      <c r="C2833" s="87" t="s">
        <v>2238</v>
      </c>
      <c r="D2833" s="88" t="s">
        <v>5785</v>
      </c>
      <c r="E2833" s="89">
        <v>69323878</v>
      </c>
      <c r="F2833"/>
      <c r="G2833" s="17" t="s">
        <v>3</v>
      </c>
      <c r="H2833" s="132">
        <v>46085</v>
      </c>
      <c r="I2833" s="127" t="s">
        <v>5786</v>
      </c>
      <c r="J2833"/>
      <c r="K2833"/>
      <c r="L2833" t="s">
        <v>5787</v>
      </c>
    </row>
    <row r="2834" spans="1:12">
      <c r="A2834" s="95" t="s">
        <v>2088</v>
      </c>
      <c r="B2834" t="s">
        <v>5702</v>
      </c>
      <c r="C2834" s="87" t="s">
        <v>2239</v>
      </c>
      <c r="D2834" s="88"/>
      <c r="E2834" s="89">
        <v>62322705</v>
      </c>
      <c r="F2834"/>
      <c r="G2834" s="17" t="s">
        <v>6</v>
      </c>
      <c r="H2834" s="132">
        <v>46085</v>
      </c>
      <c r="I2834" s="127" t="s">
        <v>5788</v>
      </c>
      <c r="J2834"/>
      <c r="K2834"/>
      <c r="L2834"/>
    </row>
    <row r="2835" spans="1:12">
      <c r="A2835" s="95" t="s">
        <v>2088</v>
      </c>
      <c r="B2835" t="s">
        <v>5702</v>
      </c>
      <c r="C2835" s="87" t="s">
        <v>2240</v>
      </c>
      <c r="D2835" s="88"/>
      <c r="E2835" s="89">
        <v>65887797</v>
      </c>
      <c r="F2835"/>
      <c r="G2835" s="17" t="s">
        <v>6</v>
      </c>
      <c r="H2835" s="132">
        <v>46085</v>
      </c>
      <c r="I2835" s="127" t="s">
        <v>5789</v>
      </c>
      <c r="J2835"/>
      <c r="K2835"/>
      <c r="L2835"/>
    </row>
    <row r="2836" spans="1:12">
      <c r="A2836" s="95" t="s">
        <v>2088</v>
      </c>
      <c r="B2836" t="s">
        <v>5702</v>
      </c>
      <c r="C2836" s="87" t="s">
        <v>2241</v>
      </c>
      <c r="D2836" s="88"/>
      <c r="E2836" s="89">
        <v>7302250</v>
      </c>
      <c r="F2836"/>
      <c r="G2836" s="17" t="s">
        <v>3</v>
      </c>
      <c r="H2836" s="132">
        <v>46085</v>
      </c>
      <c r="I2836" s="127" t="s">
        <v>5790</v>
      </c>
      <c r="J2836"/>
      <c r="K2836"/>
      <c r="L2836" t="s">
        <v>5791</v>
      </c>
    </row>
    <row r="2837" spans="1:12">
      <c r="A2837" s="95" t="s">
        <v>2088</v>
      </c>
      <c r="B2837" t="s">
        <v>5702</v>
      </c>
      <c r="C2837" s="87" t="s">
        <v>2242</v>
      </c>
      <c r="D2837" s="88"/>
      <c r="E2837" s="89">
        <v>67863448</v>
      </c>
      <c r="F2837"/>
      <c r="G2837" s="17" t="s">
        <v>6</v>
      </c>
      <c r="H2837" s="132">
        <v>46085</v>
      </c>
      <c r="I2837" s="127" t="s">
        <v>5792</v>
      </c>
      <c r="J2837"/>
      <c r="K2837"/>
      <c r="L2837"/>
    </row>
    <row r="2838" spans="1:12">
      <c r="A2838" s="95" t="s">
        <v>2088</v>
      </c>
      <c r="B2838" t="s">
        <v>5702</v>
      </c>
      <c r="C2838" s="87" t="s">
        <v>2243</v>
      </c>
      <c r="D2838" s="88" t="s">
        <v>5793</v>
      </c>
      <c r="E2838" s="89">
        <v>64457608</v>
      </c>
      <c r="F2838"/>
      <c r="G2838" s="17" t="s">
        <v>8</v>
      </c>
      <c r="H2838" s="132">
        <v>46085</v>
      </c>
      <c r="I2838" s="127" t="s">
        <v>5794</v>
      </c>
      <c r="J2838"/>
      <c r="K2838"/>
      <c r="L2838" t="s">
        <v>5795</v>
      </c>
    </row>
    <row r="2839" spans="1:12">
      <c r="A2839" s="95" t="s">
        <v>2088</v>
      </c>
      <c r="B2839" t="s">
        <v>5702</v>
      </c>
      <c r="C2839" s="87" t="s">
        <v>2244</v>
      </c>
      <c r="D2839" s="88"/>
      <c r="E2839" s="89">
        <v>64923939</v>
      </c>
      <c r="F2839"/>
      <c r="G2839" s="17" t="s">
        <v>6</v>
      </c>
      <c r="H2839" s="132">
        <v>46085</v>
      </c>
      <c r="I2839" s="127" t="s">
        <v>5796</v>
      </c>
      <c r="J2839"/>
      <c r="K2839"/>
      <c r="L2839"/>
    </row>
    <row r="2840" spans="1:12">
      <c r="A2840" s="95" t="s">
        <v>2088</v>
      </c>
      <c r="B2840" t="s">
        <v>5702</v>
      </c>
      <c r="C2840" s="87" t="s">
        <v>2245</v>
      </c>
      <c r="D2840" s="88"/>
      <c r="E2840" s="89">
        <v>68047894</v>
      </c>
      <c r="F2840"/>
      <c r="G2840" s="17" t="s">
        <v>3</v>
      </c>
      <c r="H2840" s="132">
        <v>46086</v>
      </c>
      <c r="I2840" s="127" t="s">
        <v>5797</v>
      </c>
      <c r="J2840"/>
      <c r="K2840"/>
      <c r="L2840" t="s">
        <v>5798</v>
      </c>
    </row>
    <row r="2841" spans="1:12">
      <c r="A2841" s="95" t="s">
        <v>2088</v>
      </c>
      <c r="B2841" t="s">
        <v>5702</v>
      </c>
      <c r="C2841" s="87" t="s">
        <v>2246</v>
      </c>
      <c r="D2841" s="88" t="s">
        <v>5799</v>
      </c>
      <c r="E2841" s="89">
        <v>68992803</v>
      </c>
      <c r="F2841"/>
      <c r="G2841" s="17" t="s">
        <v>3</v>
      </c>
      <c r="H2841" s="132">
        <v>46086</v>
      </c>
      <c r="I2841" s="127" t="s">
        <v>5800</v>
      </c>
      <c r="J2841"/>
      <c r="K2841"/>
      <c r="L2841" t="s">
        <v>5801</v>
      </c>
    </row>
    <row r="2842" spans="1:12">
      <c r="A2842" s="95" t="s">
        <v>2088</v>
      </c>
      <c r="B2842" t="s">
        <v>5702</v>
      </c>
      <c r="C2842" s="87" t="s">
        <v>2247</v>
      </c>
      <c r="D2842" s="88" t="s">
        <v>5802</v>
      </c>
      <c r="E2842" s="89">
        <v>61708226</v>
      </c>
      <c r="F2842"/>
      <c r="G2842" s="17" t="s">
        <v>1</v>
      </c>
      <c r="H2842" s="132">
        <v>46086</v>
      </c>
      <c r="I2842" s="127" t="s">
        <v>5803</v>
      </c>
      <c r="J2842"/>
      <c r="K2842"/>
      <c r="L2842"/>
    </row>
    <row r="2843" spans="1:12">
      <c r="A2843" s="95" t="s">
        <v>2088</v>
      </c>
      <c r="B2843" t="s">
        <v>5702</v>
      </c>
      <c r="C2843" s="87" t="s">
        <v>2248</v>
      </c>
      <c r="D2843" s="88" t="s">
        <v>5804</v>
      </c>
      <c r="E2843" s="89">
        <v>68410523</v>
      </c>
      <c r="F2843"/>
      <c r="G2843" s="17" t="s">
        <v>8</v>
      </c>
      <c r="H2843" s="132">
        <v>46086</v>
      </c>
      <c r="I2843" s="127" t="s">
        <v>5805</v>
      </c>
      <c r="J2843"/>
      <c r="K2843"/>
      <c r="L2843"/>
    </row>
    <row r="2844" spans="1:12">
      <c r="A2844" s="95" t="s">
        <v>2088</v>
      </c>
      <c r="B2844" t="s">
        <v>5702</v>
      </c>
      <c r="C2844" s="87" t="s">
        <v>2249</v>
      </c>
      <c r="D2844" s="88"/>
      <c r="E2844" s="89">
        <v>68789854</v>
      </c>
      <c r="F2844"/>
      <c r="G2844" s="17" t="s">
        <v>3</v>
      </c>
      <c r="H2844" s="132">
        <v>46086</v>
      </c>
      <c r="I2844" s="127" t="s">
        <v>5806</v>
      </c>
      <c r="J2844"/>
      <c r="K2844"/>
      <c r="L2844" t="s">
        <v>5807</v>
      </c>
    </row>
    <row r="2845" spans="1:12">
      <c r="A2845" s="95" t="s">
        <v>2088</v>
      </c>
      <c r="B2845" t="s">
        <v>5702</v>
      </c>
      <c r="C2845" s="87" t="s">
        <v>2250</v>
      </c>
      <c r="D2845" s="88"/>
      <c r="E2845" s="89">
        <v>69018600</v>
      </c>
      <c r="F2845"/>
      <c r="G2845" s="17" t="s">
        <v>3</v>
      </c>
      <c r="H2845" s="132">
        <v>46086</v>
      </c>
      <c r="I2845" s="127" t="s">
        <v>5808</v>
      </c>
      <c r="J2845"/>
      <c r="K2845"/>
      <c r="L2845" t="s">
        <v>5809</v>
      </c>
    </row>
    <row r="2846" spans="1:12">
      <c r="A2846" s="95" t="s">
        <v>2088</v>
      </c>
      <c r="B2846" t="s">
        <v>5702</v>
      </c>
      <c r="C2846" s="87" t="s">
        <v>2251</v>
      </c>
      <c r="D2846" s="88"/>
      <c r="E2846" s="89">
        <v>67875684</v>
      </c>
      <c r="F2846"/>
      <c r="G2846" s="17" t="s">
        <v>6</v>
      </c>
      <c r="H2846" s="132">
        <v>46086</v>
      </c>
      <c r="I2846" s="127" t="s">
        <v>5810</v>
      </c>
      <c r="J2846"/>
      <c r="K2846"/>
      <c r="L2846"/>
    </row>
    <row r="2847" spans="1:12">
      <c r="A2847" s="95" t="s">
        <v>2088</v>
      </c>
      <c r="B2847" t="s">
        <v>5702</v>
      </c>
      <c r="C2847" s="87" t="s">
        <v>2252</v>
      </c>
      <c r="D2847" s="88"/>
      <c r="E2847" s="89">
        <v>7715256</v>
      </c>
      <c r="F2847"/>
      <c r="G2847" s="17" t="s">
        <v>6</v>
      </c>
      <c r="H2847" s="132">
        <v>46086</v>
      </c>
      <c r="I2847" s="127" t="s">
        <v>5811</v>
      </c>
      <c r="J2847"/>
      <c r="K2847"/>
      <c r="L2847"/>
    </row>
    <row r="2848" spans="1:12">
      <c r="A2848" s="95" t="s">
        <v>2088</v>
      </c>
      <c r="B2848" t="s">
        <v>5702</v>
      </c>
      <c r="C2848" s="87" t="s">
        <v>2253</v>
      </c>
      <c r="D2848" s="88"/>
      <c r="E2848" s="89">
        <v>62131560</v>
      </c>
      <c r="F2848"/>
      <c r="G2848" s="17" t="s">
        <v>9</v>
      </c>
      <c r="H2848" s="132">
        <v>46086</v>
      </c>
      <c r="I2848" s="127" t="s">
        <v>5812</v>
      </c>
      <c r="J2848"/>
      <c r="K2848"/>
      <c r="L2848" t="s">
        <v>5813</v>
      </c>
    </row>
    <row r="2849" spans="1:12">
      <c r="A2849" s="95" t="s">
        <v>2088</v>
      </c>
      <c r="B2849" t="s">
        <v>5702</v>
      </c>
      <c r="C2849" s="87" t="s">
        <v>2254</v>
      </c>
      <c r="D2849" s="88" t="s">
        <v>5814</v>
      </c>
      <c r="E2849" s="89">
        <v>68350609</v>
      </c>
      <c r="F2849"/>
      <c r="G2849" s="17" t="s">
        <v>1</v>
      </c>
      <c r="H2849" s="132">
        <v>46086</v>
      </c>
      <c r="I2849" s="127" t="s">
        <v>5815</v>
      </c>
      <c r="J2849"/>
      <c r="K2849"/>
      <c r="L2849"/>
    </row>
    <row r="2850" spans="1:12">
      <c r="A2850" s="95" t="s">
        <v>2088</v>
      </c>
      <c r="B2850" t="s">
        <v>5702</v>
      </c>
      <c r="C2850" s="87" t="s">
        <v>2255</v>
      </c>
      <c r="D2850" s="88"/>
      <c r="E2850" s="89">
        <v>67893465</v>
      </c>
      <c r="F2850"/>
      <c r="G2850" s="17" t="s">
        <v>3</v>
      </c>
      <c r="H2850" s="132">
        <v>46086</v>
      </c>
      <c r="I2850" s="127" t="s">
        <v>5816</v>
      </c>
      <c r="J2850"/>
      <c r="K2850"/>
      <c r="L2850" t="s">
        <v>5817</v>
      </c>
    </row>
    <row r="2851" spans="1:12">
      <c r="A2851" s="95" t="s">
        <v>2088</v>
      </c>
      <c r="B2851" t="s">
        <v>5702</v>
      </c>
      <c r="C2851" s="87" t="s">
        <v>2256</v>
      </c>
      <c r="D2851" s="88"/>
      <c r="E2851" s="89">
        <v>61054905</v>
      </c>
      <c r="F2851"/>
      <c r="G2851" s="17" t="s">
        <v>9</v>
      </c>
      <c r="H2851" s="132">
        <v>46086</v>
      </c>
      <c r="I2851" s="127" t="s">
        <v>5818</v>
      </c>
      <c r="J2851"/>
      <c r="K2851"/>
      <c r="L2851"/>
    </row>
    <row r="2852" spans="1:12">
      <c r="A2852" s="95" t="s">
        <v>2088</v>
      </c>
      <c r="B2852" t="s">
        <v>5702</v>
      </c>
      <c r="C2852" s="87" t="s">
        <v>2257</v>
      </c>
      <c r="D2852" s="88"/>
      <c r="E2852" s="89">
        <v>64029235</v>
      </c>
      <c r="F2852"/>
      <c r="G2852" s="17" t="s">
        <v>3</v>
      </c>
      <c r="H2852" s="132">
        <v>46086</v>
      </c>
      <c r="I2852" s="127" t="s">
        <v>5819</v>
      </c>
      <c r="J2852"/>
      <c r="K2852"/>
      <c r="L2852" t="s">
        <v>5820</v>
      </c>
    </row>
    <row r="2853" spans="1:12">
      <c r="A2853" s="95" t="s">
        <v>2088</v>
      </c>
      <c r="B2853" t="s">
        <v>5702</v>
      </c>
      <c r="C2853" s="87" t="s">
        <v>2258</v>
      </c>
      <c r="D2853" s="88"/>
      <c r="E2853" s="89">
        <v>69923545</v>
      </c>
      <c r="F2853"/>
      <c r="G2853" s="17" t="s">
        <v>2</v>
      </c>
      <c r="H2853" s="132">
        <v>46086</v>
      </c>
      <c r="I2853" s="127" t="s">
        <v>5821</v>
      </c>
      <c r="J2853"/>
      <c r="K2853"/>
      <c r="L2853"/>
    </row>
    <row r="2854" spans="1:12">
      <c r="A2854" s="95" t="s">
        <v>2088</v>
      </c>
      <c r="B2854" t="s">
        <v>5702</v>
      </c>
      <c r="C2854" s="87" t="s">
        <v>2259</v>
      </c>
      <c r="D2854" s="88"/>
      <c r="E2854" s="89">
        <v>64496420</v>
      </c>
      <c r="F2854"/>
      <c r="G2854" s="17" t="s">
        <v>6</v>
      </c>
      <c r="H2854" s="132">
        <v>46086</v>
      </c>
      <c r="I2854" s="127" t="s">
        <v>5822</v>
      </c>
      <c r="J2854"/>
      <c r="K2854"/>
      <c r="L2854"/>
    </row>
    <row r="2855" spans="1:12">
      <c r="A2855" s="95" t="s">
        <v>2088</v>
      </c>
      <c r="B2855" t="s">
        <v>5702</v>
      </c>
      <c r="C2855" s="87" t="s">
        <v>2260</v>
      </c>
      <c r="D2855" s="88"/>
      <c r="E2855" s="89">
        <v>7211219</v>
      </c>
      <c r="F2855"/>
      <c r="G2855" s="17" t="s">
        <v>6</v>
      </c>
      <c r="H2855" s="132">
        <v>46086</v>
      </c>
      <c r="I2855" s="127" t="s">
        <v>5823</v>
      </c>
      <c r="J2855"/>
      <c r="K2855"/>
      <c r="L2855"/>
    </row>
    <row r="2856" spans="1:12">
      <c r="A2856" s="95" t="s">
        <v>2088</v>
      </c>
      <c r="B2856" t="s">
        <v>5702</v>
      </c>
      <c r="C2856" s="87" t="s">
        <v>2261</v>
      </c>
      <c r="D2856" s="88" t="s">
        <v>5824</v>
      </c>
      <c r="E2856" s="89">
        <v>63630100</v>
      </c>
      <c r="F2856"/>
      <c r="G2856" s="17" t="s">
        <v>3</v>
      </c>
      <c r="H2856" s="132">
        <v>46086</v>
      </c>
      <c r="I2856" s="127" t="s">
        <v>5825</v>
      </c>
      <c r="J2856"/>
      <c r="K2856"/>
      <c r="L2856" t="s">
        <v>5791</v>
      </c>
    </row>
    <row r="2857" spans="1:12">
      <c r="A2857" s="95" t="s">
        <v>2088</v>
      </c>
      <c r="B2857" t="s">
        <v>5702</v>
      </c>
      <c r="C2857" s="87" t="s">
        <v>2262</v>
      </c>
      <c r="D2857" s="88" t="s">
        <v>5826</v>
      </c>
      <c r="E2857" s="89">
        <v>61747201</v>
      </c>
      <c r="F2857"/>
      <c r="G2857" s="17" t="s">
        <v>1</v>
      </c>
      <c r="H2857" s="132">
        <v>46086</v>
      </c>
      <c r="I2857" s="127" t="s">
        <v>5827</v>
      </c>
      <c r="J2857"/>
      <c r="K2857"/>
      <c r="L2857"/>
    </row>
    <row r="2858" spans="1:12">
      <c r="A2858" s="95" t="s">
        <v>2088</v>
      </c>
      <c r="B2858" t="s">
        <v>5702</v>
      </c>
      <c r="C2858" s="87" t="s">
        <v>2263</v>
      </c>
      <c r="D2858" s="88"/>
      <c r="E2858" s="89">
        <v>7304092</v>
      </c>
      <c r="F2858"/>
      <c r="G2858" s="17" t="s">
        <v>6</v>
      </c>
      <c r="H2858" s="132">
        <v>46086</v>
      </c>
      <c r="I2858" s="127" t="s">
        <v>5828</v>
      </c>
      <c r="J2858"/>
      <c r="K2858"/>
      <c r="L2858"/>
    </row>
    <row r="2859" spans="1:12">
      <c r="A2859" s="95" t="s">
        <v>2088</v>
      </c>
      <c r="B2859" t="s">
        <v>5702</v>
      </c>
      <c r="C2859" s="87" t="s">
        <v>2264</v>
      </c>
      <c r="D2859" s="88" t="s">
        <v>5829</v>
      </c>
      <c r="E2859" s="89">
        <v>64464968</v>
      </c>
      <c r="F2859"/>
      <c r="G2859" s="17" t="s">
        <v>8</v>
      </c>
      <c r="H2859" s="132">
        <v>46086</v>
      </c>
      <c r="I2859" s="127" t="s">
        <v>5830</v>
      </c>
      <c r="J2859"/>
      <c r="K2859"/>
      <c r="L2859"/>
    </row>
    <row r="2860" spans="1:12">
      <c r="A2860" s="95" t="s">
        <v>2088</v>
      </c>
      <c r="B2860" t="s">
        <v>5702</v>
      </c>
      <c r="C2860" s="87" t="s">
        <v>2265</v>
      </c>
      <c r="D2860" s="88" t="s">
        <v>5831</v>
      </c>
      <c r="E2860" s="89">
        <v>62113572</v>
      </c>
      <c r="F2860"/>
      <c r="G2860" s="17" t="s">
        <v>3</v>
      </c>
      <c r="H2860" s="132">
        <v>46086</v>
      </c>
      <c r="I2860" s="127" t="s">
        <v>5832</v>
      </c>
      <c r="J2860"/>
      <c r="K2860"/>
      <c r="L2860" t="s">
        <v>5820</v>
      </c>
    </row>
    <row r="2861" spans="1:12">
      <c r="A2861" s="95" t="s">
        <v>2088</v>
      </c>
      <c r="B2861" t="s">
        <v>5702</v>
      </c>
      <c r="C2861" s="87" t="s">
        <v>2266</v>
      </c>
      <c r="D2861" s="88"/>
      <c r="E2861" s="89">
        <v>64713707</v>
      </c>
      <c r="F2861"/>
      <c r="G2861" s="17" t="s">
        <v>6</v>
      </c>
      <c r="H2861" s="132">
        <v>46086</v>
      </c>
      <c r="I2861" s="127" t="s">
        <v>5833</v>
      </c>
      <c r="J2861"/>
      <c r="K2861"/>
      <c r="L2861"/>
    </row>
    <row r="2862" spans="1:12">
      <c r="A2862" s="95" t="s">
        <v>2088</v>
      </c>
      <c r="B2862" t="s">
        <v>5702</v>
      </c>
      <c r="C2862" s="87" t="s">
        <v>2267</v>
      </c>
      <c r="D2862" s="88" t="s">
        <v>5834</v>
      </c>
      <c r="E2862" s="89">
        <v>67657603</v>
      </c>
      <c r="F2862"/>
      <c r="G2862" s="17" t="s">
        <v>1</v>
      </c>
      <c r="H2862" s="132">
        <v>46086</v>
      </c>
      <c r="I2862" s="127" t="s">
        <v>5835</v>
      </c>
      <c r="J2862"/>
      <c r="K2862"/>
      <c r="L2862"/>
    </row>
    <row r="2863" spans="1:12">
      <c r="A2863" s="95" t="s">
        <v>2088</v>
      </c>
      <c r="B2863" t="s">
        <v>5702</v>
      </c>
      <c r="C2863" s="87" t="s">
        <v>2268</v>
      </c>
      <c r="D2863" s="88" t="s">
        <v>5836</v>
      </c>
      <c r="E2863" s="89">
        <v>60042998</v>
      </c>
      <c r="F2863"/>
      <c r="G2863" s="17" t="s">
        <v>8</v>
      </c>
      <c r="H2863" s="132">
        <v>46086</v>
      </c>
      <c r="I2863" s="127" t="s">
        <v>5837</v>
      </c>
      <c r="J2863"/>
      <c r="K2863"/>
      <c r="L2863"/>
    </row>
    <row r="2864" spans="1:12">
      <c r="A2864" s="95" t="s">
        <v>2088</v>
      </c>
      <c r="B2864" t="s">
        <v>5702</v>
      </c>
      <c r="C2864" s="87" t="s">
        <v>2269</v>
      </c>
      <c r="D2864" s="88"/>
      <c r="E2864" s="89">
        <v>69555030</v>
      </c>
      <c r="F2864"/>
      <c r="G2864" s="17" t="s">
        <v>6</v>
      </c>
      <c r="H2864" s="132"/>
      <c r="J2864"/>
      <c r="K2864"/>
      <c r="L2864"/>
    </row>
    <row r="2865" spans="1:12">
      <c r="A2865" s="95" t="s">
        <v>2088</v>
      </c>
      <c r="B2865" t="s">
        <v>5702</v>
      </c>
      <c r="C2865" s="87" t="s">
        <v>2270</v>
      </c>
      <c r="D2865" s="88"/>
      <c r="E2865" s="89">
        <v>65954856</v>
      </c>
      <c r="F2865"/>
      <c r="G2865" s="17" t="s">
        <v>2</v>
      </c>
      <c r="H2865" s="132"/>
      <c r="J2865"/>
      <c r="K2865"/>
      <c r="L2865"/>
    </row>
    <row r="2866" spans="1:12">
      <c r="A2866" s="95" t="s">
        <v>2088</v>
      </c>
      <c r="B2866" t="s">
        <v>5702</v>
      </c>
      <c r="C2866" s="87" t="s">
        <v>2271</v>
      </c>
      <c r="D2866" s="88"/>
      <c r="E2866" s="89">
        <v>69612545</v>
      </c>
      <c r="F2866"/>
      <c r="G2866" s="17" t="s">
        <v>8</v>
      </c>
      <c r="H2866" s="132"/>
      <c r="J2866"/>
      <c r="K2866"/>
      <c r="L2866"/>
    </row>
    <row r="2867" spans="1:12">
      <c r="A2867" s="95" t="s">
        <v>2088</v>
      </c>
      <c r="B2867" t="s">
        <v>5702</v>
      </c>
      <c r="C2867" s="87" t="s">
        <v>2272</v>
      </c>
      <c r="D2867" s="88"/>
      <c r="E2867" s="89">
        <v>65844472</v>
      </c>
      <c r="F2867"/>
      <c r="G2867" s="17" t="s">
        <v>6</v>
      </c>
      <c r="H2867" s="132"/>
      <c r="J2867"/>
      <c r="K2867"/>
      <c r="L2867"/>
    </row>
    <row r="2868" spans="1:12">
      <c r="A2868" s="95" t="s">
        <v>2088</v>
      </c>
      <c r="B2868" t="s">
        <v>5702</v>
      </c>
      <c r="C2868" s="97" t="s">
        <v>2273</v>
      </c>
      <c r="D2868" s="88"/>
      <c r="E2868" s="89">
        <v>63858243</v>
      </c>
      <c r="F2868"/>
      <c r="G2868" s="17" t="s">
        <v>2</v>
      </c>
      <c r="H2868" s="132"/>
      <c r="J2868"/>
      <c r="K2868"/>
      <c r="L2868"/>
    </row>
    <row r="2869" spans="1:12">
      <c r="A2869" s="95" t="s">
        <v>2088</v>
      </c>
      <c r="B2869" t="s">
        <v>5702</v>
      </c>
      <c r="C2869" s="97" t="s">
        <v>2274</v>
      </c>
      <c r="D2869" s="88"/>
      <c r="E2869" s="89">
        <v>67912933</v>
      </c>
      <c r="F2869"/>
      <c r="G2869" s="17" t="s">
        <v>4</v>
      </c>
      <c r="H2869" s="132"/>
      <c r="J2869"/>
      <c r="K2869" t="s">
        <v>5838</v>
      </c>
      <c r="L2869"/>
    </row>
    <row r="2870" spans="1:12">
      <c r="A2870" s="95" t="s">
        <v>2088</v>
      </c>
      <c r="B2870" t="s">
        <v>5702</v>
      </c>
      <c r="C2870" s="97" t="s">
        <v>2275</v>
      </c>
      <c r="D2870" s="88"/>
      <c r="E2870" s="89">
        <v>63055230</v>
      </c>
      <c r="F2870"/>
      <c r="G2870" s="17" t="s">
        <v>6</v>
      </c>
      <c r="H2870" s="132"/>
      <c r="J2870"/>
      <c r="K2870"/>
      <c r="L2870"/>
    </row>
    <row r="2871" spans="1:12">
      <c r="A2871" s="95" t="s">
        <v>2088</v>
      </c>
      <c r="B2871" t="s">
        <v>5702</v>
      </c>
      <c r="C2871" s="97" t="s">
        <v>2276</v>
      </c>
      <c r="D2871" s="88"/>
      <c r="E2871" s="89">
        <v>64543715</v>
      </c>
      <c r="F2871"/>
      <c r="G2871" s="17" t="s">
        <v>3</v>
      </c>
      <c r="H2871" s="132"/>
      <c r="J2871"/>
      <c r="K2871" t="s">
        <v>5839</v>
      </c>
      <c r="L2871"/>
    </row>
    <row r="2872" spans="1:12">
      <c r="A2872" s="95" t="s">
        <v>2088</v>
      </c>
      <c r="B2872" t="s">
        <v>5702</v>
      </c>
      <c r="C2872" s="97" t="s">
        <v>2277</v>
      </c>
      <c r="D2872" s="88"/>
      <c r="E2872" s="89">
        <v>69603563</v>
      </c>
      <c r="F2872"/>
      <c r="G2872" s="17" t="s">
        <v>3</v>
      </c>
      <c r="H2872" s="132"/>
      <c r="J2872"/>
      <c r="K2872"/>
      <c r="L2872"/>
    </row>
    <row r="2873" spans="1:12">
      <c r="A2873" s="95" t="s">
        <v>2088</v>
      </c>
      <c r="B2873" t="s">
        <v>5702</v>
      </c>
      <c r="C2873" s="97" t="s">
        <v>2278</v>
      </c>
      <c r="D2873" s="88"/>
      <c r="E2873" s="89">
        <v>62262641</v>
      </c>
      <c r="F2873"/>
      <c r="G2873" s="17" t="s">
        <v>8</v>
      </c>
      <c r="H2873" s="132"/>
      <c r="J2873"/>
      <c r="K2873" t="s">
        <v>5840</v>
      </c>
      <c r="L2873"/>
    </row>
    <row r="2874" spans="1:12">
      <c r="A2874" s="95" t="s">
        <v>2088</v>
      </c>
      <c r="B2874" t="s">
        <v>5702</v>
      </c>
      <c r="C2874" s="97" t="s">
        <v>2279</v>
      </c>
      <c r="D2874" s="88"/>
      <c r="E2874" s="89">
        <v>66058659</v>
      </c>
      <c r="F2874"/>
      <c r="G2874" s="17" t="s">
        <v>9</v>
      </c>
      <c r="H2874" s="132"/>
      <c r="J2874"/>
      <c r="K2874"/>
      <c r="L2874"/>
    </row>
    <row r="2875" spans="1:12">
      <c r="A2875" s="95" t="s">
        <v>2088</v>
      </c>
      <c r="B2875" t="s">
        <v>5702</v>
      </c>
      <c r="C2875" s="97" t="s">
        <v>2280</v>
      </c>
      <c r="D2875" s="88"/>
      <c r="E2875" s="89">
        <v>66899954</v>
      </c>
      <c r="F2875"/>
      <c r="G2875" s="17" t="s">
        <v>1</v>
      </c>
      <c r="H2875" s="132"/>
      <c r="J2875"/>
      <c r="K2875"/>
      <c r="L2875"/>
    </row>
    <row r="2876" spans="1:12">
      <c r="A2876" s="95" t="s">
        <v>2088</v>
      </c>
      <c r="B2876" t="s">
        <v>5702</v>
      </c>
      <c r="C2876" s="87" t="s">
        <v>2281</v>
      </c>
      <c r="D2876" s="88"/>
      <c r="E2876" s="89">
        <v>68904792</v>
      </c>
      <c r="F2876"/>
      <c r="G2876" s="17" t="s">
        <v>2</v>
      </c>
      <c r="H2876" s="132"/>
      <c r="J2876"/>
      <c r="K2876"/>
      <c r="L2876"/>
    </row>
    <row r="2877" spans="1:12">
      <c r="A2877" s="95" t="s">
        <v>2088</v>
      </c>
      <c r="B2877" t="s">
        <v>5702</v>
      </c>
      <c r="C2877" s="87" t="s">
        <v>2282</v>
      </c>
      <c r="D2877" s="88"/>
      <c r="E2877" s="89">
        <v>66200089</v>
      </c>
      <c r="F2877"/>
      <c r="G2877" s="17" t="s">
        <v>1</v>
      </c>
      <c r="H2877" s="132"/>
      <c r="J2877"/>
      <c r="K2877"/>
      <c r="L2877"/>
    </row>
    <row r="2878" spans="1:12">
      <c r="A2878" s="95" t="s">
        <v>2088</v>
      </c>
      <c r="B2878" t="s">
        <v>5702</v>
      </c>
      <c r="C2878" s="87" t="s">
        <v>2283</v>
      </c>
      <c r="D2878" s="88"/>
      <c r="E2878" s="89">
        <v>66453186</v>
      </c>
      <c r="F2878"/>
      <c r="G2878" s="17" t="s">
        <v>8</v>
      </c>
      <c r="H2878" s="132"/>
      <c r="J2878"/>
      <c r="K2878"/>
      <c r="L2878"/>
    </row>
    <row r="2879" spans="1:12">
      <c r="A2879" s="95" t="s">
        <v>2088</v>
      </c>
      <c r="B2879" t="s">
        <v>5702</v>
      </c>
      <c r="C2879" s="87" t="s">
        <v>2284</v>
      </c>
      <c r="D2879" s="88"/>
      <c r="E2879" s="89">
        <v>7714555</v>
      </c>
      <c r="F2879"/>
      <c r="G2879" s="17" t="s">
        <v>6</v>
      </c>
      <c r="H2879" s="132"/>
      <c r="J2879"/>
      <c r="K2879"/>
      <c r="L2879"/>
    </row>
    <row r="2880" spans="1:12">
      <c r="A2880" s="95" t="s">
        <v>2088</v>
      </c>
      <c r="B2880" t="s">
        <v>5702</v>
      </c>
      <c r="C2880" s="87" t="s">
        <v>2285</v>
      </c>
      <c r="D2880" s="88"/>
      <c r="E2880" s="89">
        <v>63630800</v>
      </c>
      <c r="F2880"/>
      <c r="G2880" s="17" t="s">
        <v>2</v>
      </c>
      <c r="H2880" s="132"/>
      <c r="J2880"/>
      <c r="K2880"/>
      <c r="L2880"/>
    </row>
    <row r="2881" spans="1:12">
      <c r="A2881" s="95" t="s">
        <v>2088</v>
      </c>
      <c r="B2881" t="s">
        <v>5702</v>
      </c>
      <c r="C2881" s="87" t="s">
        <v>2286</v>
      </c>
      <c r="D2881" s="88"/>
      <c r="E2881" s="89">
        <v>62339002</v>
      </c>
      <c r="F2881"/>
      <c r="G2881" s="17" t="s">
        <v>3</v>
      </c>
      <c r="H2881" s="132"/>
      <c r="J2881"/>
      <c r="K2881"/>
      <c r="L2881"/>
    </row>
    <row r="2882" spans="1:12">
      <c r="A2882" s="95" t="s">
        <v>2088</v>
      </c>
      <c r="B2882" t="s">
        <v>5702</v>
      </c>
      <c r="C2882" s="87" t="s">
        <v>2287</v>
      </c>
      <c r="D2882" s="88"/>
      <c r="E2882" s="89">
        <v>65794871</v>
      </c>
      <c r="F2882"/>
      <c r="G2882" s="17" t="s">
        <v>2</v>
      </c>
      <c r="H2882" s="132"/>
      <c r="J2882"/>
      <c r="K2882"/>
      <c r="L2882"/>
    </row>
    <row r="2883" spans="1:12">
      <c r="A2883" s="95" t="s">
        <v>2088</v>
      </c>
      <c r="B2883" t="s">
        <v>5702</v>
      </c>
      <c r="C2883" s="87" t="s">
        <v>2288</v>
      </c>
      <c r="D2883" s="88"/>
      <c r="E2883" s="89">
        <v>65133276</v>
      </c>
      <c r="F2883"/>
      <c r="G2883" s="17" t="s">
        <v>2</v>
      </c>
      <c r="H2883" s="132"/>
      <c r="J2883"/>
      <c r="K2883"/>
      <c r="L2883"/>
    </row>
    <row r="2884" spans="1:12">
      <c r="A2884" s="95" t="s">
        <v>2088</v>
      </c>
      <c r="B2884" t="s">
        <v>5702</v>
      </c>
      <c r="C2884" s="87" t="s">
        <v>2289</v>
      </c>
      <c r="D2884" s="88"/>
      <c r="E2884" s="89">
        <v>67145429</v>
      </c>
      <c r="F2884"/>
      <c r="G2884" s="17" t="s">
        <v>6</v>
      </c>
      <c r="H2884" s="132"/>
      <c r="J2884"/>
      <c r="K2884"/>
      <c r="L2884"/>
    </row>
    <row r="2885" spans="1:12" ht="24">
      <c r="A2885" s="95" t="s">
        <v>2088</v>
      </c>
      <c r="B2885" t="s">
        <v>5702</v>
      </c>
      <c r="C2885" s="97" t="s">
        <v>2290</v>
      </c>
      <c r="D2885" s="88"/>
      <c r="E2885" s="89">
        <v>7203407</v>
      </c>
      <c r="F2885"/>
      <c r="G2885" s="17" t="s">
        <v>9</v>
      </c>
      <c r="H2885" s="132"/>
      <c r="J2885"/>
      <c r="K2885"/>
      <c r="L2885"/>
    </row>
    <row r="2886" spans="1:12">
      <c r="A2886" s="95" t="s">
        <v>2088</v>
      </c>
      <c r="B2886" t="s">
        <v>5702</v>
      </c>
      <c r="C2886" s="87" t="s">
        <v>2291</v>
      </c>
      <c r="D2886" s="88"/>
      <c r="E2886" s="89">
        <v>7706499</v>
      </c>
      <c r="F2886"/>
      <c r="G2886" s="17" t="s">
        <v>6</v>
      </c>
      <c r="H2886" s="132"/>
      <c r="J2886"/>
      <c r="K2886"/>
      <c r="L2886"/>
    </row>
    <row r="2887" spans="1:12">
      <c r="A2887" s="95" t="s">
        <v>2088</v>
      </c>
      <c r="B2887" t="s">
        <v>5702</v>
      </c>
      <c r="C2887" s="87" t="s">
        <v>2292</v>
      </c>
      <c r="D2887" s="88"/>
      <c r="E2887" s="89">
        <v>7201711</v>
      </c>
      <c r="F2887"/>
      <c r="G2887" s="17" t="s">
        <v>6</v>
      </c>
      <c r="H2887" s="132"/>
      <c r="J2887"/>
      <c r="K2887" t="s">
        <v>5841</v>
      </c>
      <c r="L2887"/>
    </row>
    <row r="2888" spans="1:12">
      <c r="A2888" s="95" t="s">
        <v>2088</v>
      </c>
      <c r="B2888" t="s">
        <v>5702</v>
      </c>
      <c r="C2888" s="87" t="s">
        <v>2293</v>
      </c>
      <c r="D2888" s="88"/>
      <c r="E2888" s="89">
        <v>64257777</v>
      </c>
      <c r="F2888"/>
      <c r="G2888" s="17" t="s">
        <v>2</v>
      </c>
      <c r="H2888" s="132"/>
      <c r="J2888"/>
      <c r="K2888"/>
      <c r="L2888"/>
    </row>
    <row r="2889" spans="1:12">
      <c r="A2889" s="95" t="s">
        <v>2088</v>
      </c>
      <c r="B2889" t="s">
        <v>5702</v>
      </c>
      <c r="C2889" s="87" t="s">
        <v>2294</v>
      </c>
      <c r="D2889" s="88"/>
      <c r="E2889" s="89">
        <v>62177409</v>
      </c>
      <c r="F2889"/>
      <c r="G2889" s="17" t="s">
        <v>6</v>
      </c>
      <c r="H2889" s="132"/>
      <c r="J2889"/>
      <c r="K2889"/>
      <c r="L2889"/>
    </row>
    <row r="2890" spans="1:12">
      <c r="A2890" s="95" t="s">
        <v>2088</v>
      </c>
      <c r="B2890" t="s">
        <v>5702</v>
      </c>
      <c r="C2890" s="87" t="s">
        <v>2295</v>
      </c>
      <c r="D2890" s="88"/>
      <c r="E2890" s="89">
        <v>69231356</v>
      </c>
      <c r="F2890"/>
      <c r="G2890" s="17" t="s">
        <v>8</v>
      </c>
      <c r="H2890" s="132"/>
      <c r="J2890"/>
      <c r="K2890" t="s">
        <v>5842</v>
      </c>
      <c r="L2890"/>
    </row>
    <row r="2891" spans="1:12">
      <c r="A2891" s="95" t="s">
        <v>2088</v>
      </c>
      <c r="B2891" t="s">
        <v>5702</v>
      </c>
      <c r="C2891" s="87" t="s">
        <v>2296</v>
      </c>
      <c r="D2891" s="88"/>
      <c r="E2891" s="89">
        <v>65709020</v>
      </c>
      <c r="F2891"/>
      <c r="G2891" s="17" t="s">
        <v>6</v>
      </c>
      <c r="H2891" s="132"/>
      <c r="J2891"/>
      <c r="K2891"/>
      <c r="L2891"/>
    </row>
    <row r="2892" spans="1:12">
      <c r="A2892" s="95" t="s">
        <v>2088</v>
      </c>
      <c r="B2892" t="s">
        <v>5702</v>
      </c>
      <c r="C2892" s="87" t="s">
        <v>2297</v>
      </c>
      <c r="D2892" s="88"/>
      <c r="E2892" s="89">
        <v>7755485</v>
      </c>
      <c r="F2892"/>
      <c r="G2892" s="17" t="s">
        <v>9</v>
      </c>
      <c r="H2892" s="132"/>
      <c r="J2892"/>
      <c r="K2892"/>
      <c r="L2892"/>
    </row>
    <row r="2893" spans="1:12">
      <c r="A2893" s="95" t="s">
        <v>2088</v>
      </c>
      <c r="B2893" t="s">
        <v>5702</v>
      </c>
      <c r="C2893" s="87" t="s">
        <v>2298</v>
      </c>
      <c r="D2893" s="88"/>
      <c r="E2893" s="89">
        <v>64352664</v>
      </c>
      <c r="F2893"/>
      <c r="G2893" s="17" t="s">
        <v>6</v>
      </c>
      <c r="H2893" s="132"/>
      <c r="J2893"/>
      <c r="K2893"/>
      <c r="L2893"/>
    </row>
    <row r="2894" spans="1:12">
      <c r="A2894" s="95" t="s">
        <v>2088</v>
      </c>
      <c r="B2894" t="s">
        <v>5702</v>
      </c>
      <c r="C2894" s="87" t="s">
        <v>2299</v>
      </c>
      <c r="D2894" s="88"/>
      <c r="E2894" s="89">
        <v>69573753</v>
      </c>
      <c r="F2894"/>
      <c r="G2894" s="17" t="s">
        <v>6</v>
      </c>
      <c r="H2894" s="132"/>
      <c r="J2894"/>
      <c r="K2894"/>
      <c r="L2894"/>
    </row>
    <row r="2895" spans="1:12">
      <c r="A2895" s="95" t="s">
        <v>2088</v>
      </c>
      <c r="B2895" t="s">
        <v>5702</v>
      </c>
      <c r="C2895" s="87" t="s">
        <v>2300</v>
      </c>
      <c r="D2895" s="88"/>
      <c r="E2895" s="89">
        <v>66455921</v>
      </c>
      <c r="F2895"/>
      <c r="G2895" s="17" t="s">
        <v>2</v>
      </c>
      <c r="H2895" s="132"/>
      <c r="J2895"/>
      <c r="K2895"/>
      <c r="L2895"/>
    </row>
    <row r="2896" spans="1:12">
      <c r="A2896" s="95" t="s">
        <v>2088</v>
      </c>
      <c r="B2896" t="s">
        <v>5702</v>
      </c>
      <c r="C2896" s="87" t="s">
        <v>2301</v>
      </c>
      <c r="D2896" s="88"/>
      <c r="E2896" s="89">
        <v>61508079</v>
      </c>
      <c r="F2896"/>
      <c r="G2896" s="17" t="s">
        <v>8</v>
      </c>
      <c r="H2896" s="132"/>
      <c r="J2896"/>
      <c r="K2896"/>
      <c r="L2896"/>
    </row>
    <row r="2897" spans="1:12">
      <c r="A2897" s="95" t="s">
        <v>2088</v>
      </c>
      <c r="B2897" t="s">
        <v>5702</v>
      </c>
      <c r="C2897" s="87" t="s">
        <v>2302</v>
      </c>
      <c r="D2897" s="88"/>
      <c r="E2897" s="89">
        <v>7270013</v>
      </c>
      <c r="F2897"/>
      <c r="G2897" s="17" t="s">
        <v>9</v>
      </c>
      <c r="H2897" s="132"/>
      <c r="J2897"/>
      <c r="K2897"/>
      <c r="L2897"/>
    </row>
    <row r="2898" spans="1:12">
      <c r="A2898" s="95" t="s">
        <v>2088</v>
      </c>
      <c r="B2898" t="s">
        <v>5702</v>
      </c>
      <c r="C2898" s="87" t="s">
        <v>2303</v>
      </c>
      <c r="D2898" s="88"/>
      <c r="E2898" s="89">
        <v>68336581</v>
      </c>
      <c r="F2898"/>
      <c r="G2898" s="17" t="s">
        <v>8</v>
      </c>
      <c r="H2898" s="132"/>
      <c r="J2898"/>
      <c r="K2898"/>
      <c r="L2898"/>
    </row>
    <row r="2899" spans="1:12">
      <c r="A2899" s="95" t="s">
        <v>2088</v>
      </c>
      <c r="B2899" t="s">
        <v>5843</v>
      </c>
      <c r="C2899" s="87" t="s">
        <v>2304</v>
      </c>
      <c r="D2899" s="88"/>
      <c r="E2899" s="89">
        <v>65921466</v>
      </c>
      <c r="F2899"/>
      <c r="G2899" s="17" t="s">
        <v>2</v>
      </c>
      <c r="H2899" s="132"/>
      <c r="J2899"/>
      <c r="K2899"/>
      <c r="L2899"/>
    </row>
    <row r="2900" spans="1:12">
      <c r="A2900" s="95" t="s">
        <v>2088</v>
      </c>
      <c r="B2900" t="s">
        <v>5843</v>
      </c>
      <c r="C2900" s="87" t="s">
        <v>2305</v>
      </c>
      <c r="D2900" s="88"/>
      <c r="E2900" s="89">
        <v>67954914</v>
      </c>
      <c r="F2900"/>
      <c r="G2900" s="17" t="s">
        <v>5</v>
      </c>
      <c r="H2900" s="132"/>
      <c r="J2900"/>
      <c r="K2900"/>
      <c r="L2900"/>
    </row>
    <row r="2901" spans="1:12">
      <c r="A2901" s="95" t="s">
        <v>2088</v>
      </c>
      <c r="B2901" t="s">
        <v>5843</v>
      </c>
      <c r="C2901" s="87" t="s">
        <v>2306</v>
      </c>
      <c r="D2901" s="88"/>
      <c r="E2901" s="89">
        <v>63175050</v>
      </c>
      <c r="F2901"/>
      <c r="G2901" s="17" t="s">
        <v>2</v>
      </c>
      <c r="H2901" s="132"/>
      <c r="J2901"/>
      <c r="K2901"/>
      <c r="L2901"/>
    </row>
    <row r="2902" spans="1:12">
      <c r="A2902" s="95" t="s">
        <v>2088</v>
      </c>
      <c r="B2902" t="s">
        <v>5843</v>
      </c>
      <c r="C2902" s="87" t="s">
        <v>2307</v>
      </c>
      <c r="D2902" s="88"/>
      <c r="E2902" s="89">
        <v>68833518</v>
      </c>
      <c r="F2902"/>
      <c r="G2902" s="17" t="s">
        <v>6</v>
      </c>
      <c r="H2902" s="132"/>
      <c r="J2902"/>
      <c r="K2902"/>
      <c r="L2902"/>
    </row>
    <row r="2903" spans="1:12">
      <c r="A2903" s="95" t="s">
        <v>2088</v>
      </c>
      <c r="B2903" t="s">
        <v>5843</v>
      </c>
      <c r="C2903" s="97" t="s">
        <v>2308</v>
      </c>
      <c r="D2903" s="88"/>
      <c r="E2903" s="89">
        <v>65156750</v>
      </c>
      <c r="F2903"/>
      <c r="G2903" s="17" t="s">
        <v>8</v>
      </c>
      <c r="H2903" s="132"/>
      <c r="J2903"/>
      <c r="K2903"/>
      <c r="L2903"/>
    </row>
    <row r="2904" spans="1:12">
      <c r="A2904" s="95" t="s">
        <v>2088</v>
      </c>
      <c r="B2904" t="s">
        <v>5843</v>
      </c>
      <c r="C2904" s="87" t="s">
        <v>2309</v>
      </c>
      <c r="D2904" s="88"/>
      <c r="E2904" s="89">
        <v>65216132</v>
      </c>
      <c r="F2904"/>
      <c r="G2904" s="17" t="s">
        <v>6</v>
      </c>
      <c r="H2904" s="132"/>
      <c r="J2904"/>
      <c r="K2904"/>
      <c r="L2904" t="s">
        <v>5844</v>
      </c>
    </row>
    <row r="2905" spans="1:12">
      <c r="A2905" s="95" t="s">
        <v>2088</v>
      </c>
      <c r="B2905" t="s">
        <v>5843</v>
      </c>
      <c r="C2905" s="87" t="s">
        <v>2310</v>
      </c>
      <c r="D2905" s="88"/>
      <c r="E2905" s="89">
        <v>66015793</v>
      </c>
      <c r="F2905"/>
      <c r="G2905" s="17" t="s">
        <v>6</v>
      </c>
      <c r="H2905" s="132"/>
      <c r="J2905"/>
      <c r="K2905"/>
      <c r="L2905"/>
    </row>
    <row r="2906" spans="1:12">
      <c r="A2906" s="95" t="s">
        <v>2088</v>
      </c>
      <c r="B2906" t="s">
        <v>5843</v>
      </c>
      <c r="C2906" s="87" t="s">
        <v>2311</v>
      </c>
      <c r="D2906" s="88"/>
      <c r="E2906" s="89">
        <v>7752053</v>
      </c>
      <c r="F2906"/>
      <c r="G2906" s="17" t="s">
        <v>5</v>
      </c>
      <c r="H2906" s="132"/>
      <c r="J2906"/>
      <c r="K2906"/>
      <c r="L2906"/>
    </row>
    <row r="2907" spans="1:12">
      <c r="A2907" s="95" t="s">
        <v>2088</v>
      </c>
      <c r="B2907" t="s">
        <v>5843</v>
      </c>
      <c r="C2907" s="87" t="s">
        <v>2312</v>
      </c>
      <c r="D2907" s="88"/>
      <c r="E2907" s="89">
        <v>65430451</v>
      </c>
      <c r="F2907"/>
      <c r="G2907" s="17" t="s">
        <v>6</v>
      </c>
      <c r="H2907" s="132"/>
      <c r="J2907"/>
      <c r="K2907"/>
      <c r="L2907"/>
    </row>
    <row r="2908" spans="1:12">
      <c r="A2908" s="95" t="s">
        <v>2088</v>
      </c>
      <c r="B2908" t="s">
        <v>5843</v>
      </c>
      <c r="C2908" s="87" t="s">
        <v>2313</v>
      </c>
      <c r="D2908" s="88"/>
      <c r="E2908" s="89">
        <v>69576349</v>
      </c>
      <c r="F2908"/>
      <c r="G2908" s="17" t="s">
        <v>1</v>
      </c>
      <c r="H2908" s="132"/>
      <c r="J2908"/>
      <c r="K2908"/>
      <c r="L2908"/>
    </row>
    <row r="2909" spans="1:12">
      <c r="A2909" s="95" t="s">
        <v>2088</v>
      </c>
      <c r="B2909" t="s">
        <v>5843</v>
      </c>
      <c r="C2909" s="97" t="s">
        <v>2314</v>
      </c>
      <c r="D2909" s="88"/>
      <c r="E2909" s="89">
        <v>64317597</v>
      </c>
      <c r="F2909"/>
      <c r="G2909" s="17" t="s">
        <v>2</v>
      </c>
      <c r="H2909" s="132"/>
      <c r="J2909"/>
      <c r="K2909"/>
      <c r="L2909"/>
    </row>
    <row r="2910" spans="1:12">
      <c r="A2910" s="95" t="s">
        <v>2088</v>
      </c>
      <c r="B2910" t="s">
        <v>5843</v>
      </c>
      <c r="C2910" s="87" t="s">
        <v>2315</v>
      </c>
      <c r="D2910" s="88"/>
      <c r="E2910" s="89">
        <v>64080991</v>
      </c>
      <c r="F2910"/>
      <c r="G2910" s="17" t="s">
        <v>3</v>
      </c>
      <c r="H2910" s="132"/>
      <c r="J2910"/>
      <c r="K2910"/>
      <c r="L2910"/>
    </row>
    <row r="2911" spans="1:12">
      <c r="A2911" s="95" t="s">
        <v>2088</v>
      </c>
      <c r="B2911" t="s">
        <v>5843</v>
      </c>
      <c r="C2911" s="87" t="s">
        <v>2316</v>
      </c>
      <c r="D2911" s="88"/>
      <c r="E2911" s="89">
        <v>69854490</v>
      </c>
      <c r="F2911"/>
      <c r="G2911" s="17" t="s">
        <v>6</v>
      </c>
      <c r="H2911" s="132"/>
      <c r="J2911"/>
      <c r="K2911"/>
      <c r="L2911"/>
    </row>
    <row r="2912" spans="1:12">
      <c r="A2912" s="95" t="s">
        <v>2088</v>
      </c>
      <c r="B2912" t="s">
        <v>5843</v>
      </c>
      <c r="C2912" s="87" t="s">
        <v>2317</v>
      </c>
      <c r="D2912" s="88"/>
      <c r="E2912" s="89">
        <v>61615531</v>
      </c>
      <c r="F2912"/>
      <c r="G2912" s="17" t="s">
        <v>3</v>
      </c>
      <c r="H2912" s="132"/>
      <c r="J2912"/>
      <c r="K2912"/>
      <c r="L2912"/>
    </row>
    <row r="2913" spans="1:12">
      <c r="A2913" s="95" t="s">
        <v>2088</v>
      </c>
      <c r="B2913" t="s">
        <v>5843</v>
      </c>
      <c r="C2913" s="87" t="s">
        <v>784</v>
      </c>
      <c r="D2913" s="88"/>
      <c r="E2913" s="89">
        <v>67495272</v>
      </c>
      <c r="F2913"/>
      <c r="G2913" s="17" t="s">
        <v>6</v>
      </c>
      <c r="H2913" s="132"/>
      <c r="J2913"/>
      <c r="K2913"/>
      <c r="L2913"/>
    </row>
    <row r="2914" spans="1:12">
      <c r="A2914" s="95" t="s">
        <v>2088</v>
      </c>
      <c r="B2914" t="s">
        <v>5843</v>
      </c>
      <c r="C2914" s="87" t="s">
        <v>2318</v>
      </c>
      <c r="D2914" s="88"/>
      <c r="E2914" s="89">
        <v>7707662</v>
      </c>
      <c r="F2914"/>
      <c r="G2914" s="17" t="s">
        <v>6</v>
      </c>
      <c r="H2914" s="132"/>
      <c r="J2914"/>
      <c r="K2914"/>
      <c r="L2914"/>
    </row>
    <row r="2915" spans="1:12">
      <c r="A2915" s="95" t="s">
        <v>2088</v>
      </c>
      <c r="B2915" t="s">
        <v>5843</v>
      </c>
      <c r="C2915" s="87" t="s">
        <v>2319</v>
      </c>
      <c r="D2915" s="88"/>
      <c r="E2915" s="89">
        <v>68145918</v>
      </c>
      <c r="F2915"/>
      <c r="G2915" s="17" t="s">
        <v>2</v>
      </c>
      <c r="H2915" s="132"/>
      <c r="J2915"/>
      <c r="K2915"/>
      <c r="L2915" t="s">
        <v>5845</v>
      </c>
    </row>
    <row r="2916" spans="1:12">
      <c r="A2916" s="95" t="s">
        <v>2088</v>
      </c>
      <c r="B2916" t="s">
        <v>5843</v>
      </c>
      <c r="C2916" s="87" t="s">
        <v>2320</v>
      </c>
      <c r="D2916" s="88"/>
      <c r="E2916" s="89">
        <v>68766292</v>
      </c>
      <c r="F2916"/>
      <c r="G2916" s="17" t="s">
        <v>8</v>
      </c>
      <c r="H2916" s="132"/>
      <c r="J2916"/>
      <c r="K2916"/>
      <c r="L2916"/>
    </row>
    <row r="2917" spans="1:12">
      <c r="A2917" s="95" t="s">
        <v>2088</v>
      </c>
      <c r="B2917" t="s">
        <v>5843</v>
      </c>
      <c r="C2917" s="87" t="s">
        <v>2321</v>
      </c>
      <c r="D2917" s="88"/>
      <c r="E2917" s="89">
        <v>68850164</v>
      </c>
      <c r="F2917"/>
      <c r="G2917" s="17" t="s">
        <v>6</v>
      </c>
      <c r="H2917" s="132"/>
      <c r="J2917"/>
      <c r="K2917"/>
      <c r="L2917"/>
    </row>
    <row r="2918" spans="1:12">
      <c r="A2918" s="95" t="s">
        <v>2088</v>
      </c>
      <c r="B2918" t="s">
        <v>5843</v>
      </c>
      <c r="C2918" s="87" t="s">
        <v>2322</v>
      </c>
      <c r="D2918" s="88"/>
      <c r="E2918" s="89">
        <v>63780917</v>
      </c>
      <c r="F2918"/>
      <c r="G2918" s="17" t="s">
        <v>8</v>
      </c>
      <c r="H2918" s="132"/>
      <c r="J2918"/>
      <c r="K2918"/>
      <c r="L2918" t="s">
        <v>5846</v>
      </c>
    </row>
    <row r="2919" spans="1:12">
      <c r="A2919" s="95" t="s">
        <v>2088</v>
      </c>
      <c r="B2919" t="s">
        <v>5843</v>
      </c>
      <c r="C2919" s="87" t="s">
        <v>2323</v>
      </c>
      <c r="D2919" s="88"/>
      <c r="E2919" s="89">
        <v>62617677</v>
      </c>
      <c r="F2919"/>
      <c r="G2919" s="17" t="s">
        <v>6</v>
      </c>
      <c r="H2919" s="132"/>
      <c r="J2919"/>
      <c r="K2919"/>
      <c r="L2919"/>
    </row>
    <row r="2920" spans="1:12">
      <c r="A2920" s="95" t="s">
        <v>2088</v>
      </c>
      <c r="B2920" t="s">
        <v>5843</v>
      </c>
      <c r="C2920" s="87" t="s">
        <v>2324</v>
      </c>
      <c r="D2920" s="88"/>
      <c r="E2920" s="89">
        <v>7774887</v>
      </c>
      <c r="F2920" s="99" t="s">
        <v>5847</v>
      </c>
      <c r="G2920" s="17" t="s">
        <v>8</v>
      </c>
      <c r="H2920" s="132"/>
      <c r="J2920"/>
      <c r="K2920"/>
      <c r="L2920" t="s">
        <v>5848</v>
      </c>
    </row>
    <row r="2921" spans="1:12">
      <c r="A2921" s="95" t="s">
        <v>2088</v>
      </c>
      <c r="B2921" t="s">
        <v>5843</v>
      </c>
      <c r="C2921" s="87" t="s">
        <v>2325</v>
      </c>
      <c r="D2921" s="88"/>
      <c r="E2921" s="89">
        <v>65555519</v>
      </c>
      <c r="F2921"/>
      <c r="G2921" s="17" t="s">
        <v>1</v>
      </c>
      <c r="H2921" s="132"/>
      <c r="J2921"/>
      <c r="K2921"/>
      <c r="L2921"/>
    </row>
    <row r="2922" spans="1:12" ht="24">
      <c r="A2922" s="95" t="s">
        <v>2088</v>
      </c>
      <c r="B2922" t="s">
        <v>5843</v>
      </c>
      <c r="C2922" s="97" t="s">
        <v>2326</v>
      </c>
      <c r="D2922" s="88"/>
      <c r="E2922" s="89">
        <v>69411522</v>
      </c>
      <c r="F2922"/>
      <c r="G2922" s="17" t="s">
        <v>8</v>
      </c>
      <c r="H2922" s="132"/>
      <c r="J2922"/>
      <c r="K2922"/>
      <c r="L2922"/>
    </row>
    <row r="2923" spans="1:12">
      <c r="A2923" s="95" t="s">
        <v>2088</v>
      </c>
      <c r="B2923" t="s">
        <v>5843</v>
      </c>
      <c r="C2923" s="87" t="s">
        <v>2327</v>
      </c>
      <c r="D2923" s="88"/>
      <c r="E2923" s="89">
        <v>63144922</v>
      </c>
      <c r="F2923"/>
      <c r="G2923" s="17" t="s">
        <v>3</v>
      </c>
      <c r="H2923" s="132"/>
      <c r="J2923"/>
      <c r="K2923"/>
      <c r="L2923" t="s">
        <v>3660</v>
      </c>
    </row>
    <row r="2924" spans="1:12">
      <c r="A2924" s="95" t="s">
        <v>2088</v>
      </c>
      <c r="B2924" t="s">
        <v>5843</v>
      </c>
      <c r="C2924" s="87" t="s">
        <v>2328</v>
      </c>
      <c r="D2924" s="88"/>
      <c r="E2924" s="89">
        <v>66429916</v>
      </c>
      <c r="F2924"/>
      <c r="G2924" s="17" t="s">
        <v>6</v>
      </c>
      <c r="H2924" s="132"/>
      <c r="J2924"/>
      <c r="K2924"/>
      <c r="L2924"/>
    </row>
    <row r="2925" spans="1:12">
      <c r="A2925" s="95" t="s">
        <v>2088</v>
      </c>
      <c r="B2925" t="s">
        <v>5843</v>
      </c>
      <c r="C2925" s="87" t="s">
        <v>2329</v>
      </c>
      <c r="D2925" s="88"/>
      <c r="E2925" s="89">
        <v>66498040</v>
      </c>
      <c r="F2925"/>
      <c r="G2925" s="17" t="s">
        <v>1</v>
      </c>
      <c r="H2925" s="132"/>
      <c r="J2925"/>
      <c r="K2925"/>
      <c r="L2925"/>
    </row>
    <row r="2926" spans="1:12" ht="24">
      <c r="A2926" s="95" t="s">
        <v>2088</v>
      </c>
      <c r="B2926" t="s">
        <v>5843</v>
      </c>
      <c r="C2926" s="97" t="s">
        <v>2330</v>
      </c>
      <c r="D2926" s="88"/>
      <c r="E2926" s="89">
        <v>64162718</v>
      </c>
      <c r="F2926"/>
      <c r="G2926" s="17" t="s">
        <v>6</v>
      </c>
      <c r="H2926" s="132"/>
      <c r="J2926"/>
      <c r="K2926"/>
      <c r="L2926" t="s">
        <v>5849</v>
      </c>
    </row>
    <row r="2927" spans="1:12" ht="24">
      <c r="A2927" s="95" t="s">
        <v>2088</v>
      </c>
      <c r="B2927" t="s">
        <v>5843</v>
      </c>
      <c r="C2927" s="97" t="s">
        <v>2331</v>
      </c>
      <c r="D2927" s="88"/>
      <c r="E2927" s="89">
        <v>7880173</v>
      </c>
      <c r="F2927"/>
      <c r="G2927" s="17" t="s">
        <v>8</v>
      </c>
      <c r="H2927" s="132"/>
      <c r="J2927"/>
      <c r="K2927"/>
      <c r="L2927" t="s">
        <v>5850</v>
      </c>
    </row>
    <row r="2928" spans="1:12">
      <c r="A2928" s="95" t="s">
        <v>2088</v>
      </c>
      <c r="B2928" t="s">
        <v>5843</v>
      </c>
      <c r="C2928" s="97" t="s">
        <v>2332</v>
      </c>
      <c r="D2928" s="88"/>
      <c r="E2928" s="89">
        <v>7790474</v>
      </c>
      <c r="F2928"/>
      <c r="G2928" s="17" t="s">
        <v>6</v>
      </c>
      <c r="H2928" s="132"/>
      <c r="J2928"/>
      <c r="K2928"/>
      <c r="L2928" t="s">
        <v>5851</v>
      </c>
    </row>
    <row r="2929" spans="1:12">
      <c r="A2929" s="95" t="s">
        <v>2088</v>
      </c>
      <c r="B2929" t="s">
        <v>5843</v>
      </c>
      <c r="C2929" s="97" t="s">
        <v>2333</v>
      </c>
      <c r="D2929" s="88"/>
      <c r="E2929" s="89">
        <v>66381257</v>
      </c>
      <c r="F2929" s="99" t="s">
        <v>5852</v>
      </c>
      <c r="G2929" s="17" t="s">
        <v>7</v>
      </c>
      <c r="H2929" s="132"/>
      <c r="J2929"/>
      <c r="K2929"/>
      <c r="L2929" t="s">
        <v>5853</v>
      </c>
    </row>
    <row r="2930" spans="1:12">
      <c r="A2930" s="95" t="s">
        <v>2088</v>
      </c>
      <c r="B2930" t="s">
        <v>5843</v>
      </c>
      <c r="C2930" s="97" t="s">
        <v>2334</v>
      </c>
      <c r="D2930" s="88"/>
      <c r="E2930" s="89">
        <v>67064577</v>
      </c>
      <c r="F2930"/>
      <c r="G2930" s="17" t="s">
        <v>3</v>
      </c>
      <c r="H2930" s="132"/>
      <c r="J2930"/>
      <c r="K2930"/>
      <c r="L2930"/>
    </row>
    <row r="2931" spans="1:12">
      <c r="A2931" s="95" t="s">
        <v>2088</v>
      </c>
      <c r="B2931" t="s">
        <v>5843</v>
      </c>
      <c r="C2931" s="97" t="s">
        <v>2335</v>
      </c>
      <c r="D2931" s="88"/>
      <c r="E2931" s="89">
        <v>7743627</v>
      </c>
      <c r="F2931"/>
      <c r="G2931" s="17" t="s">
        <v>8</v>
      </c>
      <c r="H2931" s="132"/>
      <c r="J2931"/>
      <c r="K2931"/>
      <c r="L2931" t="s">
        <v>5854</v>
      </c>
    </row>
    <row r="2932" spans="1:12">
      <c r="A2932" s="95" t="s">
        <v>2088</v>
      </c>
      <c r="B2932" t="s">
        <v>5843</v>
      </c>
      <c r="C2932" s="97" t="s">
        <v>2336</v>
      </c>
      <c r="D2932" s="88"/>
      <c r="E2932" s="89">
        <v>7850191</v>
      </c>
      <c r="F2932"/>
      <c r="G2932" s="17" t="s">
        <v>9</v>
      </c>
      <c r="H2932" s="132"/>
      <c r="J2932"/>
      <c r="K2932"/>
      <c r="L2932"/>
    </row>
    <row r="2933" spans="1:12" ht="24">
      <c r="A2933" s="95" t="s">
        <v>2088</v>
      </c>
      <c r="B2933" t="s">
        <v>5843</v>
      </c>
      <c r="C2933" s="97" t="s">
        <v>2337</v>
      </c>
      <c r="D2933" s="88"/>
      <c r="E2933" s="89">
        <v>68209621</v>
      </c>
      <c r="F2933"/>
      <c r="G2933" s="17" t="s">
        <v>4</v>
      </c>
      <c r="H2933" s="132"/>
      <c r="J2933"/>
      <c r="K2933"/>
      <c r="L2933" t="s">
        <v>3159</v>
      </c>
    </row>
    <row r="2934" spans="1:12">
      <c r="A2934" s="95" t="s">
        <v>2088</v>
      </c>
      <c r="B2934" t="s">
        <v>5843</v>
      </c>
      <c r="C2934" s="87" t="s">
        <v>2338</v>
      </c>
      <c r="D2934" s="88"/>
      <c r="E2934" s="89">
        <v>69067632</v>
      </c>
      <c r="F2934"/>
      <c r="G2934" s="17" t="s">
        <v>2</v>
      </c>
      <c r="H2934" s="132"/>
      <c r="J2934"/>
      <c r="K2934"/>
      <c r="L2934"/>
    </row>
    <row r="2935" spans="1:12">
      <c r="A2935" s="95" t="s">
        <v>2088</v>
      </c>
      <c r="B2935" t="s">
        <v>5843</v>
      </c>
      <c r="C2935" s="87" t="s">
        <v>2339</v>
      </c>
      <c r="D2935" s="88"/>
      <c r="E2935" s="89">
        <v>63426728</v>
      </c>
      <c r="F2935"/>
      <c r="G2935" s="17" t="s">
        <v>9</v>
      </c>
      <c r="H2935" s="132"/>
      <c r="J2935"/>
      <c r="K2935"/>
      <c r="L2935"/>
    </row>
    <row r="2936" spans="1:12">
      <c r="A2936" s="95" t="s">
        <v>2088</v>
      </c>
      <c r="B2936" t="s">
        <v>5843</v>
      </c>
      <c r="C2936" s="87" t="s">
        <v>2340</v>
      </c>
      <c r="D2936" s="88"/>
      <c r="E2936" s="89">
        <v>67071844</v>
      </c>
      <c r="F2936"/>
      <c r="G2936" s="17" t="s">
        <v>2</v>
      </c>
      <c r="H2936" s="132"/>
      <c r="J2936"/>
      <c r="K2936"/>
      <c r="L2936"/>
    </row>
    <row r="2937" spans="1:12">
      <c r="A2937" s="95" t="s">
        <v>2088</v>
      </c>
      <c r="B2937" t="s">
        <v>5843</v>
      </c>
      <c r="C2937" s="87" t="s">
        <v>2341</v>
      </c>
      <c r="D2937" s="88"/>
      <c r="E2937" s="89">
        <v>64109088</v>
      </c>
      <c r="F2937"/>
      <c r="G2937" s="17" t="s">
        <v>8</v>
      </c>
      <c r="H2937" s="132"/>
      <c r="J2937"/>
      <c r="K2937"/>
      <c r="L2937" t="s">
        <v>5855</v>
      </c>
    </row>
    <row r="2938" spans="1:12">
      <c r="A2938" s="95" t="s">
        <v>2088</v>
      </c>
      <c r="B2938" t="s">
        <v>5843</v>
      </c>
      <c r="C2938" s="87" t="s">
        <v>2342</v>
      </c>
      <c r="D2938" s="88"/>
      <c r="E2938" s="89">
        <v>68559338</v>
      </c>
      <c r="F2938"/>
      <c r="G2938" s="17" t="s">
        <v>3</v>
      </c>
      <c r="H2938" s="132"/>
      <c r="J2938"/>
      <c r="K2938"/>
      <c r="L2938" t="s">
        <v>5856</v>
      </c>
    </row>
    <row r="2939" spans="1:12">
      <c r="A2939" s="95" t="s">
        <v>2088</v>
      </c>
      <c r="B2939" t="s">
        <v>5843</v>
      </c>
      <c r="C2939" s="87" t="s">
        <v>2343</v>
      </c>
      <c r="D2939" s="88"/>
      <c r="E2939" s="89">
        <v>7751060</v>
      </c>
      <c r="F2939"/>
      <c r="G2939" s="17" t="s">
        <v>9</v>
      </c>
      <c r="H2939" s="132"/>
      <c r="J2939"/>
      <c r="K2939"/>
      <c r="L2939"/>
    </row>
    <row r="2940" spans="1:12">
      <c r="A2940" s="95" t="s">
        <v>2088</v>
      </c>
      <c r="B2940" t="s">
        <v>5843</v>
      </c>
      <c r="C2940" s="87" t="s">
        <v>2344</v>
      </c>
      <c r="D2940" s="88"/>
      <c r="E2940" s="89">
        <v>69310880</v>
      </c>
      <c r="F2940"/>
      <c r="G2940" s="17" t="s">
        <v>6</v>
      </c>
      <c r="H2940" s="132"/>
      <c r="J2940"/>
      <c r="K2940"/>
      <c r="L2940"/>
    </row>
    <row r="2941" spans="1:12">
      <c r="A2941" s="95" t="s">
        <v>2088</v>
      </c>
      <c r="B2941" t="s">
        <v>5843</v>
      </c>
      <c r="C2941" s="87" t="s">
        <v>2345</v>
      </c>
      <c r="D2941" s="88"/>
      <c r="E2941" s="89">
        <v>7740892</v>
      </c>
      <c r="F2941"/>
      <c r="G2941" s="17" t="s">
        <v>8</v>
      </c>
      <c r="H2941" s="132"/>
      <c r="J2941"/>
      <c r="K2941"/>
      <c r="L2941" t="s">
        <v>5857</v>
      </c>
    </row>
    <row r="2942" spans="1:12">
      <c r="A2942" s="95" t="s">
        <v>2088</v>
      </c>
      <c r="B2942" t="s">
        <v>5843</v>
      </c>
      <c r="C2942" s="87" t="s">
        <v>2346</v>
      </c>
      <c r="D2942" s="88"/>
      <c r="E2942" s="89">
        <v>63824751</v>
      </c>
      <c r="F2942"/>
      <c r="G2942" s="17" t="s">
        <v>8</v>
      </c>
      <c r="H2942" s="132"/>
      <c r="J2942"/>
      <c r="K2942"/>
      <c r="L2942" t="s">
        <v>5858</v>
      </c>
    </row>
    <row r="2943" spans="1:12">
      <c r="A2943" s="95" t="s">
        <v>2088</v>
      </c>
      <c r="B2943" t="s">
        <v>5843</v>
      </c>
      <c r="C2943" s="87" t="s">
        <v>2347</v>
      </c>
      <c r="D2943" s="88"/>
      <c r="E2943" s="89">
        <v>64316264</v>
      </c>
      <c r="F2943"/>
      <c r="G2943" s="17" t="s">
        <v>6</v>
      </c>
      <c r="H2943" s="132"/>
      <c r="J2943"/>
      <c r="K2943"/>
      <c r="L2943"/>
    </row>
    <row r="2944" spans="1:12">
      <c r="A2944" s="95" t="s">
        <v>2088</v>
      </c>
      <c r="B2944" t="s">
        <v>5843</v>
      </c>
      <c r="C2944" s="87" t="s">
        <v>2348</v>
      </c>
      <c r="D2944" s="88"/>
      <c r="E2944" s="89">
        <v>7715680</v>
      </c>
      <c r="F2944"/>
      <c r="G2944" s="17" t="s">
        <v>2</v>
      </c>
      <c r="H2944" s="132"/>
      <c r="J2944"/>
      <c r="K2944"/>
      <c r="L2944"/>
    </row>
    <row r="2945" spans="1:12">
      <c r="A2945" s="95" t="s">
        <v>2088</v>
      </c>
      <c r="B2945" t="s">
        <v>5843</v>
      </c>
      <c r="C2945" s="87" t="s">
        <v>2349</v>
      </c>
      <c r="D2945" s="88"/>
      <c r="E2945" s="89">
        <v>7755678</v>
      </c>
      <c r="F2945"/>
      <c r="G2945" s="17" t="s">
        <v>1</v>
      </c>
      <c r="H2945" s="132"/>
      <c r="J2945"/>
      <c r="K2945"/>
      <c r="L2945"/>
    </row>
    <row r="2946" spans="1:12">
      <c r="A2946" s="95" t="s">
        <v>2088</v>
      </c>
      <c r="B2946" t="s">
        <v>5843</v>
      </c>
      <c r="C2946" s="87" t="s">
        <v>2350</v>
      </c>
      <c r="D2946" s="88"/>
      <c r="E2946" s="89">
        <v>66709720</v>
      </c>
      <c r="F2946"/>
      <c r="G2946" s="17" t="s">
        <v>6</v>
      </c>
      <c r="H2946" s="132"/>
      <c r="J2946"/>
      <c r="K2946"/>
      <c r="L2946"/>
    </row>
    <row r="2947" spans="1:12">
      <c r="A2947" s="95" t="s">
        <v>2088</v>
      </c>
      <c r="B2947" t="s">
        <v>5843</v>
      </c>
      <c r="C2947" s="87" t="s">
        <v>2351</v>
      </c>
      <c r="D2947" s="88"/>
      <c r="E2947" s="89">
        <v>64410869</v>
      </c>
      <c r="F2947"/>
      <c r="G2947" s="17" t="s">
        <v>1</v>
      </c>
      <c r="H2947" s="132"/>
      <c r="J2947"/>
      <c r="K2947"/>
      <c r="L2947"/>
    </row>
    <row r="2948" spans="1:12">
      <c r="A2948" s="95" t="s">
        <v>2088</v>
      </c>
      <c r="B2948" t="s">
        <v>5843</v>
      </c>
      <c r="C2948" s="87" t="s">
        <v>2352</v>
      </c>
      <c r="D2948" s="88"/>
      <c r="E2948" s="89">
        <v>7758960</v>
      </c>
      <c r="F2948"/>
      <c r="G2948" s="17" t="s">
        <v>9</v>
      </c>
      <c r="H2948" s="132"/>
      <c r="J2948"/>
      <c r="K2948"/>
      <c r="L2948"/>
    </row>
    <row r="2949" spans="1:12">
      <c r="A2949" s="95" t="s">
        <v>2088</v>
      </c>
      <c r="B2949" t="s">
        <v>5843</v>
      </c>
      <c r="C2949" s="87" t="s">
        <v>2353</v>
      </c>
      <c r="D2949" s="88"/>
      <c r="E2949" s="89">
        <v>62578309</v>
      </c>
      <c r="F2949"/>
      <c r="G2949" s="17" t="s">
        <v>6</v>
      </c>
      <c r="H2949" s="132"/>
      <c r="J2949"/>
      <c r="K2949"/>
      <c r="L2949"/>
    </row>
    <row r="2950" spans="1:12">
      <c r="A2950" s="95" t="s">
        <v>2088</v>
      </c>
      <c r="B2950" t="s">
        <v>5843</v>
      </c>
      <c r="C2950" s="87" t="s">
        <v>2354</v>
      </c>
      <c r="D2950" s="88"/>
      <c r="E2950" s="89">
        <v>64081376</v>
      </c>
      <c r="F2950"/>
      <c r="G2950" s="17" t="s">
        <v>6</v>
      </c>
      <c r="H2950" s="132"/>
      <c r="J2950"/>
      <c r="K2950"/>
      <c r="L2950" t="s">
        <v>5859</v>
      </c>
    </row>
    <row r="2951" spans="1:12">
      <c r="A2951" s="95" t="s">
        <v>2088</v>
      </c>
      <c r="B2951" t="s">
        <v>5843</v>
      </c>
      <c r="C2951" s="87" t="s">
        <v>2355</v>
      </c>
      <c r="D2951" s="88"/>
      <c r="E2951" s="89">
        <v>67375409</v>
      </c>
      <c r="F2951"/>
      <c r="G2951" s="17" t="s">
        <v>6</v>
      </c>
      <c r="H2951" s="132"/>
      <c r="J2951"/>
      <c r="K2951"/>
      <c r="L2951"/>
    </row>
    <row r="2952" spans="1:12">
      <c r="A2952" s="95" t="s">
        <v>2088</v>
      </c>
      <c r="B2952" t="s">
        <v>5843</v>
      </c>
      <c r="C2952" s="87" t="s">
        <v>2356</v>
      </c>
      <c r="D2952" s="88"/>
      <c r="E2952" s="89">
        <v>62639674</v>
      </c>
      <c r="F2952"/>
      <c r="G2952" s="17" t="s">
        <v>2</v>
      </c>
      <c r="H2952" s="132"/>
      <c r="J2952"/>
      <c r="K2952"/>
      <c r="L2952"/>
    </row>
    <row r="2953" spans="1:12">
      <c r="A2953" s="95" t="s">
        <v>2088</v>
      </c>
      <c r="B2953" t="s">
        <v>5843</v>
      </c>
      <c r="C2953" s="87" t="s">
        <v>2357</v>
      </c>
      <c r="D2953" s="88"/>
      <c r="E2953" s="89">
        <v>65702544</v>
      </c>
      <c r="F2953"/>
      <c r="G2953" s="17" t="s">
        <v>1</v>
      </c>
      <c r="H2953" s="132"/>
      <c r="J2953"/>
      <c r="K2953"/>
      <c r="L2953"/>
    </row>
    <row r="2954" spans="1:12">
      <c r="A2954" s="95" t="s">
        <v>2088</v>
      </c>
      <c r="B2954" t="s">
        <v>5843</v>
      </c>
      <c r="C2954" s="87" t="s">
        <v>2358</v>
      </c>
      <c r="D2954" s="88"/>
      <c r="E2954" s="89">
        <v>64793990</v>
      </c>
      <c r="F2954"/>
      <c r="G2954" s="17" t="s">
        <v>9</v>
      </c>
      <c r="H2954" s="132"/>
      <c r="J2954"/>
      <c r="K2954"/>
      <c r="L2954"/>
    </row>
    <row r="2955" spans="1:12">
      <c r="A2955" s="95" t="s">
        <v>2088</v>
      </c>
      <c r="B2955" t="s">
        <v>5843</v>
      </c>
      <c r="C2955" s="87" t="s">
        <v>2359</v>
      </c>
      <c r="D2955" s="88"/>
      <c r="E2955" s="89">
        <v>66775816</v>
      </c>
      <c r="F2955"/>
      <c r="G2955" s="17" t="s">
        <v>4</v>
      </c>
      <c r="H2955" s="132"/>
      <c r="J2955"/>
      <c r="K2955"/>
      <c r="L2955" t="s">
        <v>5860</v>
      </c>
    </row>
    <row r="2956" spans="1:12">
      <c r="A2956" s="95" t="s">
        <v>2088</v>
      </c>
      <c r="B2956" t="s">
        <v>5843</v>
      </c>
      <c r="C2956" s="87" t="s">
        <v>2360</v>
      </c>
      <c r="D2956" s="88"/>
      <c r="E2956" s="89">
        <v>66615377</v>
      </c>
      <c r="F2956"/>
      <c r="G2956" s="17" t="s">
        <v>2</v>
      </c>
      <c r="H2956" s="132"/>
      <c r="J2956"/>
      <c r="K2956"/>
      <c r="L2956"/>
    </row>
    <row r="2957" spans="1:12">
      <c r="A2957" s="95" t="s">
        <v>2088</v>
      </c>
      <c r="B2957" t="s">
        <v>5843</v>
      </c>
      <c r="C2957" s="87" t="s">
        <v>2361</v>
      </c>
      <c r="D2957" s="88"/>
      <c r="E2957" s="89">
        <v>69201635</v>
      </c>
      <c r="F2957"/>
      <c r="G2957" s="17" t="s">
        <v>6</v>
      </c>
      <c r="H2957" s="132"/>
      <c r="J2957"/>
      <c r="K2957"/>
      <c r="L2957"/>
    </row>
    <row r="2958" spans="1:12">
      <c r="A2958" s="95" t="s">
        <v>2088</v>
      </c>
      <c r="B2958" t="s">
        <v>5843</v>
      </c>
      <c r="C2958" s="87" t="s">
        <v>2362</v>
      </c>
      <c r="D2958" s="88"/>
      <c r="E2958" s="89">
        <v>65066929</v>
      </c>
      <c r="F2958"/>
      <c r="G2958" s="17" t="s">
        <v>1</v>
      </c>
      <c r="H2958" s="132"/>
      <c r="J2958"/>
      <c r="K2958"/>
      <c r="L2958"/>
    </row>
    <row r="2959" spans="1:12">
      <c r="A2959" s="95" t="s">
        <v>2088</v>
      </c>
      <c r="B2959" t="s">
        <v>5843</v>
      </c>
      <c r="C2959" s="87" t="s">
        <v>2363</v>
      </c>
      <c r="D2959" s="88"/>
      <c r="E2959" s="89">
        <v>69181696</v>
      </c>
      <c r="F2959"/>
      <c r="G2959" s="17" t="s">
        <v>1</v>
      </c>
      <c r="H2959" s="132"/>
      <c r="J2959"/>
      <c r="K2959"/>
      <c r="L2959"/>
    </row>
    <row r="2960" spans="1:12">
      <c r="A2960" s="95" t="s">
        <v>2088</v>
      </c>
      <c r="B2960" t="s">
        <v>5843</v>
      </c>
      <c r="C2960" s="87" t="s">
        <v>2364</v>
      </c>
      <c r="D2960" s="88"/>
      <c r="E2960" s="89">
        <v>66284890</v>
      </c>
      <c r="F2960"/>
      <c r="G2960" s="17" t="s">
        <v>6</v>
      </c>
      <c r="H2960" s="132"/>
      <c r="J2960"/>
      <c r="K2960"/>
      <c r="L2960"/>
    </row>
    <row r="2961" spans="1:12">
      <c r="A2961" s="95" t="s">
        <v>2088</v>
      </c>
      <c r="B2961" t="s">
        <v>5843</v>
      </c>
      <c r="C2961" s="87" t="s">
        <v>2365</v>
      </c>
      <c r="D2961" s="88"/>
      <c r="E2961" s="89">
        <v>67305238</v>
      </c>
      <c r="F2961"/>
      <c r="G2961" s="17" t="s">
        <v>1</v>
      </c>
      <c r="H2961" s="132"/>
      <c r="J2961"/>
      <c r="K2961"/>
      <c r="L2961"/>
    </row>
    <row r="2962" spans="1:12">
      <c r="A2962" s="95" t="s">
        <v>2088</v>
      </c>
      <c r="B2962" t="s">
        <v>5843</v>
      </c>
      <c r="C2962" s="87" t="s">
        <v>2366</v>
      </c>
      <c r="D2962" s="88"/>
      <c r="E2962" s="89">
        <v>64154437</v>
      </c>
      <c r="F2962"/>
      <c r="G2962" s="17" t="s">
        <v>8</v>
      </c>
      <c r="H2962" s="132"/>
      <c r="J2962"/>
      <c r="K2962"/>
      <c r="L2962" t="s">
        <v>5861</v>
      </c>
    </row>
    <row r="2963" spans="1:12">
      <c r="A2963" s="95" t="s">
        <v>2088</v>
      </c>
      <c r="B2963" t="s">
        <v>5843</v>
      </c>
      <c r="C2963" s="87" t="s">
        <v>2367</v>
      </c>
      <c r="D2963" s="88"/>
      <c r="E2963" s="89">
        <v>66400252</v>
      </c>
      <c r="F2963" s="99" t="s">
        <v>5862</v>
      </c>
      <c r="G2963" s="17" t="s">
        <v>7</v>
      </c>
      <c r="H2963" s="132"/>
      <c r="J2963"/>
      <c r="K2963"/>
      <c r="L2963" t="s">
        <v>5863</v>
      </c>
    </row>
    <row r="2964" spans="1:12">
      <c r="A2964" s="95" t="s">
        <v>2088</v>
      </c>
      <c r="B2964" t="s">
        <v>5843</v>
      </c>
      <c r="C2964" s="87" t="s">
        <v>2368</v>
      </c>
      <c r="D2964" s="88"/>
      <c r="E2964" s="89">
        <v>66887466</v>
      </c>
      <c r="F2964"/>
      <c r="G2964" s="17" t="s">
        <v>8</v>
      </c>
      <c r="H2964" s="132"/>
      <c r="J2964"/>
      <c r="K2964"/>
      <c r="L2964" t="s">
        <v>5864</v>
      </c>
    </row>
    <row r="2965" spans="1:12">
      <c r="A2965" s="95" t="s">
        <v>2088</v>
      </c>
      <c r="B2965" t="s">
        <v>5843</v>
      </c>
      <c r="C2965" s="87" t="s">
        <v>2369</v>
      </c>
      <c r="D2965" s="88"/>
      <c r="E2965" s="89">
        <v>67446529</v>
      </c>
      <c r="F2965"/>
      <c r="G2965" s="17" t="s">
        <v>1</v>
      </c>
      <c r="H2965" s="132"/>
      <c r="J2965"/>
      <c r="K2965"/>
      <c r="L2965"/>
    </row>
    <row r="2966" spans="1:12">
      <c r="A2966" s="95" t="s">
        <v>2088</v>
      </c>
      <c r="B2966" t="s">
        <v>5843</v>
      </c>
      <c r="C2966" s="87" t="s">
        <v>2370</v>
      </c>
      <c r="D2966" s="88"/>
      <c r="E2966" s="89">
        <v>65775682</v>
      </c>
      <c r="F2966"/>
      <c r="G2966" s="17" t="s">
        <v>6</v>
      </c>
      <c r="H2966" s="132"/>
      <c r="J2966"/>
      <c r="K2966"/>
      <c r="L2966"/>
    </row>
    <row r="2967" spans="1:12">
      <c r="A2967" s="95" t="s">
        <v>2088</v>
      </c>
      <c r="B2967" t="s">
        <v>5843</v>
      </c>
      <c r="C2967" s="87" t="s">
        <v>2371</v>
      </c>
      <c r="D2967" s="88"/>
      <c r="E2967" s="89">
        <v>63529763</v>
      </c>
      <c r="F2967" s="99" t="s">
        <v>5865</v>
      </c>
      <c r="G2967" s="17" t="s">
        <v>1</v>
      </c>
      <c r="H2967" s="132"/>
      <c r="J2967"/>
      <c r="K2967"/>
      <c r="L2967"/>
    </row>
    <row r="2968" spans="1:12">
      <c r="A2968" s="95" t="s">
        <v>2088</v>
      </c>
      <c r="B2968" t="s">
        <v>5843</v>
      </c>
      <c r="C2968" s="87" t="s">
        <v>2372</v>
      </c>
      <c r="D2968" s="88"/>
      <c r="E2968" s="89">
        <v>7748645</v>
      </c>
      <c r="F2968"/>
      <c r="G2968" s="17" t="s">
        <v>3</v>
      </c>
      <c r="H2968" s="132"/>
      <c r="J2968"/>
      <c r="K2968"/>
      <c r="L2968" t="s">
        <v>5866</v>
      </c>
    </row>
    <row r="2969" spans="1:12">
      <c r="A2969" s="95" t="s">
        <v>2088</v>
      </c>
      <c r="B2969" t="s">
        <v>5843</v>
      </c>
      <c r="C2969" s="87" t="s">
        <v>2373</v>
      </c>
      <c r="D2969" s="88"/>
      <c r="E2969" s="89">
        <v>66122653</v>
      </c>
      <c r="F2969"/>
      <c r="G2969" s="17" t="s">
        <v>6</v>
      </c>
      <c r="H2969" s="132"/>
      <c r="J2969"/>
      <c r="K2969"/>
      <c r="L2969"/>
    </row>
    <row r="2970" spans="1:12">
      <c r="A2970" s="95" t="s">
        <v>2088</v>
      </c>
      <c r="B2970" t="s">
        <v>5843</v>
      </c>
      <c r="C2970" s="87" t="s">
        <v>2374</v>
      </c>
      <c r="D2970" s="88"/>
      <c r="E2970" s="89">
        <v>62696160</v>
      </c>
      <c r="F2970"/>
      <c r="G2970" s="17" t="s">
        <v>9</v>
      </c>
      <c r="H2970" s="132"/>
      <c r="J2970"/>
      <c r="K2970"/>
      <c r="L2970"/>
    </row>
    <row r="2971" spans="1:12">
      <c r="A2971" s="95" t="s">
        <v>2088</v>
      </c>
      <c r="B2971" t="s">
        <v>5843</v>
      </c>
      <c r="C2971" s="87" t="s">
        <v>2375</v>
      </c>
      <c r="D2971" s="88"/>
      <c r="E2971" s="89">
        <v>65986890</v>
      </c>
      <c r="F2971"/>
      <c r="G2971" s="17" t="s">
        <v>2</v>
      </c>
      <c r="H2971" s="132"/>
      <c r="J2971"/>
      <c r="K2971"/>
      <c r="L2971"/>
    </row>
    <row r="2972" spans="1:12">
      <c r="A2972" s="95" t="s">
        <v>2088</v>
      </c>
      <c r="B2972" t="s">
        <v>5843</v>
      </c>
      <c r="C2972" s="87" t="s">
        <v>2376</v>
      </c>
      <c r="D2972" s="88"/>
      <c r="E2972" s="89">
        <v>62045638</v>
      </c>
      <c r="F2972"/>
      <c r="G2972" s="17" t="s">
        <v>1</v>
      </c>
      <c r="H2972" s="132"/>
      <c r="J2972"/>
      <c r="K2972"/>
      <c r="L2972"/>
    </row>
    <row r="2973" spans="1:12">
      <c r="A2973" s="95" t="s">
        <v>2088</v>
      </c>
      <c r="B2973" t="s">
        <v>5843</v>
      </c>
      <c r="C2973" s="87" t="s">
        <v>2377</v>
      </c>
      <c r="D2973" s="88"/>
      <c r="E2973" s="89">
        <v>69628613</v>
      </c>
      <c r="F2973"/>
      <c r="G2973" s="17" t="s">
        <v>6</v>
      </c>
      <c r="H2973" s="132"/>
      <c r="J2973"/>
      <c r="K2973"/>
      <c r="L2973"/>
    </row>
    <row r="2974" spans="1:12">
      <c r="A2974" s="95" t="s">
        <v>2088</v>
      </c>
      <c r="B2974" t="s">
        <v>5843</v>
      </c>
      <c r="C2974" s="87" t="s">
        <v>2378</v>
      </c>
      <c r="D2974" s="88"/>
      <c r="E2974" s="89">
        <v>65342417</v>
      </c>
      <c r="F2974"/>
      <c r="G2974" s="17" t="s">
        <v>2</v>
      </c>
      <c r="H2974" s="132"/>
      <c r="J2974"/>
      <c r="K2974"/>
      <c r="L2974"/>
    </row>
    <row r="2975" spans="1:12">
      <c r="A2975" s="95" t="s">
        <v>2088</v>
      </c>
      <c r="B2975" t="s">
        <v>5843</v>
      </c>
      <c r="C2975" s="87" t="s">
        <v>2379</v>
      </c>
      <c r="D2975" s="88"/>
      <c r="E2975" s="89">
        <v>65762562</v>
      </c>
      <c r="F2975"/>
      <c r="G2975" s="17" t="s">
        <v>6</v>
      </c>
      <c r="H2975" s="132"/>
      <c r="J2975"/>
      <c r="K2975"/>
      <c r="L2975"/>
    </row>
    <row r="2976" spans="1:12">
      <c r="A2976" s="95" t="s">
        <v>2088</v>
      </c>
      <c r="B2976" t="s">
        <v>5843</v>
      </c>
      <c r="C2976" s="87" t="s">
        <v>2380</v>
      </c>
      <c r="D2976" s="88"/>
      <c r="E2976" s="89">
        <v>65109521</v>
      </c>
      <c r="F2976"/>
      <c r="G2976" s="17" t="s">
        <v>8</v>
      </c>
      <c r="H2976" s="132"/>
      <c r="J2976"/>
      <c r="K2976"/>
      <c r="L2976" t="s">
        <v>5867</v>
      </c>
    </row>
    <row r="2977" spans="1:12">
      <c r="A2977" s="95" t="s">
        <v>2088</v>
      </c>
      <c r="B2977" t="s">
        <v>5843</v>
      </c>
      <c r="C2977" s="87" t="s">
        <v>2381</v>
      </c>
      <c r="D2977" s="88"/>
      <c r="E2977" s="89">
        <v>67210793</v>
      </c>
      <c r="F2977"/>
      <c r="G2977" s="17" t="s">
        <v>2</v>
      </c>
      <c r="H2977" s="132"/>
      <c r="J2977"/>
      <c r="K2977"/>
      <c r="L2977"/>
    </row>
    <row r="2978" spans="1:12">
      <c r="A2978" s="95" t="s">
        <v>2088</v>
      </c>
      <c r="B2978" t="s">
        <v>5843</v>
      </c>
      <c r="C2978" s="87" t="s">
        <v>2382</v>
      </c>
      <c r="D2978" s="88"/>
      <c r="E2978" s="89">
        <v>67865399</v>
      </c>
      <c r="F2978"/>
      <c r="G2978" s="17" t="s">
        <v>1</v>
      </c>
      <c r="H2978" s="132"/>
      <c r="J2978"/>
      <c r="K2978"/>
      <c r="L2978"/>
    </row>
    <row r="2979" spans="1:12">
      <c r="A2979" s="95" t="s">
        <v>2088</v>
      </c>
      <c r="B2979" t="s">
        <v>5843</v>
      </c>
      <c r="C2979" s="87" t="s">
        <v>2383</v>
      </c>
      <c r="D2979" s="88"/>
      <c r="E2979" s="89">
        <v>67149135</v>
      </c>
      <c r="F2979"/>
      <c r="G2979" s="17" t="s">
        <v>6</v>
      </c>
      <c r="H2979" s="132"/>
      <c r="J2979"/>
      <c r="K2979"/>
      <c r="L2979"/>
    </row>
    <row r="2980" spans="1:12">
      <c r="A2980" s="95" t="s">
        <v>2088</v>
      </c>
      <c r="B2980" t="s">
        <v>5843</v>
      </c>
      <c r="C2980" s="87" t="s">
        <v>2384</v>
      </c>
      <c r="D2980" s="88"/>
      <c r="E2980" s="89">
        <v>63107041</v>
      </c>
      <c r="F2980"/>
      <c r="G2980" s="17" t="s">
        <v>4</v>
      </c>
      <c r="H2980" s="132"/>
      <c r="J2980"/>
      <c r="K2980"/>
      <c r="L2980" t="s">
        <v>5868</v>
      </c>
    </row>
    <row r="2981" spans="1:12">
      <c r="A2981" s="95" t="s">
        <v>2088</v>
      </c>
      <c r="B2981" t="s">
        <v>5843</v>
      </c>
      <c r="C2981" s="87" t="s">
        <v>2385</v>
      </c>
      <c r="D2981" s="88"/>
      <c r="E2981" s="89">
        <v>69253106</v>
      </c>
      <c r="F2981"/>
      <c r="G2981" s="17" t="s">
        <v>6</v>
      </c>
      <c r="H2981" s="132"/>
      <c r="J2981"/>
      <c r="K2981"/>
      <c r="L2981"/>
    </row>
    <row r="2982" spans="1:12">
      <c r="A2982" s="95" t="s">
        <v>2088</v>
      </c>
      <c r="B2982" t="s">
        <v>5843</v>
      </c>
      <c r="C2982" s="87" t="s">
        <v>2386</v>
      </c>
      <c r="D2982" s="88"/>
      <c r="E2982" s="89">
        <v>64935109</v>
      </c>
      <c r="F2982"/>
      <c r="G2982" s="17" t="s">
        <v>1</v>
      </c>
      <c r="H2982" s="132"/>
      <c r="J2982"/>
      <c r="K2982"/>
      <c r="L2982"/>
    </row>
    <row r="2983" spans="1:12">
      <c r="A2983" s="95" t="s">
        <v>2088</v>
      </c>
      <c r="B2983" t="s">
        <v>5843</v>
      </c>
      <c r="C2983" s="87" t="s">
        <v>2387</v>
      </c>
      <c r="D2983" s="88"/>
      <c r="E2983" s="89">
        <v>7741077</v>
      </c>
      <c r="F2983"/>
      <c r="G2983" s="17" t="s">
        <v>9</v>
      </c>
      <c r="H2983" s="132"/>
      <c r="J2983"/>
      <c r="K2983"/>
      <c r="L2983"/>
    </row>
    <row r="2984" spans="1:12">
      <c r="A2984" s="95" t="s">
        <v>2088</v>
      </c>
      <c r="B2984" t="s">
        <v>5843</v>
      </c>
      <c r="C2984" s="87" t="s">
        <v>2388</v>
      </c>
      <c r="D2984" s="88"/>
      <c r="E2984" s="89">
        <v>66956816</v>
      </c>
      <c r="F2984"/>
      <c r="G2984" s="17" t="s">
        <v>1</v>
      </c>
      <c r="H2984" s="132"/>
      <c r="J2984"/>
      <c r="K2984"/>
      <c r="L2984"/>
    </row>
    <row r="2985" spans="1:12">
      <c r="A2985" s="95" t="s">
        <v>2088</v>
      </c>
      <c r="B2985" t="s">
        <v>5843</v>
      </c>
      <c r="C2985" s="87" t="s">
        <v>2389</v>
      </c>
      <c r="D2985" s="88"/>
      <c r="E2985" s="89">
        <v>7748830</v>
      </c>
      <c r="F2985"/>
      <c r="G2985" s="17" t="s">
        <v>3</v>
      </c>
      <c r="H2985" s="132"/>
      <c r="J2985"/>
      <c r="K2985"/>
      <c r="L2985"/>
    </row>
    <row r="2986" spans="1:12">
      <c r="A2986" s="95" t="s">
        <v>2088</v>
      </c>
      <c r="B2986" t="s">
        <v>5843</v>
      </c>
      <c r="C2986" s="87" t="s">
        <v>2390</v>
      </c>
      <c r="D2986" s="88"/>
      <c r="E2986" s="89">
        <v>7745521</v>
      </c>
      <c r="F2986"/>
      <c r="G2986" s="17" t="s">
        <v>9</v>
      </c>
      <c r="H2986" s="132"/>
      <c r="J2986"/>
      <c r="K2986"/>
      <c r="L2986"/>
    </row>
    <row r="2987" spans="1:12">
      <c r="A2987" s="95" t="s">
        <v>2088</v>
      </c>
      <c r="B2987" t="s">
        <v>5843</v>
      </c>
      <c r="C2987" s="87" t="s">
        <v>2391</v>
      </c>
      <c r="D2987" s="88"/>
      <c r="E2987" s="89">
        <v>68563326</v>
      </c>
      <c r="F2987"/>
      <c r="G2987" s="17" t="s">
        <v>2</v>
      </c>
      <c r="H2987" s="132"/>
      <c r="J2987"/>
      <c r="K2987"/>
      <c r="L2987"/>
    </row>
    <row r="2988" spans="1:12">
      <c r="A2988" s="95" t="s">
        <v>2088</v>
      </c>
      <c r="B2988" t="s">
        <v>5843</v>
      </c>
      <c r="C2988" s="87" t="s">
        <v>2392</v>
      </c>
      <c r="D2988" s="88"/>
      <c r="E2988" s="89">
        <v>7276205</v>
      </c>
      <c r="F2988"/>
      <c r="G2988" s="17" t="s">
        <v>3</v>
      </c>
      <c r="H2988" s="132"/>
      <c r="J2988"/>
      <c r="K2988"/>
      <c r="L2988"/>
    </row>
    <row r="2989" spans="1:12">
      <c r="A2989" s="95" t="s">
        <v>2088</v>
      </c>
      <c r="B2989" t="s">
        <v>5843</v>
      </c>
      <c r="C2989" s="87" t="s">
        <v>2393</v>
      </c>
      <c r="D2989" s="88"/>
      <c r="E2989" s="89">
        <v>7758960</v>
      </c>
      <c r="F2989"/>
      <c r="G2989" s="17" t="s">
        <v>9</v>
      </c>
      <c r="H2989" s="132"/>
      <c r="J2989"/>
      <c r="K2989"/>
      <c r="L2989"/>
    </row>
    <row r="2990" spans="1:12">
      <c r="A2990" s="95" t="s">
        <v>2088</v>
      </c>
      <c r="B2990" t="s">
        <v>5843</v>
      </c>
      <c r="C2990" s="87" t="s">
        <v>2394</v>
      </c>
      <c r="D2990" s="88"/>
      <c r="E2990" s="89">
        <v>61271932</v>
      </c>
      <c r="F2990"/>
      <c r="G2990" s="17" t="s">
        <v>6</v>
      </c>
      <c r="H2990" s="132"/>
      <c r="J2990"/>
      <c r="K2990"/>
      <c r="L2990"/>
    </row>
    <row r="2991" spans="1:12">
      <c r="A2991" s="95" t="s">
        <v>2088</v>
      </c>
      <c r="B2991" t="s">
        <v>5843</v>
      </c>
      <c r="C2991" s="87" t="s">
        <v>2395</v>
      </c>
      <c r="D2991" s="88"/>
      <c r="E2991" s="89">
        <v>62561651</v>
      </c>
      <c r="F2991"/>
      <c r="G2991" s="17" t="s">
        <v>1</v>
      </c>
      <c r="H2991" s="132"/>
      <c r="J2991"/>
      <c r="K2991"/>
      <c r="L2991"/>
    </row>
    <row r="2992" spans="1:12">
      <c r="A2992" s="95" t="s">
        <v>2088</v>
      </c>
      <c r="B2992" t="s">
        <v>5843</v>
      </c>
      <c r="C2992" s="87" t="s">
        <v>2396</v>
      </c>
      <c r="D2992" s="88"/>
      <c r="E2992" s="89">
        <v>66737225</v>
      </c>
      <c r="F2992"/>
      <c r="G2992" s="17" t="s">
        <v>6</v>
      </c>
      <c r="H2992" s="132"/>
      <c r="J2992"/>
      <c r="K2992"/>
      <c r="L2992"/>
    </row>
    <row r="2993" spans="1:12">
      <c r="A2993" s="95" t="s">
        <v>2088</v>
      </c>
      <c r="B2993" t="s">
        <v>5843</v>
      </c>
      <c r="C2993" s="87" t="s">
        <v>2397</v>
      </c>
      <c r="D2993" s="88"/>
      <c r="E2993" s="89">
        <v>66219405</v>
      </c>
      <c r="F2993"/>
      <c r="G2993" s="17" t="s">
        <v>2</v>
      </c>
      <c r="H2993" s="132"/>
      <c r="J2993"/>
      <c r="K2993"/>
      <c r="L2993"/>
    </row>
    <row r="2994" spans="1:12">
      <c r="A2994" s="95" t="s">
        <v>2088</v>
      </c>
      <c r="B2994" t="s">
        <v>5843</v>
      </c>
      <c r="C2994" s="87" t="s">
        <v>2398</v>
      </c>
      <c r="D2994" s="88"/>
      <c r="E2994" s="89">
        <v>7090188</v>
      </c>
      <c r="F2994"/>
      <c r="G2994" s="17" t="s">
        <v>3</v>
      </c>
      <c r="H2994" s="132"/>
      <c r="J2994"/>
      <c r="K2994"/>
      <c r="L2994"/>
    </row>
    <row r="2995" spans="1:12">
      <c r="A2995" s="95" t="s">
        <v>2088</v>
      </c>
      <c r="B2995" t="s">
        <v>5843</v>
      </c>
      <c r="C2995" s="87" t="s">
        <v>2399</v>
      </c>
      <c r="D2995" s="88"/>
      <c r="E2995" s="89">
        <v>69606762</v>
      </c>
      <c r="F2995"/>
      <c r="G2995" s="17" t="s">
        <v>8</v>
      </c>
      <c r="H2995" s="132"/>
      <c r="J2995"/>
      <c r="K2995"/>
      <c r="L2995"/>
    </row>
    <row r="2996" spans="1:12">
      <c r="A2996" s="95" t="s">
        <v>2088</v>
      </c>
      <c r="B2996" t="s">
        <v>5843</v>
      </c>
      <c r="C2996" s="87" t="s">
        <v>2400</v>
      </c>
      <c r="D2996" s="88"/>
      <c r="E2996" s="89">
        <v>65107547</v>
      </c>
      <c r="F2996"/>
      <c r="G2996" s="17" t="s">
        <v>8</v>
      </c>
      <c r="H2996" s="132"/>
      <c r="J2996"/>
      <c r="K2996"/>
      <c r="L2996" t="s">
        <v>5869</v>
      </c>
    </row>
    <row r="2997" spans="1:12">
      <c r="A2997" s="95" t="s">
        <v>2088</v>
      </c>
      <c r="B2997" t="s">
        <v>5843</v>
      </c>
      <c r="C2997" s="87" t="s">
        <v>2401</v>
      </c>
      <c r="D2997" s="88"/>
      <c r="E2997" s="89">
        <v>62141627</v>
      </c>
      <c r="F2997"/>
      <c r="G2997" s="17" t="s">
        <v>6</v>
      </c>
      <c r="H2997" s="132"/>
      <c r="J2997"/>
      <c r="K2997"/>
      <c r="L2997"/>
    </row>
    <row r="2998" spans="1:12">
      <c r="A2998" s="95" t="s">
        <v>2088</v>
      </c>
      <c r="B2998" t="s">
        <v>5843</v>
      </c>
      <c r="C2998" s="87" t="s">
        <v>2402</v>
      </c>
      <c r="D2998" s="88"/>
      <c r="E2998" s="89">
        <v>64486777</v>
      </c>
      <c r="F2998"/>
      <c r="G2998" s="17" t="s">
        <v>1</v>
      </c>
      <c r="H2998" s="132"/>
      <c r="J2998"/>
      <c r="K2998"/>
      <c r="L2998"/>
    </row>
    <row r="2999" spans="1:12">
      <c r="A2999" s="95" t="s">
        <v>2088</v>
      </c>
      <c r="B2999" t="s">
        <v>5843</v>
      </c>
      <c r="C2999" s="87" t="s">
        <v>2403</v>
      </c>
      <c r="D2999" s="88"/>
      <c r="E2999" s="89">
        <v>63012865</v>
      </c>
      <c r="F2999"/>
      <c r="G2999" s="17" t="s">
        <v>3</v>
      </c>
      <c r="H2999" s="132"/>
      <c r="J2999"/>
      <c r="K2999"/>
      <c r="L2999"/>
    </row>
    <row r="3000" spans="1:12">
      <c r="A3000" s="95" t="s">
        <v>2088</v>
      </c>
      <c r="B3000" t="s">
        <v>5843</v>
      </c>
      <c r="C3000" s="87" t="s">
        <v>989</v>
      </c>
      <c r="D3000" s="88"/>
      <c r="E3000" s="89">
        <v>7304804</v>
      </c>
      <c r="F3000"/>
      <c r="G3000" s="17" t="s">
        <v>6</v>
      </c>
      <c r="H3000" s="132"/>
      <c r="J3000"/>
      <c r="K3000"/>
      <c r="L3000"/>
    </row>
    <row r="3001" spans="1:12">
      <c r="A3001" s="95" t="s">
        <v>2088</v>
      </c>
      <c r="B3001" t="s">
        <v>5843</v>
      </c>
      <c r="C3001" s="87" t="s">
        <v>2404</v>
      </c>
      <c r="D3001" s="88"/>
      <c r="E3001" s="89">
        <v>66277890</v>
      </c>
      <c r="F3001"/>
      <c r="G3001" s="17" t="s">
        <v>1</v>
      </c>
      <c r="H3001" s="132"/>
      <c r="J3001"/>
      <c r="K3001"/>
      <c r="L3001"/>
    </row>
    <row r="3002" spans="1:12">
      <c r="A3002" s="95" t="s">
        <v>2088</v>
      </c>
      <c r="B3002" t="s">
        <v>5843</v>
      </c>
      <c r="C3002" s="87" t="s">
        <v>2405</v>
      </c>
      <c r="D3002" s="88"/>
      <c r="E3002" s="89">
        <v>64099513</v>
      </c>
      <c r="F3002"/>
      <c r="G3002" s="17" t="s">
        <v>1</v>
      </c>
      <c r="H3002" s="132"/>
      <c r="J3002"/>
      <c r="K3002"/>
      <c r="L3002"/>
    </row>
    <row r="3003" spans="1:12">
      <c r="A3003" s="95" t="s">
        <v>2088</v>
      </c>
      <c r="B3003" t="s">
        <v>5843</v>
      </c>
      <c r="C3003" s="87" t="s">
        <v>2406</v>
      </c>
      <c r="D3003" s="88"/>
      <c r="E3003" s="89">
        <v>66383411</v>
      </c>
      <c r="F3003"/>
      <c r="G3003" s="17" t="s">
        <v>9</v>
      </c>
      <c r="H3003" s="132"/>
      <c r="J3003"/>
      <c r="K3003"/>
      <c r="L3003"/>
    </row>
    <row r="3004" spans="1:12">
      <c r="A3004" s="95" t="s">
        <v>2088</v>
      </c>
      <c r="B3004" t="s">
        <v>5843</v>
      </c>
      <c r="C3004" s="87" t="s">
        <v>2407</v>
      </c>
      <c r="D3004" s="88"/>
      <c r="E3004" s="89">
        <v>66440244</v>
      </c>
      <c r="F3004"/>
      <c r="G3004" s="17" t="s">
        <v>6</v>
      </c>
      <c r="H3004" s="132"/>
      <c r="J3004"/>
      <c r="K3004"/>
      <c r="L3004"/>
    </row>
    <row r="3005" spans="1:12">
      <c r="A3005" s="95" t="s">
        <v>2088</v>
      </c>
      <c r="B3005" t="s">
        <v>5843</v>
      </c>
      <c r="C3005" s="87" t="s">
        <v>2408</v>
      </c>
      <c r="D3005" s="88"/>
      <c r="E3005" s="89">
        <v>65772356</v>
      </c>
      <c r="F3005"/>
      <c r="G3005" s="17" t="s">
        <v>2</v>
      </c>
      <c r="H3005" s="132"/>
      <c r="J3005"/>
      <c r="K3005"/>
      <c r="L3005"/>
    </row>
    <row r="3006" spans="1:12">
      <c r="A3006" s="95" t="s">
        <v>2088</v>
      </c>
      <c r="B3006" t="s">
        <v>5843</v>
      </c>
      <c r="C3006" s="87" t="s">
        <v>2409</v>
      </c>
      <c r="D3006" s="88"/>
      <c r="E3006" s="89">
        <v>63632309</v>
      </c>
      <c r="F3006"/>
      <c r="G3006" s="17" t="s">
        <v>8</v>
      </c>
      <c r="H3006" s="132"/>
      <c r="J3006"/>
      <c r="K3006"/>
      <c r="L3006" t="s">
        <v>5870</v>
      </c>
    </row>
    <row r="3007" spans="1:12">
      <c r="A3007" s="95" t="s">
        <v>2088</v>
      </c>
      <c r="B3007" t="s">
        <v>5871</v>
      </c>
      <c r="C3007" s="87" t="s">
        <v>2410</v>
      </c>
      <c r="D3007" s="88"/>
      <c r="E3007" s="89">
        <v>68111284</v>
      </c>
      <c r="F3007"/>
      <c r="G3007" s="17" t="s">
        <v>2</v>
      </c>
      <c r="H3007" s="132">
        <v>46084</v>
      </c>
      <c r="I3007" s="127" t="s">
        <v>5872</v>
      </c>
      <c r="J3007" s="22">
        <v>46090</v>
      </c>
      <c r="K3007" t="s">
        <v>3472</v>
      </c>
      <c r="L3007" t="s">
        <v>5873</v>
      </c>
    </row>
    <row r="3008" spans="1:12">
      <c r="A3008" s="95" t="s">
        <v>2088</v>
      </c>
      <c r="B3008" t="s">
        <v>5871</v>
      </c>
      <c r="C3008" s="87" t="s">
        <v>2411</v>
      </c>
      <c r="D3008" s="88"/>
      <c r="E3008" s="89">
        <v>69789580</v>
      </c>
      <c r="F3008"/>
      <c r="G3008" s="17" t="s">
        <v>6</v>
      </c>
      <c r="H3008" s="132">
        <v>46084</v>
      </c>
      <c r="I3008" s="127" t="s">
        <v>5874</v>
      </c>
      <c r="J3008" s="22">
        <v>46090</v>
      </c>
      <c r="K3008" t="s">
        <v>5875</v>
      </c>
      <c r="L3008" t="s">
        <v>5876</v>
      </c>
    </row>
    <row r="3009" spans="1:12" ht="24">
      <c r="A3009" s="95" t="s">
        <v>2088</v>
      </c>
      <c r="B3009" t="s">
        <v>5871</v>
      </c>
      <c r="C3009" s="87" t="s">
        <v>2412</v>
      </c>
      <c r="D3009" s="100" t="s">
        <v>5877</v>
      </c>
      <c r="E3009" s="89">
        <v>62002369</v>
      </c>
      <c r="F3009" s="99" t="s">
        <v>5878</v>
      </c>
      <c r="G3009" s="17" t="s">
        <v>1</v>
      </c>
      <c r="H3009" s="132">
        <v>46084</v>
      </c>
      <c r="I3009" s="127" t="s">
        <v>3369</v>
      </c>
      <c r="J3009"/>
      <c r="K3009"/>
      <c r="L3009"/>
    </row>
    <row r="3010" spans="1:12">
      <c r="A3010" s="95" t="s">
        <v>2088</v>
      </c>
      <c r="B3010" t="s">
        <v>5871</v>
      </c>
      <c r="C3010" s="87" t="s">
        <v>2413</v>
      </c>
      <c r="D3010" s="88" t="s">
        <v>5879</v>
      </c>
      <c r="E3010" s="89">
        <v>67105093</v>
      </c>
      <c r="F3010" s="99" t="s">
        <v>5880</v>
      </c>
      <c r="G3010" s="17" t="s">
        <v>1</v>
      </c>
      <c r="H3010" s="132">
        <v>46084</v>
      </c>
      <c r="I3010" s="127" t="s">
        <v>3372</v>
      </c>
      <c r="J3010"/>
      <c r="K3010"/>
      <c r="L3010"/>
    </row>
    <row r="3011" spans="1:12">
      <c r="A3011" s="95" t="s">
        <v>2088</v>
      </c>
      <c r="B3011" t="s">
        <v>5871</v>
      </c>
      <c r="C3011" s="87" t="s">
        <v>2414</v>
      </c>
      <c r="D3011" s="88"/>
      <c r="E3011" s="89">
        <v>67841728</v>
      </c>
      <c r="F3011"/>
      <c r="G3011" s="17" t="s">
        <v>1</v>
      </c>
      <c r="H3011" s="132">
        <v>46084</v>
      </c>
      <c r="I3011" s="127" t="s">
        <v>5881</v>
      </c>
      <c r="J3011"/>
      <c r="K3011"/>
      <c r="L3011"/>
    </row>
    <row r="3012" spans="1:12">
      <c r="A3012" s="95" t="s">
        <v>2088</v>
      </c>
      <c r="B3012" t="s">
        <v>5871</v>
      </c>
      <c r="C3012" s="87" t="s">
        <v>2415</v>
      </c>
      <c r="D3012" s="88"/>
      <c r="E3012" s="89">
        <v>7745957</v>
      </c>
      <c r="F3012"/>
      <c r="G3012" s="17" t="s">
        <v>9</v>
      </c>
      <c r="H3012" s="132">
        <v>46084</v>
      </c>
      <c r="I3012" s="127" t="s">
        <v>5882</v>
      </c>
      <c r="J3012" s="22">
        <v>46090</v>
      </c>
      <c r="K3012" t="s">
        <v>5883</v>
      </c>
      <c r="L3012" t="s">
        <v>5884</v>
      </c>
    </row>
    <row r="3013" spans="1:12">
      <c r="A3013" s="95" t="s">
        <v>2088</v>
      </c>
      <c r="B3013" t="s">
        <v>5871</v>
      </c>
      <c r="C3013" s="87" t="s">
        <v>2416</v>
      </c>
      <c r="D3013" s="88"/>
      <c r="E3013" s="89">
        <v>67808273</v>
      </c>
      <c r="F3013"/>
      <c r="G3013" s="17" t="s">
        <v>9</v>
      </c>
      <c r="H3013" s="132">
        <v>46084</v>
      </c>
      <c r="I3013" s="127" t="s">
        <v>4438</v>
      </c>
      <c r="J3013" s="22">
        <v>46090</v>
      </c>
      <c r="K3013" t="s">
        <v>3478</v>
      </c>
      <c r="L3013" t="s">
        <v>5885</v>
      </c>
    </row>
    <row r="3014" spans="1:12" ht="24">
      <c r="A3014" s="95" t="s">
        <v>2088</v>
      </c>
      <c r="B3014" t="s">
        <v>5871</v>
      </c>
      <c r="C3014" s="97" t="s">
        <v>2417</v>
      </c>
      <c r="D3014" s="88" t="s">
        <v>5886</v>
      </c>
      <c r="E3014" s="89">
        <v>64664547</v>
      </c>
      <c r="F3014" s="99" t="s">
        <v>5887</v>
      </c>
      <c r="G3014" s="17" t="s">
        <v>1</v>
      </c>
      <c r="H3014" s="132">
        <v>46084</v>
      </c>
      <c r="I3014" s="127" t="s">
        <v>5888</v>
      </c>
      <c r="J3014"/>
      <c r="K3014"/>
      <c r="L3014"/>
    </row>
    <row r="3015" spans="1:12">
      <c r="A3015" s="95" t="s">
        <v>2088</v>
      </c>
      <c r="B3015" t="s">
        <v>5871</v>
      </c>
      <c r="C3015" s="87" t="s">
        <v>2418</v>
      </c>
      <c r="D3015" s="88"/>
      <c r="E3015" s="89">
        <v>60454692</v>
      </c>
      <c r="F3015"/>
      <c r="G3015" s="17" t="s">
        <v>2</v>
      </c>
      <c r="H3015" s="132">
        <v>46084</v>
      </c>
      <c r="I3015" s="127" t="s">
        <v>4425</v>
      </c>
      <c r="J3015" s="22">
        <v>46090</v>
      </c>
      <c r="K3015" t="s">
        <v>3478</v>
      </c>
      <c r="L3015" t="s">
        <v>5889</v>
      </c>
    </row>
    <row r="3016" spans="1:12">
      <c r="A3016" s="95" t="s">
        <v>2088</v>
      </c>
      <c r="B3016" t="s">
        <v>5871</v>
      </c>
      <c r="C3016" s="87" t="s">
        <v>2419</v>
      </c>
      <c r="D3016" s="88"/>
      <c r="E3016" s="89">
        <v>66197260</v>
      </c>
      <c r="F3016"/>
      <c r="G3016" s="17" t="s">
        <v>1</v>
      </c>
      <c r="H3016" s="132">
        <v>46084</v>
      </c>
      <c r="I3016" s="127" t="s">
        <v>3378</v>
      </c>
      <c r="J3016"/>
      <c r="K3016"/>
      <c r="L3016"/>
    </row>
    <row r="3017" spans="1:12">
      <c r="A3017" s="95" t="s">
        <v>2088</v>
      </c>
      <c r="B3017" t="s">
        <v>5871</v>
      </c>
      <c r="C3017" s="87" t="s">
        <v>2420</v>
      </c>
      <c r="D3017" s="88"/>
      <c r="E3017" s="89">
        <v>68371618</v>
      </c>
      <c r="F3017"/>
      <c r="G3017" s="17" t="s">
        <v>1</v>
      </c>
      <c r="H3017" s="132">
        <v>46084</v>
      </c>
      <c r="I3017" s="127" t="s">
        <v>3382</v>
      </c>
      <c r="J3017"/>
      <c r="K3017"/>
      <c r="L3017"/>
    </row>
    <row r="3018" spans="1:12">
      <c r="A3018" s="95" t="s">
        <v>2088</v>
      </c>
      <c r="B3018" t="s">
        <v>5871</v>
      </c>
      <c r="C3018" s="87" t="s">
        <v>2421</v>
      </c>
      <c r="D3018" s="88"/>
      <c r="E3018" s="89">
        <v>66239749</v>
      </c>
      <c r="F3018"/>
      <c r="G3018" s="17" t="s">
        <v>2</v>
      </c>
      <c r="H3018" s="132">
        <v>46084</v>
      </c>
      <c r="I3018" s="127" t="s">
        <v>3383</v>
      </c>
      <c r="J3018" s="22">
        <v>46090</v>
      </c>
      <c r="K3018" t="s">
        <v>4348</v>
      </c>
      <c r="L3018" t="s">
        <v>5889</v>
      </c>
    </row>
    <row r="3019" spans="1:12">
      <c r="A3019" s="95" t="s">
        <v>2088</v>
      </c>
      <c r="B3019" t="s">
        <v>5871</v>
      </c>
      <c r="C3019" s="87" t="s">
        <v>2422</v>
      </c>
      <c r="D3019" s="88" t="s">
        <v>5890</v>
      </c>
      <c r="E3019" s="89">
        <v>64020195</v>
      </c>
      <c r="F3019"/>
      <c r="G3019" s="17" t="s">
        <v>1</v>
      </c>
      <c r="H3019" s="132">
        <v>46084</v>
      </c>
      <c r="I3019" s="127" t="s">
        <v>3386</v>
      </c>
      <c r="J3019"/>
      <c r="K3019"/>
      <c r="L3019"/>
    </row>
    <row r="3020" spans="1:12">
      <c r="A3020" s="95" t="s">
        <v>2088</v>
      </c>
      <c r="B3020" t="s">
        <v>5871</v>
      </c>
      <c r="C3020" s="87" t="s">
        <v>2423</v>
      </c>
      <c r="D3020" s="88"/>
      <c r="E3020" s="89">
        <v>64267312</v>
      </c>
      <c r="F3020"/>
      <c r="G3020" s="17" t="s">
        <v>2</v>
      </c>
      <c r="H3020" s="132">
        <v>46084</v>
      </c>
      <c r="I3020" s="127" t="s">
        <v>3389</v>
      </c>
      <c r="J3020" s="22">
        <v>46090</v>
      </c>
      <c r="K3020" t="s">
        <v>3321</v>
      </c>
      <c r="L3020" t="s">
        <v>5889</v>
      </c>
    </row>
    <row r="3021" spans="1:12">
      <c r="A3021" s="95" t="s">
        <v>2088</v>
      </c>
      <c r="B3021" t="s">
        <v>5871</v>
      </c>
      <c r="C3021" s="87" t="s">
        <v>2424</v>
      </c>
      <c r="D3021" s="88"/>
      <c r="E3021" s="89">
        <v>69372246</v>
      </c>
      <c r="F3021"/>
      <c r="G3021" s="17" t="s">
        <v>3</v>
      </c>
      <c r="H3021" s="132">
        <v>46084</v>
      </c>
      <c r="I3021" s="127" t="s">
        <v>3391</v>
      </c>
      <c r="J3021"/>
      <c r="K3021"/>
      <c r="L3021"/>
    </row>
    <row r="3022" spans="1:12">
      <c r="A3022" s="95" t="s">
        <v>2088</v>
      </c>
      <c r="B3022" t="s">
        <v>5871</v>
      </c>
      <c r="C3022" s="87" t="s">
        <v>2425</v>
      </c>
      <c r="D3022" s="88"/>
      <c r="E3022" s="89">
        <v>68054937</v>
      </c>
      <c r="F3022"/>
      <c r="G3022" s="17" t="s">
        <v>9</v>
      </c>
      <c r="H3022" s="132">
        <v>46084</v>
      </c>
      <c r="I3022" s="127" t="s">
        <v>5891</v>
      </c>
      <c r="J3022" s="22">
        <v>46090</v>
      </c>
      <c r="K3022" t="s">
        <v>4349</v>
      </c>
      <c r="L3022" t="s">
        <v>5884</v>
      </c>
    </row>
    <row r="3023" spans="1:12">
      <c r="A3023" s="95" t="s">
        <v>2088</v>
      </c>
      <c r="B3023" t="s">
        <v>5871</v>
      </c>
      <c r="C3023" s="87" t="s">
        <v>2426</v>
      </c>
      <c r="D3023" s="88"/>
      <c r="E3023" s="89">
        <v>62760606</v>
      </c>
      <c r="F3023"/>
      <c r="G3023" s="17" t="s">
        <v>3</v>
      </c>
      <c r="H3023" s="132">
        <v>46084</v>
      </c>
      <c r="I3023" s="127" t="s">
        <v>3506</v>
      </c>
      <c r="J3023" s="22">
        <v>46090</v>
      </c>
      <c r="K3023" t="s">
        <v>5892</v>
      </c>
      <c r="L3023" t="s">
        <v>5893</v>
      </c>
    </row>
    <row r="3024" spans="1:12">
      <c r="A3024" s="95" t="s">
        <v>2088</v>
      </c>
      <c r="B3024" t="s">
        <v>5871</v>
      </c>
      <c r="C3024" s="87" t="s">
        <v>2427</v>
      </c>
      <c r="D3024" s="88"/>
      <c r="E3024" s="89">
        <v>68075966</v>
      </c>
      <c r="F3024"/>
      <c r="G3024" s="17" t="s">
        <v>9</v>
      </c>
      <c r="H3024" s="132">
        <v>46084</v>
      </c>
      <c r="I3024" s="127" t="s">
        <v>3515</v>
      </c>
      <c r="J3024"/>
      <c r="K3024"/>
      <c r="L3024"/>
    </row>
    <row r="3025" spans="1:12">
      <c r="A3025" s="95" t="s">
        <v>2088</v>
      </c>
      <c r="B3025" t="s">
        <v>5871</v>
      </c>
      <c r="C3025" s="87" t="s">
        <v>2428</v>
      </c>
      <c r="D3025" s="88"/>
      <c r="E3025" s="89">
        <v>66923246</v>
      </c>
      <c r="F3025"/>
      <c r="G3025" s="17" t="s">
        <v>9</v>
      </c>
      <c r="H3025" s="132">
        <v>46084</v>
      </c>
      <c r="I3025" s="127" t="s">
        <v>5894</v>
      </c>
      <c r="J3025"/>
      <c r="K3025"/>
      <c r="L3025"/>
    </row>
    <row r="3026" spans="1:12">
      <c r="A3026" s="95" t="s">
        <v>2088</v>
      </c>
      <c r="B3026" t="s">
        <v>5871</v>
      </c>
      <c r="C3026" s="87" t="s">
        <v>2429</v>
      </c>
      <c r="D3026" s="88"/>
      <c r="E3026" s="89">
        <v>64672676</v>
      </c>
      <c r="F3026"/>
      <c r="G3026" s="17" t="s">
        <v>9</v>
      </c>
      <c r="H3026" s="132">
        <v>46084</v>
      </c>
      <c r="I3026" s="127" t="s">
        <v>5894</v>
      </c>
      <c r="J3026"/>
      <c r="K3026"/>
      <c r="L3026"/>
    </row>
    <row r="3027" spans="1:12">
      <c r="A3027" s="95" t="s">
        <v>2088</v>
      </c>
      <c r="B3027" t="s">
        <v>5871</v>
      </c>
      <c r="C3027" s="87" t="s">
        <v>2430</v>
      </c>
      <c r="D3027" s="88"/>
      <c r="E3027" s="89">
        <v>61833686</v>
      </c>
      <c r="F3027"/>
      <c r="G3027" s="17" t="s">
        <v>1</v>
      </c>
      <c r="H3027" s="132">
        <v>46084</v>
      </c>
      <c r="I3027" s="127" t="s">
        <v>5895</v>
      </c>
      <c r="J3027"/>
      <c r="K3027"/>
      <c r="L3027"/>
    </row>
    <row r="3028" spans="1:12">
      <c r="A3028" s="95" t="s">
        <v>2088</v>
      </c>
      <c r="B3028" t="s">
        <v>5871</v>
      </c>
      <c r="C3028" s="87" t="s">
        <v>2431</v>
      </c>
      <c r="D3028" s="88"/>
      <c r="E3028" s="89">
        <v>64365411</v>
      </c>
      <c r="F3028"/>
      <c r="G3028" s="17" t="s">
        <v>6</v>
      </c>
      <c r="H3028" s="132">
        <v>46084</v>
      </c>
      <c r="I3028" s="127" t="s">
        <v>4410</v>
      </c>
      <c r="J3028"/>
      <c r="K3028"/>
      <c r="L3028"/>
    </row>
    <row r="3029" spans="1:12">
      <c r="A3029" s="95" t="s">
        <v>2088</v>
      </c>
      <c r="B3029" t="s">
        <v>5871</v>
      </c>
      <c r="C3029" s="87" t="s">
        <v>2432</v>
      </c>
      <c r="D3029" s="88" t="s">
        <v>5896</v>
      </c>
      <c r="E3029" s="89">
        <v>65265491</v>
      </c>
      <c r="F3029" s="99" t="s">
        <v>5897</v>
      </c>
      <c r="G3029" s="17" t="s">
        <v>1</v>
      </c>
      <c r="H3029" s="132">
        <v>46084</v>
      </c>
      <c r="I3029" s="127" t="s">
        <v>5898</v>
      </c>
      <c r="J3029"/>
      <c r="K3029"/>
      <c r="L3029"/>
    </row>
    <row r="3030" spans="1:12">
      <c r="A3030" s="95" t="s">
        <v>2088</v>
      </c>
      <c r="B3030" t="s">
        <v>5871</v>
      </c>
      <c r="C3030" s="87" t="s">
        <v>2433</v>
      </c>
      <c r="D3030" s="88" t="s">
        <v>5899</v>
      </c>
      <c r="E3030" s="89">
        <v>62762038</v>
      </c>
      <c r="F3030"/>
      <c r="G3030" s="17" t="s">
        <v>1</v>
      </c>
      <c r="H3030" s="132">
        <v>46084</v>
      </c>
      <c r="I3030" s="127" t="s">
        <v>3404</v>
      </c>
      <c r="J3030"/>
      <c r="K3030"/>
      <c r="L3030"/>
    </row>
    <row r="3031" spans="1:12">
      <c r="A3031" s="95" t="s">
        <v>2088</v>
      </c>
      <c r="B3031" t="s">
        <v>5871</v>
      </c>
      <c r="C3031" s="87" t="s">
        <v>2434</v>
      </c>
      <c r="D3031" s="88"/>
      <c r="E3031" s="89">
        <v>64022965</v>
      </c>
      <c r="F3031"/>
      <c r="G3031" s="17" t="s">
        <v>3</v>
      </c>
      <c r="H3031" s="132">
        <v>46084</v>
      </c>
      <c r="I3031" s="127" t="s">
        <v>3406</v>
      </c>
      <c r="J3031"/>
      <c r="K3031"/>
      <c r="L3031"/>
    </row>
    <row r="3032" spans="1:12">
      <c r="A3032" s="95" t="s">
        <v>2088</v>
      </c>
      <c r="B3032" t="s">
        <v>5871</v>
      </c>
      <c r="C3032" s="87" t="s">
        <v>2435</v>
      </c>
      <c r="D3032" s="88"/>
      <c r="E3032" s="89">
        <v>66209266</v>
      </c>
      <c r="F3032"/>
      <c r="G3032" s="17" t="s">
        <v>3</v>
      </c>
      <c r="H3032" s="132">
        <v>46084</v>
      </c>
      <c r="I3032" s="127" t="s">
        <v>3547</v>
      </c>
      <c r="J3032"/>
      <c r="K3032"/>
      <c r="L3032"/>
    </row>
    <row r="3033" spans="1:12">
      <c r="A3033" s="95" t="s">
        <v>2088</v>
      </c>
      <c r="B3033" t="s">
        <v>5871</v>
      </c>
      <c r="C3033" s="87" t="s">
        <v>2436</v>
      </c>
      <c r="D3033" s="88"/>
      <c r="E3033" s="89">
        <v>68990009</v>
      </c>
      <c r="F3033"/>
      <c r="G3033" s="17" t="s">
        <v>4</v>
      </c>
      <c r="H3033" s="132">
        <v>46084</v>
      </c>
      <c r="I3033" s="127" t="s">
        <v>3245</v>
      </c>
      <c r="J3033"/>
      <c r="K3033"/>
      <c r="L3033"/>
    </row>
    <row r="3034" spans="1:12">
      <c r="A3034" s="95" t="s">
        <v>2088</v>
      </c>
      <c r="B3034" t="s">
        <v>5871</v>
      </c>
      <c r="C3034" s="87" t="s">
        <v>2437</v>
      </c>
      <c r="D3034" s="88"/>
      <c r="E3034" s="89">
        <v>69876420</v>
      </c>
      <c r="F3034"/>
      <c r="G3034" s="17" t="s">
        <v>2</v>
      </c>
      <c r="H3034" s="132">
        <v>46084</v>
      </c>
      <c r="I3034" s="127" t="s">
        <v>5900</v>
      </c>
      <c r="J3034"/>
      <c r="K3034"/>
      <c r="L3034"/>
    </row>
    <row r="3035" spans="1:12">
      <c r="A3035" s="95" t="s">
        <v>2088</v>
      </c>
      <c r="B3035" t="s">
        <v>5871</v>
      </c>
      <c r="C3035" s="87" t="s">
        <v>2438</v>
      </c>
      <c r="D3035" s="88"/>
      <c r="E3035" s="89">
        <v>65371541</v>
      </c>
      <c r="F3035"/>
      <c r="G3035" s="17" t="s">
        <v>1</v>
      </c>
      <c r="H3035" s="132">
        <v>46084</v>
      </c>
      <c r="I3035" s="127" t="s">
        <v>3249</v>
      </c>
      <c r="J3035"/>
      <c r="K3035"/>
      <c r="L3035"/>
    </row>
    <row r="3036" spans="1:12">
      <c r="A3036" s="95" t="s">
        <v>2088</v>
      </c>
      <c r="B3036" t="s">
        <v>5871</v>
      </c>
      <c r="C3036" s="87" t="s">
        <v>2439</v>
      </c>
      <c r="D3036" s="88"/>
      <c r="E3036" s="89">
        <v>67701036</v>
      </c>
      <c r="F3036"/>
      <c r="G3036" s="17" t="s">
        <v>6</v>
      </c>
      <c r="H3036" s="132">
        <v>46084</v>
      </c>
      <c r="I3036" s="127" t="s">
        <v>3413</v>
      </c>
      <c r="J3036"/>
      <c r="K3036"/>
      <c r="L3036"/>
    </row>
    <row r="3037" spans="1:12">
      <c r="A3037" s="95" t="s">
        <v>2088</v>
      </c>
      <c r="B3037" t="s">
        <v>5871</v>
      </c>
      <c r="C3037" s="87" t="s">
        <v>2440</v>
      </c>
      <c r="D3037" s="88"/>
      <c r="E3037" s="89">
        <v>60421759</v>
      </c>
      <c r="F3037"/>
      <c r="G3037" s="17" t="s">
        <v>8</v>
      </c>
      <c r="H3037" s="132">
        <v>46084</v>
      </c>
      <c r="I3037" s="127" t="s">
        <v>3253</v>
      </c>
      <c r="J3037"/>
      <c r="K3037"/>
      <c r="L3037"/>
    </row>
    <row r="3038" spans="1:12">
      <c r="A3038" s="95" t="s">
        <v>2088</v>
      </c>
      <c r="B3038" t="s">
        <v>5871</v>
      </c>
      <c r="C3038" s="87" t="s">
        <v>2441</v>
      </c>
      <c r="D3038" s="88" t="s">
        <v>5901</v>
      </c>
      <c r="E3038" s="89">
        <v>66071881</v>
      </c>
      <c r="F3038"/>
      <c r="G3038" s="17" t="s">
        <v>1</v>
      </c>
      <c r="H3038" s="132">
        <v>46084</v>
      </c>
      <c r="I3038" s="127" t="s">
        <v>5902</v>
      </c>
      <c r="J3038"/>
      <c r="K3038"/>
      <c r="L3038"/>
    </row>
    <row r="3039" spans="1:12">
      <c r="A3039" s="95" t="s">
        <v>2088</v>
      </c>
      <c r="B3039" t="s">
        <v>5871</v>
      </c>
      <c r="C3039" s="97" t="s">
        <v>2442</v>
      </c>
      <c r="D3039" s="88"/>
      <c r="E3039" s="89">
        <v>69377136</v>
      </c>
      <c r="F3039"/>
      <c r="G3039" s="17" t="s">
        <v>3</v>
      </c>
      <c r="H3039" s="132">
        <v>46084</v>
      </c>
      <c r="I3039" s="127" t="s">
        <v>3582</v>
      </c>
      <c r="J3039"/>
      <c r="K3039"/>
      <c r="L3039" t="s">
        <v>5903</v>
      </c>
    </row>
    <row r="3040" spans="1:12">
      <c r="A3040" s="95" t="s">
        <v>2088</v>
      </c>
      <c r="B3040" t="s">
        <v>5871</v>
      </c>
      <c r="C3040" s="87" t="s">
        <v>2443</v>
      </c>
      <c r="D3040" s="88"/>
      <c r="E3040" s="89">
        <v>64251864</v>
      </c>
      <c r="F3040"/>
      <c r="G3040" s="17" t="s">
        <v>6</v>
      </c>
      <c r="H3040" s="132">
        <v>46084</v>
      </c>
      <c r="I3040" s="127" t="s">
        <v>5904</v>
      </c>
      <c r="J3040"/>
      <c r="K3040"/>
      <c r="L3040"/>
    </row>
    <row r="3041" spans="1:12">
      <c r="A3041" s="95" t="s">
        <v>2088</v>
      </c>
      <c r="B3041" t="s">
        <v>5871</v>
      </c>
      <c r="C3041" s="87" t="s">
        <v>2444</v>
      </c>
      <c r="D3041" s="88"/>
      <c r="E3041" s="89">
        <v>61009940</v>
      </c>
      <c r="F3041"/>
      <c r="G3041" s="17" t="s">
        <v>6</v>
      </c>
      <c r="H3041" s="132">
        <v>46084</v>
      </c>
      <c r="I3041" s="127" t="s">
        <v>3261</v>
      </c>
      <c r="J3041"/>
      <c r="K3041"/>
      <c r="L3041"/>
    </row>
    <row r="3042" spans="1:12">
      <c r="A3042" s="95" t="s">
        <v>2088</v>
      </c>
      <c r="B3042" t="s">
        <v>5871</v>
      </c>
      <c r="C3042" s="87" t="s">
        <v>2445</v>
      </c>
      <c r="D3042" s="88"/>
      <c r="E3042" s="89">
        <v>6158863</v>
      </c>
      <c r="F3042"/>
      <c r="G3042" s="17" t="s">
        <v>9</v>
      </c>
      <c r="H3042" s="132">
        <v>46084</v>
      </c>
      <c r="I3042" s="127" t="s">
        <v>5905</v>
      </c>
      <c r="J3042"/>
      <c r="K3042"/>
      <c r="L3042"/>
    </row>
    <row r="3043" spans="1:12">
      <c r="A3043" s="95" t="s">
        <v>2088</v>
      </c>
      <c r="B3043" t="s">
        <v>5871</v>
      </c>
      <c r="C3043" s="87" t="s">
        <v>2446</v>
      </c>
      <c r="D3043" s="88" t="s">
        <v>5906</v>
      </c>
      <c r="E3043" s="89">
        <v>64572622</v>
      </c>
      <c r="F3043"/>
      <c r="G3043" s="17" t="s">
        <v>1</v>
      </c>
      <c r="H3043" s="132">
        <v>46084</v>
      </c>
      <c r="I3043" s="127" t="s">
        <v>3417</v>
      </c>
      <c r="J3043"/>
      <c r="K3043"/>
      <c r="L3043"/>
    </row>
    <row r="3044" spans="1:12">
      <c r="A3044" s="95" t="s">
        <v>2088</v>
      </c>
      <c r="B3044" t="s">
        <v>5871</v>
      </c>
      <c r="C3044" s="87" t="s">
        <v>2447</v>
      </c>
      <c r="D3044" s="88"/>
      <c r="E3044" s="89">
        <v>7093562</v>
      </c>
      <c r="F3044"/>
      <c r="G3044" s="17" t="s">
        <v>8</v>
      </c>
      <c r="H3044" s="132">
        <v>46084</v>
      </c>
      <c r="I3044" s="127" t="s">
        <v>3274</v>
      </c>
      <c r="J3044"/>
      <c r="K3044"/>
      <c r="L3044"/>
    </row>
    <row r="3045" spans="1:12">
      <c r="A3045" s="95" t="s">
        <v>2088</v>
      </c>
      <c r="B3045" t="s">
        <v>5871</v>
      </c>
      <c r="C3045" s="87" t="s">
        <v>2448</v>
      </c>
      <c r="D3045" s="88"/>
      <c r="E3045" s="89">
        <v>62309732</v>
      </c>
      <c r="F3045"/>
      <c r="G3045" s="17" t="s">
        <v>3</v>
      </c>
      <c r="H3045" s="132">
        <v>46084</v>
      </c>
      <c r="I3045" s="127" t="s">
        <v>3275</v>
      </c>
      <c r="J3045"/>
      <c r="K3045"/>
      <c r="L3045"/>
    </row>
    <row r="3046" spans="1:12">
      <c r="A3046" s="95" t="s">
        <v>2088</v>
      </c>
      <c r="B3046" t="s">
        <v>5871</v>
      </c>
      <c r="C3046" s="87" t="s">
        <v>2449</v>
      </c>
      <c r="D3046" s="88"/>
      <c r="E3046" s="89">
        <v>61670214</v>
      </c>
      <c r="F3046"/>
      <c r="G3046" s="17" t="s">
        <v>2</v>
      </c>
      <c r="H3046" s="132">
        <v>46084</v>
      </c>
      <c r="I3046" s="127" t="s">
        <v>3276</v>
      </c>
      <c r="J3046"/>
      <c r="K3046"/>
      <c r="L3046"/>
    </row>
    <row r="3047" spans="1:12">
      <c r="A3047" s="95" t="s">
        <v>2088</v>
      </c>
      <c r="B3047" t="s">
        <v>5871</v>
      </c>
      <c r="C3047" s="87" t="s">
        <v>2450</v>
      </c>
      <c r="D3047" s="88"/>
      <c r="E3047" s="89">
        <v>66835177</v>
      </c>
      <c r="F3047"/>
      <c r="G3047" s="17" t="s">
        <v>6</v>
      </c>
      <c r="H3047" s="132">
        <v>46084</v>
      </c>
      <c r="I3047" s="127" t="s">
        <v>5907</v>
      </c>
      <c r="J3047"/>
      <c r="K3047"/>
      <c r="L3047"/>
    </row>
    <row r="3048" spans="1:12">
      <c r="A3048" s="95" t="s">
        <v>2088</v>
      </c>
      <c r="B3048" t="s">
        <v>5871</v>
      </c>
      <c r="C3048" s="87" t="s">
        <v>2451</v>
      </c>
      <c r="D3048" s="88"/>
      <c r="E3048" s="89">
        <v>64264375</v>
      </c>
      <c r="F3048"/>
      <c r="G3048" s="17" t="s">
        <v>6</v>
      </c>
      <c r="H3048" s="132">
        <v>46084</v>
      </c>
      <c r="I3048" s="127" t="s">
        <v>3618</v>
      </c>
      <c r="J3048"/>
      <c r="K3048"/>
      <c r="L3048"/>
    </row>
    <row r="3049" spans="1:12">
      <c r="A3049" s="95" t="s">
        <v>2088</v>
      </c>
      <c r="B3049" t="s">
        <v>5871</v>
      </c>
      <c r="C3049" s="87" t="s">
        <v>2452</v>
      </c>
      <c r="D3049" s="88"/>
      <c r="E3049" s="89">
        <v>7744420</v>
      </c>
      <c r="F3049"/>
      <c r="G3049" s="17" t="s">
        <v>9</v>
      </c>
      <c r="H3049" s="132">
        <v>46084</v>
      </c>
      <c r="I3049" s="127" t="s">
        <v>3618</v>
      </c>
      <c r="J3049"/>
      <c r="K3049"/>
      <c r="L3049"/>
    </row>
    <row r="3050" spans="1:12">
      <c r="A3050" s="95" t="s">
        <v>2088</v>
      </c>
      <c r="B3050" t="s">
        <v>5871</v>
      </c>
      <c r="C3050" s="87" t="s">
        <v>2453</v>
      </c>
      <c r="D3050" s="88"/>
      <c r="E3050" s="89">
        <v>64218598</v>
      </c>
      <c r="F3050"/>
      <c r="G3050" s="17" t="s">
        <v>1</v>
      </c>
      <c r="H3050" s="132">
        <v>46084</v>
      </c>
      <c r="I3050" s="127" t="s">
        <v>3624</v>
      </c>
      <c r="J3050"/>
      <c r="K3050"/>
      <c r="L3050"/>
    </row>
    <row r="3051" spans="1:12">
      <c r="A3051" s="95" t="s">
        <v>2088</v>
      </c>
      <c r="B3051" t="s">
        <v>5871</v>
      </c>
      <c r="C3051" s="87" t="s">
        <v>2454</v>
      </c>
      <c r="D3051" s="88"/>
      <c r="E3051" s="89">
        <v>63542080</v>
      </c>
      <c r="F3051"/>
      <c r="G3051" s="17" t="s">
        <v>9</v>
      </c>
      <c r="H3051" s="132">
        <v>46084</v>
      </c>
      <c r="I3051" s="127" t="s">
        <v>3277</v>
      </c>
      <c r="J3051"/>
      <c r="K3051"/>
      <c r="L3051"/>
    </row>
    <row r="3052" spans="1:12">
      <c r="A3052" s="95" t="s">
        <v>2088</v>
      </c>
      <c r="B3052" t="s">
        <v>5871</v>
      </c>
      <c r="C3052" s="87" t="s">
        <v>2455</v>
      </c>
      <c r="D3052" s="88"/>
      <c r="E3052" s="89">
        <v>66239097</v>
      </c>
      <c r="F3052"/>
      <c r="G3052" s="17" t="s">
        <v>8</v>
      </c>
      <c r="H3052" s="132">
        <v>46084</v>
      </c>
      <c r="I3052" s="127" t="s">
        <v>3281</v>
      </c>
      <c r="J3052"/>
      <c r="K3052"/>
      <c r="L3052"/>
    </row>
    <row r="3053" spans="1:12">
      <c r="A3053" s="95" t="s">
        <v>2088</v>
      </c>
      <c r="B3053" t="s">
        <v>5871</v>
      </c>
      <c r="C3053" s="87" t="s">
        <v>2456</v>
      </c>
      <c r="D3053" s="88"/>
      <c r="E3053" s="89">
        <v>67424698</v>
      </c>
      <c r="F3053"/>
      <c r="G3053" s="17" t="s">
        <v>8</v>
      </c>
      <c r="H3053" s="132">
        <v>46084</v>
      </c>
      <c r="I3053" s="127" t="s">
        <v>3282</v>
      </c>
      <c r="J3053"/>
      <c r="K3053"/>
      <c r="L3053"/>
    </row>
    <row r="3054" spans="1:12">
      <c r="A3054" s="95" t="s">
        <v>2088</v>
      </c>
      <c r="B3054" t="s">
        <v>5871</v>
      </c>
      <c r="C3054" s="87" t="s">
        <v>2457</v>
      </c>
      <c r="D3054" s="88"/>
      <c r="E3054" s="89">
        <v>67062909</v>
      </c>
      <c r="F3054"/>
      <c r="G3054" s="17" t="s">
        <v>5</v>
      </c>
      <c r="H3054" s="132">
        <v>46084</v>
      </c>
      <c r="I3054" s="127" t="s">
        <v>3640</v>
      </c>
      <c r="J3054"/>
      <c r="K3054"/>
      <c r="L3054"/>
    </row>
    <row r="3055" spans="1:12">
      <c r="A3055" s="95" t="s">
        <v>2088</v>
      </c>
      <c r="B3055" t="s">
        <v>5871</v>
      </c>
      <c r="C3055" s="87" t="s">
        <v>2458</v>
      </c>
      <c r="D3055" s="88"/>
      <c r="E3055" s="89">
        <v>69183277</v>
      </c>
      <c r="F3055"/>
      <c r="G3055" s="17" t="s">
        <v>5</v>
      </c>
      <c r="H3055" s="132">
        <v>46084</v>
      </c>
      <c r="I3055" s="127" t="s">
        <v>4861</v>
      </c>
      <c r="J3055"/>
      <c r="K3055"/>
      <c r="L3055"/>
    </row>
    <row r="3056" spans="1:12">
      <c r="A3056" s="95" t="s">
        <v>2088</v>
      </c>
      <c r="B3056" t="s">
        <v>5871</v>
      </c>
      <c r="C3056" s="87" t="s">
        <v>2459</v>
      </c>
      <c r="D3056" s="88"/>
      <c r="E3056" s="89">
        <v>64776233</v>
      </c>
      <c r="F3056"/>
      <c r="G3056" s="17" t="s">
        <v>8</v>
      </c>
      <c r="H3056" s="132">
        <v>46084</v>
      </c>
      <c r="I3056" s="127" t="s">
        <v>5908</v>
      </c>
      <c r="J3056"/>
      <c r="K3056"/>
      <c r="L3056"/>
    </row>
    <row r="3057" spans="1:12">
      <c r="A3057" s="95" t="s">
        <v>2088</v>
      </c>
      <c r="B3057" t="s">
        <v>5871</v>
      </c>
      <c r="C3057" s="87" t="s">
        <v>2460</v>
      </c>
      <c r="D3057" s="88"/>
      <c r="E3057" s="89">
        <v>68556711</v>
      </c>
      <c r="F3057"/>
      <c r="G3057" s="17" t="s">
        <v>9</v>
      </c>
      <c r="H3057" s="132">
        <v>46084</v>
      </c>
      <c r="I3057" s="127" t="s">
        <v>5909</v>
      </c>
      <c r="J3057"/>
      <c r="K3057"/>
      <c r="L3057"/>
    </row>
    <row r="3058" spans="1:12">
      <c r="A3058" s="95" t="s">
        <v>2088</v>
      </c>
      <c r="B3058" t="s">
        <v>5871</v>
      </c>
      <c r="C3058" s="87" t="s">
        <v>2461</v>
      </c>
      <c r="D3058" s="88"/>
      <c r="E3058" s="89">
        <v>6801695</v>
      </c>
      <c r="F3058"/>
      <c r="G3058" s="17" t="s">
        <v>9</v>
      </c>
      <c r="H3058" s="132">
        <v>46084</v>
      </c>
      <c r="I3058" s="127" t="s">
        <v>5910</v>
      </c>
      <c r="J3058"/>
      <c r="K3058"/>
      <c r="L3058"/>
    </row>
    <row r="3059" spans="1:12">
      <c r="A3059" s="95" t="s">
        <v>2088</v>
      </c>
      <c r="B3059" t="s">
        <v>5871</v>
      </c>
      <c r="C3059" s="87" t="s">
        <v>2462</v>
      </c>
      <c r="D3059" s="88" t="s">
        <v>5911</v>
      </c>
      <c r="E3059" s="89">
        <v>68623257</v>
      </c>
      <c r="F3059"/>
      <c r="G3059" s="17" t="s">
        <v>1</v>
      </c>
      <c r="H3059" s="132">
        <v>46084</v>
      </c>
      <c r="I3059" s="127" t="s">
        <v>5912</v>
      </c>
      <c r="J3059"/>
      <c r="K3059"/>
      <c r="L3059"/>
    </row>
    <row r="3060" spans="1:12">
      <c r="A3060" s="95" t="s">
        <v>2088</v>
      </c>
      <c r="B3060" t="s">
        <v>5871</v>
      </c>
      <c r="C3060" s="87" t="s">
        <v>2463</v>
      </c>
      <c r="D3060" s="88"/>
      <c r="E3060" s="89">
        <v>68357016</v>
      </c>
      <c r="F3060"/>
      <c r="G3060" s="17" t="s">
        <v>2</v>
      </c>
      <c r="H3060" s="132">
        <v>46084</v>
      </c>
      <c r="I3060" s="127" t="s">
        <v>5913</v>
      </c>
      <c r="J3060"/>
      <c r="K3060"/>
      <c r="L3060"/>
    </row>
    <row r="3061" spans="1:12">
      <c r="A3061" s="95" t="s">
        <v>2088</v>
      </c>
      <c r="B3061" t="s">
        <v>5871</v>
      </c>
      <c r="C3061" s="87" t="s">
        <v>2464</v>
      </c>
      <c r="D3061" s="88"/>
      <c r="E3061" s="89">
        <v>69455926</v>
      </c>
      <c r="F3061"/>
      <c r="G3061" s="17" t="s">
        <v>1</v>
      </c>
      <c r="H3061" s="132">
        <v>46084</v>
      </c>
      <c r="I3061" s="127" t="s">
        <v>5914</v>
      </c>
      <c r="J3061"/>
      <c r="K3061"/>
      <c r="L3061"/>
    </row>
    <row r="3062" spans="1:12">
      <c r="A3062" s="95" t="s">
        <v>2088</v>
      </c>
      <c r="B3062" t="s">
        <v>5871</v>
      </c>
      <c r="C3062" s="87" t="s">
        <v>2465</v>
      </c>
      <c r="D3062" s="88" t="s">
        <v>5915</v>
      </c>
      <c r="E3062" s="89">
        <v>68759030</v>
      </c>
      <c r="F3062"/>
      <c r="G3062" s="17" t="s">
        <v>1</v>
      </c>
      <c r="H3062" s="132">
        <v>46084</v>
      </c>
      <c r="I3062" s="127" t="s">
        <v>5916</v>
      </c>
      <c r="J3062"/>
      <c r="K3062"/>
      <c r="L3062"/>
    </row>
    <row r="3063" spans="1:12">
      <c r="A3063" s="95" t="s">
        <v>2088</v>
      </c>
      <c r="B3063" t="s">
        <v>5871</v>
      </c>
      <c r="C3063" s="87" t="s">
        <v>2466</v>
      </c>
      <c r="D3063" s="88"/>
      <c r="E3063" s="89">
        <v>69691314</v>
      </c>
      <c r="F3063"/>
      <c r="G3063" s="17" t="s">
        <v>2</v>
      </c>
      <c r="H3063" s="132">
        <v>46086</v>
      </c>
      <c r="I3063" s="127" t="s">
        <v>3319</v>
      </c>
      <c r="J3063"/>
      <c r="K3063"/>
      <c r="L3063"/>
    </row>
    <row r="3064" spans="1:12">
      <c r="A3064" s="95" t="s">
        <v>2088</v>
      </c>
      <c r="B3064" t="s">
        <v>5871</v>
      </c>
      <c r="C3064" s="87" t="s">
        <v>2467</v>
      </c>
      <c r="D3064" s="88"/>
      <c r="E3064" s="89">
        <v>65652763</v>
      </c>
      <c r="F3064"/>
      <c r="G3064" s="17" t="s">
        <v>6</v>
      </c>
      <c r="H3064" s="132">
        <v>46086</v>
      </c>
      <c r="I3064" s="127" t="s">
        <v>5917</v>
      </c>
      <c r="J3064"/>
      <c r="K3064"/>
      <c r="L3064"/>
    </row>
    <row r="3065" spans="1:12">
      <c r="A3065" s="95" t="s">
        <v>2088</v>
      </c>
      <c r="B3065" t="s">
        <v>5871</v>
      </c>
      <c r="C3065" s="87" t="s">
        <v>2468</v>
      </c>
      <c r="D3065" s="88" t="s">
        <v>5918</v>
      </c>
      <c r="E3065" s="89">
        <v>63823930</v>
      </c>
      <c r="F3065"/>
      <c r="G3065" s="17" t="s">
        <v>1</v>
      </c>
      <c r="H3065" s="132">
        <v>46086</v>
      </c>
      <c r="I3065" s="127" t="s">
        <v>5883</v>
      </c>
      <c r="J3065"/>
      <c r="K3065"/>
      <c r="L3065"/>
    </row>
    <row r="3066" spans="1:12">
      <c r="A3066" s="95" t="s">
        <v>2088</v>
      </c>
      <c r="B3066" t="s">
        <v>5871</v>
      </c>
      <c r="C3066" s="87" t="s">
        <v>2469</v>
      </c>
      <c r="D3066" s="88" t="s">
        <v>5919</v>
      </c>
      <c r="E3066" s="89">
        <v>65806280</v>
      </c>
      <c r="F3066"/>
      <c r="G3066" s="17" t="s">
        <v>5</v>
      </c>
      <c r="H3066" s="132">
        <v>46086</v>
      </c>
      <c r="I3066" s="127" t="s">
        <v>4348</v>
      </c>
      <c r="J3066"/>
      <c r="K3066"/>
      <c r="L3066"/>
    </row>
    <row r="3067" spans="1:12">
      <c r="A3067" s="95" t="s">
        <v>2088</v>
      </c>
      <c r="B3067" t="s">
        <v>5871</v>
      </c>
      <c r="C3067" s="87" t="s">
        <v>2470</v>
      </c>
      <c r="D3067" s="88"/>
      <c r="E3067" s="89">
        <v>7758480</v>
      </c>
      <c r="F3067"/>
      <c r="G3067" s="17" t="s">
        <v>9</v>
      </c>
      <c r="H3067" s="132">
        <v>46086</v>
      </c>
      <c r="I3067" s="127" t="s">
        <v>3321</v>
      </c>
      <c r="J3067"/>
      <c r="K3067"/>
      <c r="L3067"/>
    </row>
    <row r="3068" spans="1:12">
      <c r="A3068" s="95" t="s">
        <v>2088</v>
      </c>
      <c r="B3068" t="s">
        <v>5871</v>
      </c>
      <c r="C3068" s="87" t="s">
        <v>2471</v>
      </c>
      <c r="D3068" s="88" t="s">
        <v>5920</v>
      </c>
      <c r="E3068" s="89">
        <v>63898610</v>
      </c>
      <c r="F3068"/>
      <c r="G3068" s="17" t="s">
        <v>1</v>
      </c>
      <c r="H3068" s="132">
        <v>46086</v>
      </c>
      <c r="I3068" s="127" t="s">
        <v>4357</v>
      </c>
      <c r="J3068"/>
      <c r="K3068"/>
      <c r="L3068"/>
    </row>
    <row r="3069" spans="1:12">
      <c r="A3069" s="95" t="s">
        <v>2088</v>
      </c>
      <c r="B3069" t="s">
        <v>5871</v>
      </c>
      <c r="C3069" s="87" t="s">
        <v>2472</v>
      </c>
      <c r="D3069" s="88"/>
      <c r="E3069" s="89">
        <v>68909271</v>
      </c>
      <c r="F3069"/>
      <c r="G3069" s="17" t="s">
        <v>8</v>
      </c>
      <c r="H3069" s="132">
        <v>46086</v>
      </c>
      <c r="I3069" s="127" t="s">
        <v>3329</v>
      </c>
      <c r="J3069"/>
      <c r="K3069"/>
      <c r="L3069"/>
    </row>
    <row r="3070" spans="1:12">
      <c r="A3070" s="95" t="s">
        <v>2088</v>
      </c>
      <c r="B3070" t="s">
        <v>5871</v>
      </c>
      <c r="C3070" s="87" t="s">
        <v>2473</v>
      </c>
      <c r="D3070" s="88"/>
      <c r="E3070" s="89">
        <v>63419239</v>
      </c>
      <c r="F3070"/>
      <c r="G3070" s="17" t="s">
        <v>9</v>
      </c>
      <c r="H3070" s="132">
        <v>46086</v>
      </c>
      <c r="I3070" s="127" t="s">
        <v>4350</v>
      </c>
      <c r="J3070"/>
      <c r="K3070"/>
      <c r="L3070"/>
    </row>
    <row r="3071" spans="1:12">
      <c r="A3071" s="95" t="s">
        <v>2088</v>
      </c>
      <c r="B3071" t="s">
        <v>5871</v>
      </c>
      <c r="C3071" s="87" t="s">
        <v>2474</v>
      </c>
      <c r="D3071" s="88" t="s">
        <v>5921</v>
      </c>
      <c r="E3071" s="89">
        <v>68845634</v>
      </c>
      <c r="F3071"/>
      <c r="G3071" s="17" t="s">
        <v>1</v>
      </c>
      <c r="H3071" s="132">
        <v>46086</v>
      </c>
      <c r="I3071" s="127" t="s">
        <v>5922</v>
      </c>
      <c r="J3071"/>
      <c r="K3071"/>
      <c r="L3071"/>
    </row>
    <row r="3072" spans="1:12">
      <c r="A3072" s="95" t="s">
        <v>2088</v>
      </c>
      <c r="B3072" t="s">
        <v>5871</v>
      </c>
      <c r="C3072" s="87" t="s">
        <v>2475</v>
      </c>
      <c r="D3072" s="88"/>
      <c r="E3072" s="89">
        <v>67622540</v>
      </c>
      <c r="F3072"/>
      <c r="G3072" s="17" t="s">
        <v>1</v>
      </c>
      <c r="H3072" s="132">
        <v>46086</v>
      </c>
      <c r="I3072" s="127" t="s">
        <v>3333</v>
      </c>
      <c r="J3072"/>
      <c r="K3072"/>
      <c r="L3072"/>
    </row>
    <row r="3073" spans="1:12">
      <c r="A3073" s="95" t="s">
        <v>2088</v>
      </c>
      <c r="B3073" t="s">
        <v>5871</v>
      </c>
      <c r="C3073" s="87" t="s">
        <v>2476</v>
      </c>
      <c r="D3073" s="88" t="s">
        <v>5923</v>
      </c>
      <c r="E3073" s="89">
        <v>66882033</v>
      </c>
      <c r="F3073"/>
      <c r="G3073" s="17" t="s">
        <v>3</v>
      </c>
      <c r="H3073" s="132">
        <v>46086</v>
      </c>
      <c r="I3073" s="127" t="s">
        <v>5924</v>
      </c>
      <c r="J3073"/>
      <c r="K3073"/>
      <c r="L3073"/>
    </row>
    <row r="3074" spans="1:12">
      <c r="A3074" s="95" t="s">
        <v>2088</v>
      </c>
      <c r="B3074" t="s">
        <v>5871</v>
      </c>
      <c r="C3074" s="87" t="s">
        <v>2477</v>
      </c>
      <c r="D3074" s="88"/>
      <c r="E3074" s="89">
        <v>63292738</v>
      </c>
      <c r="F3074"/>
      <c r="G3074" s="17" t="s">
        <v>2</v>
      </c>
      <c r="H3074" s="132">
        <v>46086</v>
      </c>
      <c r="I3074" s="127" t="s">
        <v>5925</v>
      </c>
      <c r="J3074"/>
      <c r="K3074"/>
      <c r="L3074"/>
    </row>
    <row r="3075" spans="1:12">
      <c r="A3075" s="95" t="s">
        <v>2088</v>
      </c>
      <c r="B3075" t="s">
        <v>5871</v>
      </c>
      <c r="C3075" s="87" t="s">
        <v>2478</v>
      </c>
      <c r="D3075" s="88"/>
      <c r="E3075" s="89">
        <v>68703208</v>
      </c>
      <c r="F3075"/>
      <c r="G3075" s="17" t="s">
        <v>2</v>
      </c>
      <c r="H3075" s="132">
        <v>46086</v>
      </c>
      <c r="I3075" s="127" t="s">
        <v>5926</v>
      </c>
      <c r="J3075"/>
      <c r="K3075"/>
      <c r="L3075"/>
    </row>
    <row r="3076" spans="1:12">
      <c r="A3076" s="95" t="s">
        <v>2088</v>
      </c>
      <c r="B3076" t="s">
        <v>5871</v>
      </c>
      <c r="C3076" s="87" t="s">
        <v>2479</v>
      </c>
      <c r="D3076" s="88" t="s">
        <v>5927</v>
      </c>
      <c r="E3076" s="89">
        <v>69823513</v>
      </c>
      <c r="F3076"/>
      <c r="G3076" s="17" t="s">
        <v>1</v>
      </c>
      <c r="H3076" s="132">
        <v>46086</v>
      </c>
      <c r="I3076" s="127" t="s">
        <v>3336</v>
      </c>
      <c r="J3076"/>
      <c r="K3076"/>
      <c r="L3076"/>
    </row>
    <row r="3077" spans="1:12">
      <c r="A3077" s="95" t="s">
        <v>2088</v>
      </c>
      <c r="B3077" t="s">
        <v>5871</v>
      </c>
      <c r="C3077" s="87" t="s">
        <v>2480</v>
      </c>
      <c r="D3077" s="88"/>
      <c r="E3077" s="89">
        <v>65337635</v>
      </c>
      <c r="F3077"/>
      <c r="G3077" s="17" t="s">
        <v>9</v>
      </c>
      <c r="H3077" s="132">
        <v>46086</v>
      </c>
      <c r="I3077" s="127" t="s">
        <v>5928</v>
      </c>
      <c r="J3077"/>
      <c r="K3077"/>
      <c r="L3077"/>
    </row>
    <row r="3078" spans="1:12">
      <c r="A3078" s="95" t="s">
        <v>2088</v>
      </c>
      <c r="B3078" t="s">
        <v>5871</v>
      </c>
      <c r="C3078" s="87" t="s">
        <v>2481</v>
      </c>
      <c r="D3078" s="88" t="s">
        <v>5929</v>
      </c>
      <c r="E3078" s="89">
        <v>69589860</v>
      </c>
      <c r="F3078"/>
      <c r="G3078" s="17" t="s">
        <v>1</v>
      </c>
      <c r="H3078" s="132">
        <v>46086</v>
      </c>
      <c r="I3078" s="127" t="s">
        <v>3340</v>
      </c>
      <c r="J3078"/>
      <c r="K3078"/>
      <c r="L3078"/>
    </row>
    <row r="3079" spans="1:12">
      <c r="A3079" s="95" t="s">
        <v>2088</v>
      </c>
      <c r="B3079" t="s">
        <v>5871</v>
      </c>
      <c r="C3079" s="87" t="s">
        <v>2482</v>
      </c>
      <c r="D3079" s="88"/>
      <c r="E3079" s="89">
        <v>64018481</v>
      </c>
      <c r="F3079"/>
      <c r="G3079" s="17" t="s">
        <v>8</v>
      </c>
      <c r="H3079" s="132">
        <v>46086</v>
      </c>
      <c r="I3079" s="127" t="s">
        <v>3344</v>
      </c>
      <c r="J3079"/>
      <c r="K3079"/>
      <c r="L3079"/>
    </row>
    <row r="3080" spans="1:12">
      <c r="A3080" s="95" t="s">
        <v>2088</v>
      </c>
      <c r="B3080" t="s">
        <v>5871</v>
      </c>
      <c r="C3080" s="87" t="s">
        <v>2483</v>
      </c>
      <c r="D3080" s="88"/>
      <c r="E3080" s="89">
        <v>66230445</v>
      </c>
      <c r="F3080"/>
      <c r="G3080" s="17" t="s">
        <v>1</v>
      </c>
      <c r="H3080" s="132">
        <v>46086</v>
      </c>
      <c r="I3080" s="127" t="s">
        <v>5930</v>
      </c>
      <c r="J3080"/>
      <c r="K3080"/>
      <c r="L3080"/>
    </row>
    <row r="3081" spans="1:12">
      <c r="A3081" s="95" t="s">
        <v>2088</v>
      </c>
      <c r="B3081" t="s">
        <v>5871</v>
      </c>
      <c r="C3081" s="87" t="s">
        <v>2484</v>
      </c>
      <c r="D3081" s="88"/>
      <c r="E3081" s="89">
        <v>69028292</v>
      </c>
      <c r="F3081"/>
      <c r="G3081" s="17" t="s">
        <v>6</v>
      </c>
      <c r="H3081" s="132">
        <v>46086</v>
      </c>
      <c r="I3081" s="127" t="s">
        <v>3346</v>
      </c>
      <c r="J3081"/>
      <c r="K3081"/>
      <c r="L3081"/>
    </row>
    <row r="3082" spans="1:12">
      <c r="A3082" s="95" t="s">
        <v>2088</v>
      </c>
      <c r="B3082" t="s">
        <v>5871</v>
      </c>
      <c r="C3082" s="87" t="s">
        <v>2485</v>
      </c>
      <c r="D3082" s="88"/>
      <c r="E3082" s="89">
        <v>7307124</v>
      </c>
      <c r="F3082"/>
      <c r="G3082" s="17" t="s">
        <v>9</v>
      </c>
      <c r="H3082" s="132">
        <v>46086</v>
      </c>
      <c r="I3082" s="127" t="s">
        <v>3347</v>
      </c>
      <c r="J3082"/>
      <c r="K3082"/>
      <c r="L3082"/>
    </row>
    <row r="3083" spans="1:12">
      <c r="A3083" s="95" t="s">
        <v>2088</v>
      </c>
      <c r="B3083" t="s">
        <v>5871</v>
      </c>
      <c r="C3083" s="87" t="s">
        <v>2486</v>
      </c>
      <c r="D3083" s="88"/>
      <c r="E3083" s="89">
        <v>64065550</v>
      </c>
      <c r="F3083"/>
      <c r="G3083" s="17" t="s">
        <v>6</v>
      </c>
      <c r="H3083" s="132">
        <v>46086</v>
      </c>
      <c r="I3083" s="127" t="s">
        <v>3348</v>
      </c>
      <c r="J3083"/>
      <c r="K3083"/>
      <c r="L3083"/>
    </row>
    <row r="3084" spans="1:12">
      <c r="A3084" s="95" t="s">
        <v>2088</v>
      </c>
      <c r="B3084" t="s">
        <v>5871</v>
      </c>
      <c r="C3084" s="87" t="s">
        <v>2487</v>
      </c>
      <c r="D3084" s="88"/>
      <c r="E3084" s="89">
        <v>69223035</v>
      </c>
      <c r="F3084"/>
      <c r="G3084" s="17" t="s">
        <v>8</v>
      </c>
      <c r="H3084" s="132">
        <v>46086</v>
      </c>
      <c r="I3084" s="127" t="s">
        <v>3350</v>
      </c>
      <c r="J3084"/>
      <c r="K3084"/>
      <c r="L3084"/>
    </row>
    <row r="3085" spans="1:12">
      <c r="A3085" s="95" t="s">
        <v>2088</v>
      </c>
      <c r="B3085" t="s">
        <v>5871</v>
      </c>
      <c r="C3085" s="87" t="s">
        <v>2488</v>
      </c>
      <c r="D3085" s="88"/>
      <c r="E3085" s="89">
        <v>64991245</v>
      </c>
      <c r="F3085"/>
      <c r="G3085" s="17" t="s">
        <v>6</v>
      </c>
      <c r="H3085" s="132">
        <v>46086</v>
      </c>
      <c r="I3085" s="127" t="s">
        <v>5931</v>
      </c>
      <c r="J3085"/>
      <c r="K3085"/>
      <c r="L3085"/>
    </row>
    <row r="3086" spans="1:12">
      <c r="A3086" s="95" t="s">
        <v>2088</v>
      </c>
      <c r="B3086" t="s">
        <v>5871</v>
      </c>
      <c r="C3086" s="87" t="s">
        <v>2489</v>
      </c>
      <c r="D3086" s="88"/>
      <c r="E3086" s="89">
        <v>66945755</v>
      </c>
      <c r="F3086"/>
      <c r="G3086" s="17" t="s">
        <v>2</v>
      </c>
      <c r="H3086" s="132">
        <v>46086</v>
      </c>
      <c r="I3086" s="127" t="s">
        <v>4554</v>
      </c>
      <c r="J3086"/>
      <c r="K3086"/>
      <c r="L3086"/>
    </row>
    <row r="3087" spans="1:12">
      <c r="A3087" s="95" t="s">
        <v>2088</v>
      </c>
      <c r="B3087" t="s">
        <v>5871</v>
      </c>
      <c r="C3087" s="87" t="s">
        <v>2490</v>
      </c>
      <c r="D3087" s="88" t="s">
        <v>5932</v>
      </c>
      <c r="E3087" s="89">
        <v>66042239</v>
      </c>
      <c r="F3087"/>
      <c r="G3087" s="17" t="s">
        <v>1</v>
      </c>
      <c r="H3087" s="132">
        <v>46086</v>
      </c>
      <c r="I3087" s="127" t="s">
        <v>4545</v>
      </c>
      <c r="J3087"/>
      <c r="K3087"/>
      <c r="L3087"/>
    </row>
    <row r="3088" spans="1:12">
      <c r="A3088" s="95" t="s">
        <v>2088</v>
      </c>
      <c r="B3088" t="s">
        <v>5871</v>
      </c>
      <c r="C3088" s="87" t="s">
        <v>2491</v>
      </c>
      <c r="D3088" s="88"/>
      <c r="E3088" s="89">
        <v>64995414</v>
      </c>
      <c r="F3088"/>
      <c r="G3088" s="17" t="s">
        <v>6</v>
      </c>
      <c r="H3088" s="132">
        <v>46086</v>
      </c>
      <c r="I3088" s="127" t="s">
        <v>4542</v>
      </c>
      <c r="J3088"/>
      <c r="K3088"/>
      <c r="L3088"/>
    </row>
    <row r="3089" spans="1:12">
      <c r="A3089" s="95" t="s">
        <v>2088</v>
      </c>
      <c r="B3089" t="s">
        <v>5871</v>
      </c>
      <c r="C3089" s="87" t="s">
        <v>2492</v>
      </c>
      <c r="D3089" s="88"/>
      <c r="E3089" s="89">
        <v>68351702</v>
      </c>
      <c r="F3089"/>
      <c r="G3089" s="17" t="s">
        <v>6</v>
      </c>
      <c r="H3089" s="132">
        <v>46086</v>
      </c>
      <c r="I3089" s="127" t="s">
        <v>5933</v>
      </c>
      <c r="J3089"/>
      <c r="K3089"/>
      <c r="L3089"/>
    </row>
    <row r="3090" spans="1:12">
      <c r="A3090" s="95" t="s">
        <v>2088</v>
      </c>
      <c r="B3090" t="s">
        <v>5871</v>
      </c>
      <c r="C3090" s="87" t="s">
        <v>2493</v>
      </c>
      <c r="D3090" s="88"/>
      <c r="E3090" s="89">
        <v>65689760</v>
      </c>
      <c r="F3090"/>
      <c r="G3090" s="17" t="s">
        <v>9</v>
      </c>
      <c r="H3090" s="132">
        <v>46086</v>
      </c>
      <c r="I3090" s="127" t="s">
        <v>3356</v>
      </c>
      <c r="J3090"/>
      <c r="K3090"/>
      <c r="L3090"/>
    </row>
    <row r="3091" spans="1:12">
      <c r="A3091" s="95" t="s">
        <v>2088</v>
      </c>
      <c r="B3091" t="s">
        <v>5871</v>
      </c>
      <c r="C3091" s="87" t="s">
        <v>2494</v>
      </c>
      <c r="D3091" s="88"/>
      <c r="E3091" s="89">
        <v>68487894</v>
      </c>
      <c r="F3091"/>
      <c r="G3091" s="17" t="s">
        <v>9</v>
      </c>
      <c r="H3091" s="132">
        <v>46086</v>
      </c>
      <c r="I3091" s="127" t="s">
        <v>3357</v>
      </c>
      <c r="J3091"/>
      <c r="K3091"/>
      <c r="L3091"/>
    </row>
    <row r="3092" spans="1:12">
      <c r="A3092" s="95" t="s">
        <v>2088</v>
      </c>
      <c r="B3092" t="s">
        <v>5871</v>
      </c>
      <c r="C3092" s="87" t="s">
        <v>2495</v>
      </c>
      <c r="D3092" s="88"/>
      <c r="E3092" s="89">
        <v>64558440</v>
      </c>
      <c r="F3092"/>
      <c r="G3092" s="17" t="s">
        <v>2</v>
      </c>
      <c r="H3092" s="132">
        <v>46086</v>
      </c>
      <c r="I3092" s="127" t="s">
        <v>3358</v>
      </c>
      <c r="J3092"/>
      <c r="K3092"/>
      <c r="L3092"/>
    </row>
    <row r="3093" spans="1:12">
      <c r="A3093" s="95" t="s">
        <v>2088</v>
      </c>
      <c r="B3093" t="s">
        <v>5871</v>
      </c>
      <c r="C3093" s="87" t="s">
        <v>2496</v>
      </c>
      <c r="D3093" s="88"/>
      <c r="E3093" s="89">
        <v>64779801</v>
      </c>
      <c r="F3093"/>
      <c r="G3093" s="17" t="s">
        <v>9</v>
      </c>
      <c r="H3093" s="132">
        <v>46086</v>
      </c>
      <c r="I3093" s="127" t="s">
        <v>3359</v>
      </c>
      <c r="J3093"/>
      <c r="K3093"/>
      <c r="L3093"/>
    </row>
    <row r="3094" spans="1:12">
      <c r="A3094" s="95" t="s">
        <v>2088</v>
      </c>
      <c r="B3094" t="s">
        <v>5871</v>
      </c>
      <c r="C3094" s="87" t="s">
        <v>2497</v>
      </c>
      <c r="D3094" s="88"/>
      <c r="E3094" s="89">
        <v>66772661</v>
      </c>
      <c r="F3094"/>
      <c r="G3094" s="17" t="s">
        <v>6</v>
      </c>
      <c r="H3094" s="132">
        <v>46086</v>
      </c>
      <c r="I3094" s="127" t="s">
        <v>3360</v>
      </c>
      <c r="J3094"/>
      <c r="K3094"/>
      <c r="L3094"/>
    </row>
    <row r="3095" spans="1:12">
      <c r="A3095" s="95" t="s">
        <v>2088</v>
      </c>
      <c r="B3095" t="s">
        <v>5871</v>
      </c>
      <c r="C3095" s="87" t="s">
        <v>2498</v>
      </c>
      <c r="D3095" s="88"/>
      <c r="E3095" s="89">
        <v>64543698</v>
      </c>
      <c r="F3095"/>
      <c r="G3095" s="17" t="s">
        <v>5</v>
      </c>
      <c r="H3095" s="132">
        <v>46086</v>
      </c>
      <c r="I3095" s="127" t="s">
        <v>3362</v>
      </c>
      <c r="J3095"/>
      <c r="K3095"/>
      <c r="L3095"/>
    </row>
    <row r="3096" spans="1:12">
      <c r="A3096" s="95" t="s">
        <v>2088</v>
      </c>
      <c r="B3096" t="s">
        <v>5871</v>
      </c>
      <c r="C3096" s="87" t="s">
        <v>2499</v>
      </c>
      <c r="D3096" s="88"/>
      <c r="E3096" s="89">
        <v>6529139</v>
      </c>
      <c r="F3096"/>
      <c r="G3096" s="17" t="s">
        <v>6</v>
      </c>
      <c r="H3096" s="132">
        <v>46086</v>
      </c>
      <c r="I3096" s="127" t="s">
        <v>3362</v>
      </c>
      <c r="J3096"/>
      <c r="K3096"/>
      <c r="L3096"/>
    </row>
    <row r="3097" spans="1:12" ht="24">
      <c r="A3097" s="95" t="s">
        <v>2088</v>
      </c>
      <c r="B3097" t="s">
        <v>5871</v>
      </c>
      <c r="C3097" s="87" t="s">
        <v>2500</v>
      </c>
      <c r="D3097" s="100" t="s">
        <v>5934</v>
      </c>
      <c r="E3097" s="89">
        <v>65277056</v>
      </c>
      <c r="F3097" s="99" t="s">
        <v>5935</v>
      </c>
      <c r="G3097" s="17" t="s">
        <v>1</v>
      </c>
      <c r="H3097" s="132">
        <v>46086</v>
      </c>
      <c r="I3097" s="127" t="s">
        <v>5936</v>
      </c>
      <c r="J3097"/>
      <c r="K3097"/>
      <c r="L3097"/>
    </row>
    <row r="3098" spans="1:12">
      <c r="A3098" s="95" t="s">
        <v>2088</v>
      </c>
      <c r="B3098" t="s">
        <v>5871</v>
      </c>
      <c r="C3098" s="87" t="s">
        <v>2501</v>
      </c>
      <c r="D3098" s="88"/>
      <c r="E3098" s="89">
        <v>5437872</v>
      </c>
      <c r="F3098"/>
      <c r="G3098" s="17" t="s">
        <v>6</v>
      </c>
      <c r="H3098" s="132">
        <v>46086</v>
      </c>
      <c r="I3098" s="127" t="s">
        <v>5936</v>
      </c>
      <c r="J3098"/>
      <c r="K3098"/>
      <c r="L3098"/>
    </row>
    <row r="3099" spans="1:12">
      <c r="A3099" s="95" t="s">
        <v>2088</v>
      </c>
      <c r="B3099" t="s">
        <v>5871</v>
      </c>
      <c r="C3099" s="87" t="s">
        <v>2502</v>
      </c>
      <c r="D3099" s="88"/>
      <c r="E3099" s="89">
        <v>62001874</v>
      </c>
      <c r="F3099"/>
      <c r="G3099" s="17" t="s">
        <v>9</v>
      </c>
      <c r="H3099" s="132">
        <v>46086</v>
      </c>
      <c r="I3099" s="127" t="s">
        <v>5937</v>
      </c>
      <c r="J3099"/>
      <c r="K3099"/>
      <c r="L3099"/>
    </row>
    <row r="3100" spans="1:12">
      <c r="A3100" s="95" t="s">
        <v>2088</v>
      </c>
      <c r="B3100" t="s">
        <v>5871</v>
      </c>
      <c r="C3100" s="87" t="s">
        <v>2503</v>
      </c>
      <c r="D3100" s="88"/>
      <c r="E3100" s="89">
        <v>69617136</v>
      </c>
      <c r="F3100"/>
      <c r="G3100" s="17" t="s">
        <v>9</v>
      </c>
      <c r="H3100" s="132">
        <v>46086</v>
      </c>
      <c r="I3100" s="127" t="s">
        <v>5938</v>
      </c>
      <c r="J3100"/>
      <c r="K3100"/>
      <c r="L3100"/>
    </row>
    <row r="3101" spans="1:12">
      <c r="A3101" s="95" t="s">
        <v>2088</v>
      </c>
      <c r="B3101" t="s">
        <v>5871</v>
      </c>
      <c r="C3101" s="87" t="s">
        <v>2504</v>
      </c>
      <c r="D3101" s="88"/>
      <c r="E3101" s="89">
        <v>68821290</v>
      </c>
      <c r="F3101"/>
      <c r="G3101" s="17" t="s">
        <v>1</v>
      </c>
      <c r="H3101" s="132">
        <v>46086</v>
      </c>
      <c r="I3101" s="127" t="s">
        <v>5939</v>
      </c>
      <c r="J3101"/>
      <c r="K3101"/>
      <c r="L3101"/>
    </row>
    <row r="3102" spans="1:12">
      <c r="A3102" s="95" t="s">
        <v>2088</v>
      </c>
      <c r="B3102" t="s">
        <v>5871</v>
      </c>
      <c r="C3102" s="87" t="s">
        <v>2505</v>
      </c>
      <c r="D3102" s="88"/>
      <c r="E3102" s="89">
        <v>61403208</v>
      </c>
      <c r="F3102"/>
      <c r="G3102" s="17" t="s">
        <v>6</v>
      </c>
      <c r="H3102" s="132">
        <v>46086</v>
      </c>
      <c r="I3102" s="127" t="s">
        <v>5940</v>
      </c>
      <c r="J3102"/>
      <c r="K3102"/>
      <c r="L3102"/>
    </row>
    <row r="3103" spans="1:12">
      <c r="A3103" s="95" t="s">
        <v>2088</v>
      </c>
      <c r="B3103" t="s">
        <v>5871</v>
      </c>
      <c r="C3103" s="87" t="s">
        <v>2506</v>
      </c>
      <c r="D3103" s="88"/>
      <c r="E3103" s="89">
        <v>65833701</v>
      </c>
      <c r="F3103"/>
      <c r="G3103" s="17" t="s">
        <v>2</v>
      </c>
      <c r="H3103" s="132">
        <v>46086</v>
      </c>
      <c r="I3103" s="127" t="s">
        <v>5940</v>
      </c>
      <c r="J3103"/>
      <c r="K3103"/>
      <c r="L3103"/>
    </row>
    <row r="3104" spans="1:12">
      <c r="A3104" s="95" t="s">
        <v>2088</v>
      </c>
      <c r="B3104" t="s">
        <v>5871</v>
      </c>
      <c r="C3104" s="87" t="s">
        <v>2507</v>
      </c>
      <c r="D3104" s="88"/>
      <c r="E3104" s="89">
        <v>63036772</v>
      </c>
      <c r="F3104"/>
      <c r="G3104" s="17" t="s">
        <v>8</v>
      </c>
      <c r="H3104" s="132">
        <v>46086</v>
      </c>
      <c r="I3104" s="127" t="s">
        <v>4521</v>
      </c>
      <c r="J3104"/>
      <c r="K3104"/>
      <c r="L3104"/>
    </row>
    <row r="3105" spans="1:12">
      <c r="A3105" s="95" t="s">
        <v>2088</v>
      </c>
      <c r="B3105" t="s">
        <v>5871</v>
      </c>
      <c r="C3105" s="87" t="s">
        <v>2508</v>
      </c>
      <c r="D3105" s="88" t="s">
        <v>5941</v>
      </c>
      <c r="E3105" s="89">
        <v>67396164</v>
      </c>
      <c r="F3105"/>
      <c r="G3105" s="17" t="s">
        <v>8</v>
      </c>
      <c r="H3105" s="132">
        <v>46086</v>
      </c>
      <c r="I3105" s="127" t="s">
        <v>5942</v>
      </c>
      <c r="J3105"/>
      <c r="K3105"/>
      <c r="L3105"/>
    </row>
    <row r="3106" spans="1:12">
      <c r="A3106" s="95" t="s">
        <v>2088</v>
      </c>
      <c r="B3106" t="s">
        <v>5871</v>
      </c>
      <c r="C3106" s="87" t="s">
        <v>2509</v>
      </c>
      <c r="D3106" s="88"/>
      <c r="E3106" s="89">
        <v>7754626</v>
      </c>
      <c r="F3106"/>
      <c r="G3106" s="17" t="s">
        <v>9</v>
      </c>
      <c r="H3106" s="132">
        <v>46086</v>
      </c>
      <c r="I3106" s="127" t="s">
        <v>5943</v>
      </c>
      <c r="J3106"/>
      <c r="K3106"/>
      <c r="L3106"/>
    </row>
    <row r="3107" spans="1:12">
      <c r="A3107" s="95" t="s">
        <v>2088</v>
      </c>
      <c r="B3107" t="s">
        <v>5871</v>
      </c>
      <c r="C3107" s="87" t="s">
        <v>2510</v>
      </c>
      <c r="D3107" s="88"/>
      <c r="E3107" s="89">
        <v>65501047</v>
      </c>
      <c r="F3107"/>
      <c r="G3107" s="17" t="s">
        <v>3</v>
      </c>
      <c r="H3107" s="132">
        <v>46086</v>
      </c>
      <c r="I3107" s="127" t="s">
        <v>5944</v>
      </c>
      <c r="J3107"/>
      <c r="K3107"/>
      <c r="L3107"/>
    </row>
    <row r="3108" spans="1:12">
      <c r="A3108" s="95" t="s">
        <v>2088</v>
      </c>
      <c r="B3108" t="s">
        <v>5871</v>
      </c>
      <c r="C3108" s="87" t="s">
        <v>2511</v>
      </c>
      <c r="D3108" s="88"/>
      <c r="E3108" s="89">
        <v>68619758</v>
      </c>
      <c r="F3108"/>
      <c r="G3108" s="17" t="s">
        <v>9</v>
      </c>
      <c r="H3108" s="132">
        <v>46086</v>
      </c>
      <c r="I3108" s="127" t="s">
        <v>3366</v>
      </c>
      <c r="J3108"/>
      <c r="K3108"/>
      <c r="L3108"/>
    </row>
    <row r="3109" spans="1:12">
      <c r="A3109" s="95" t="s">
        <v>2088</v>
      </c>
      <c r="B3109" t="s">
        <v>5871</v>
      </c>
      <c r="C3109" s="87" t="s">
        <v>2512</v>
      </c>
      <c r="D3109" s="88"/>
      <c r="E3109" s="89">
        <v>67424952</v>
      </c>
      <c r="F3109"/>
      <c r="G3109" s="17" t="s">
        <v>1</v>
      </c>
      <c r="H3109" s="132">
        <v>46086</v>
      </c>
      <c r="I3109" s="127" t="s">
        <v>5945</v>
      </c>
      <c r="J3109"/>
      <c r="K3109"/>
      <c r="L3109"/>
    </row>
    <row r="3110" spans="1:12">
      <c r="A3110" s="95" t="s">
        <v>2088</v>
      </c>
      <c r="B3110" t="s">
        <v>5871</v>
      </c>
      <c r="C3110" s="87" t="s">
        <v>5946</v>
      </c>
      <c r="D3110" s="88"/>
      <c r="E3110" s="89">
        <v>67142461</v>
      </c>
      <c r="F3110"/>
      <c r="G3110" s="17" t="s">
        <v>1</v>
      </c>
      <c r="H3110" s="132">
        <v>46086</v>
      </c>
      <c r="I3110" s="127" t="s">
        <v>3484</v>
      </c>
      <c r="J3110"/>
      <c r="K3110"/>
      <c r="L3110"/>
    </row>
    <row r="3111" spans="1:12">
      <c r="A3111" s="95" t="s">
        <v>2088</v>
      </c>
      <c r="B3111" t="s">
        <v>5871</v>
      </c>
      <c r="C3111" s="87" t="s">
        <v>2514</v>
      </c>
      <c r="D3111" s="88"/>
      <c r="E3111" s="89">
        <v>64828797</v>
      </c>
      <c r="F3111"/>
      <c r="G3111" s="17" t="s">
        <v>9</v>
      </c>
      <c r="H3111" s="132">
        <v>46086</v>
      </c>
      <c r="I3111" s="127" t="s">
        <v>5947</v>
      </c>
      <c r="J3111"/>
      <c r="K3111"/>
      <c r="L3111"/>
    </row>
    <row r="3112" spans="1:12" ht="24">
      <c r="A3112" s="95" t="s">
        <v>2088</v>
      </c>
      <c r="B3112" t="s">
        <v>5871</v>
      </c>
      <c r="C3112" s="97" t="s">
        <v>2515</v>
      </c>
      <c r="D3112" s="88"/>
      <c r="E3112" s="89">
        <v>7090279</v>
      </c>
      <c r="F3112"/>
      <c r="G3112" s="17" t="s">
        <v>8</v>
      </c>
      <c r="H3112" s="132">
        <v>46086</v>
      </c>
      <c r="I3112" s="127" t="s">
        <v>4518</v>
      </c>
      <c r="J3112"/>
      <c r="K3112"/>
      <c r="L3112"/>
    </row>
    <row r="3113" spans="1:12">
      <c r="A3113" s="95" t="s">
        <v>2088</v>
      </c>
      <c r="B3113" t="s">
        <v>5871</v>
      </c>
      <c r="C3113" s="87" t="s">
        <v>2516</v>
      </c>
      <c r="D3113" s="88"/>
      <c r="E3113" s="89">
        <v>65911660</v>
      </c>
      <c r="F3113"/>
      <c r="G3113" s="17" t="s">
        <v>4</v>
      </c>
      <c r="H3113" s="132">
        <v>46086</v>
      </c>
      <c r="I3113" s="127" t="s">
        <v>3370</v>
      </c>
      <c r="J3113"/>
      <c r="K3113"/>
      <c r="L3113"/>
    </row>
    <row r="3114" spans="1:12">
      <c r="A3114" s="95" t="s">
        <v>2088</v>
      </c>
      <c r="B3114" t="s">
        <v>5948</v>
      </c>
      <c r="C3114" s="87" t="s">
        <v>2517</v>
      </c>
      <c r="D3114" s="88"/>
      <c r="E3114" s="89">
        <v>62848258</v>
      </c>
      <c r="F3114"/>
      <c r="G3114" s="17" t="s">
        <v>1</v>
      </c>
      <c r="H3114" s="132">
        <v>46086</v>
      </c>
      <c r="I3114" s="127" t="s">
        <v>4513</v>
      </c>
      <c r="J3114"/>
      <c r="K3114"/>
      <c r="L3114"/>
    </row>
    <row r="3115" spans="1:12">
      <c r="A3115" s="95" t="s">
        <v>2088</v>
      </c>
      <c r="B3115" t="s">
        <v>5949</v>
      </c>
      <c r="C3115" s="87" t="s">
        <v>2518</v>
      </c>
      <c r="D3115" s="88"/>
      <c r="E3115" s="89">
        <v>67452267</v>
      </c>
      <c r="F3115"/>
      <c r="G3115" s="17" t="s">
        <v>9</v>
      </c>
      <c r="H3115" s="132"/>
      <c r="J3115"/>
      <c r="K3115"/>
      <c r="L3115"/>
    </row>
    <row r="3116" spans="1:12">
      <c r="A3116" s="95" t="s">
        <v>2088</v>
      </c>
      <c r="B3116" t="s">
        <v>5949</v>
      </c>
      <c r="C3116" s="87" t="s">
        <v>2519</v>
      </c>
      <c r="D3116" s="88"/>
      <c r="E3116" s="89">
        <v>7759327</v>
      </c>
      <c r="F3116"/>
      <c r="G3116" s="17" t="s">
        <v>2</v>
      </c>
      <c r="H3116" s="132"/>
      <c r="J3116"/>
      <c r="K3116"/>
      <c r="L3116"/>
    </row>
    <row r="3117" spans="1:12">
      <c r="A3117" s="95" t="s">
        <v>2088</v>
      </c>
      <c r="B3117" t="s">
        <v>5949</v>
      </c>
      <c r="C3117" s="87" t="s">
        <v>2520</v>
      </c>
      <c r="D3117" s="88"/>
      <c r="E3117" s="89">
        <v>63573985</v>
      </c>
      <c r="F3117"/>
      <c r="G3117" s="17" t="s">
        <v>2</v>
      </c>
      <c r="H3117" s="132"/>
      <c r="J3117"/>
      <c r="K3117"/>
      <c r="L3117"/>
    </row>
    <row r="3118" spans="1:12">
      <c r="A3118" s="95" t="s">
        <v>2088</v>
      </c>
      <c r="B3118" t="s">
        <v>5949</v>
      </c>
      <c r="C3118" s="87" t="s">
        <v>2521</v>
      </c>
      <c r="D3118" s="88"/>
      <c r="E3118" s="89">
        <v>65595610</v>
      </c>
      <c r="F3118"/>
      <c r="G3118" s="17" t="s">
        <v>3</v>
      </c>
      <c r="H3118" s="132"/>
      <c r="J3118"/>
      <c r="K3118"/>
      <c r="L3118"/>
    </row>
    <row r="3119" spans="1:12" ht="30.75">
      <c r="A3119" s="95" t="s">
        <v>2088</v>
      </c>
      <c r="B3119" t="s">
        <v>5949</v>
      </c>
      <c r="C3119" s="87" t="s">
        <v>2522</v>
      </c>
      <c r="D3119" s="88"/>
      <c r="E3119" s="89">
        <v>67374728</v>
      </c>
      <c r="F3119" s="99" t="s">
        <v>5950</v>
      </c>
      <c r="G3119" s="17" t="s">
        <v>3</v>
      </c>
      <c r="H3119" s="132"/>
      <c r="J3119"/>
      <c r="K3119"/>
      <c r="L3119" s="106" t="s">
        <v>5951</v>
      </c>
    </row>
    <row r="3120" spans="1:12">
      <c r="A3120" s="95" t="s">
        <v>2088</v>
      </c>
      <c r="B3120" t="s">
        <v>5949</v>
      </c>
      <c r="C3120" s="87" t="s">
        <v>2523</v>
      </c>
      <c r="D3120" s="88"/>
      <c r="E3120" s="89">
        <v>61619391</v>
      </c>
      <c r="F3120"/>
      <c r="G3120" s="17" t="s">
        <v>6</v>
      </c>
      <c r="H3120" s="132"/>
      <c r="J3120"/>
      <c r="K3120"/>
      <c r="L3120"/>
    </row>
    <row r="3121" spans="1:12">
      <c r="A3121" s="95" t="s">
        <v>2088</v>
      </c>
      <c r="B3121" t="s">
        <v>5949</v>
      </c>
      <c r="C3121" s="87" t="s">
        <v>2524</v>
      </c>
      <c r="D3121" s="88"/>
      <c r="E3121" s="89">
        <v>68646651</v>
      </c>
      <c r="F3121"/>
      <c r="G3121" s="17" t="s">
        <v>6</v>
      </c>
      <c r="H3121" s="132"/>
      <c r="J3121"/>
      <c r="K3121"/>
      <c r="L3121"/>
    </row>
    <row r="3122" spans="1:12">
      <c r="A3122" s="95" t="s">
        <v>2088</v>
      </c>
      <c r="B3122" t="s">
        <v>5949</v>
      </c>
      <c r="C3122" s="87" t="s">
        <v>2525</v>
      </c>
      <c r="D3122" s="88"/>
      <c r="E3122" s="89">
        <v>62204564</v>
      </c>
      <c r="F3122"/>
      <c r="G3122" s="17" t="s">
        <v>2</v>
      </c>
      <c r="H3122" s="132"/>
      <c r="J3122"/>
      <c r="K3122"/>
      <c r="L3122"/>
    </row>
    <row r="3123" spans="1:12" ht="30.75">
      <c r="A3123" s="95" t="s">
        <v>2088</v>
      </c>
      <c r="B3123" t="s">
        <v>5949</v>
      </c>
      <c r="C3123" s="87" t="s">
        <v>2526</v>
      </c>
      <c r="D3123" s="88"/>
      <c r="E3123" s="89">
        <v>65747366</v>
      </c>
      <c r="F3123"/>
      <c r="G3123" s="17" t="s">
        <v>8</v>
      </c>
      <c r="H3123" s="132"/>
      <c r="J3123"/>
      <c r="K3123"/>
      <c r="L3123" s="106" t="s">
        <v>5952</v>
      </c>
    </row>
    <row r="3124" spans="1:12">
      <c r="A3124" s="95" t="s">
        <v>2088</v>
      </c>
      <c r="B3124" t="s">
        <v>5949</v>
      </c>
      <c r="C3124" s="87" t="s">
        <v>2527</v>
      </c>
      <c r="D3124" s="88"/>
      <c r="E3124" s="89">
        <v>67261573</v>
      </c>
      <c r="F3124"/>
      <c r="G3124" s="17" t="s">
        <v>6</v>
      </c>
      <c r="H3124" s="132"/>
      <c r="J3124"/>
      <c r="K3124"/>
      <c r="L3124"/>
    </row>
    <row r="3125" spans="1:12">
      <c r="A3125" s="95" t="s">
        <v>2088</v>
      </c>
      <c r="B3125" t="s">
        <v>5949</v>
      </c>
      <c r="C3125" s="87" t="s">
        <v>2528</v>
      </c>
      <c r="D3125" s="88" t="s">
        <v>5953</v>
      </c>
      <c r="E3125" s="89">
        <v>67602911</v>
      </c>
      <c r="F3125" s="99" t="s">
        <v>5954</v>
      </c>
      <c r="G3125" s="17" t="s">
        <v>1</v>
      </c>
      <c r="H3125" s="132"/>
      <c r="J3125"/>
      <c r="K3125"/>
      <c r="L3125"/>
    </row>
    <row r="3126" spans="1:12">
      <c r="A3126" s="95" t="s">
        <v>2088</v>
      </c>
      <c r="B3126" t="s">
        <v>5949</v>
      </c>
      <c r="C3126" s="87" t="s">
        <v>2529</v>
      </c>
      <c r="D3126" s="88"/>
      <c r="E3126" s="89">
        <v>68456947</v>
      </c>
      <c r="F3126"/>
      <c r="G3126" s="17" t="s">
        <v>6</v>
      </c>
      <c r="H3126" s="132"/>
      <c r="J3126"/>
      <c r="K3126"/>
      <c r="L3126"/>
    </row>
    <row r="3127" spans="1:12">
      <c r="A3127" s="95" t="s">
        <v>2088</v>
      </c>
      <c r="B3127" t="s">
        <v>5949</v>
      </c>
      <c r="C3127" s="87" t="s">
        <v>2530</v>
      </c>
      <c r="D3127" s="88"/>
      <c r="E3127" s="89">
        <v>66987920</v>
      </c>
      <c r="F3127"/>
      <c r="G3127" s="17" t="s">
        <v>6</v>
      </c>
      <c r="H3127" s="132"/>
      <c r="J3127"/>
      <c r="K3127"/>
      <c r="L3127"/>
    </row>
    <row r="3128" spans="1:12">
      <c r="A3128" s="95" t="s">
        <v>2088</v>
      </c>
      <c r="B3128" t="s">
        <v>5949</v>
      </c>
      <c r="C3128" s="87" t="s">
        <v>2531</v>
      </c>
      <c r="D3128" s="88"/>
      <c r="E3128" s="89">
        <v>64980564</v>
      </c>
      <c r="F3128"/>
      <c r="G3128" s="17" t="s">
        <v>2</v>
      </c>
      <c r="H3128" s="132"/>
      <c r="J3128"/>
      <c r="K3128"/>
      <c r="L3128"/>
    </row>
    <row r="3129" spans="1:12">
      <c r="A3129" s="95" t="s">
        <v>2088</v>
      </c>
      <c r="B3129" t="s">
        <v>5949</v>
      </c>
      <c r="C3129" s="87" t="s">
        <v>2532</v>
      </c>
      <c r="D3129" s="88"/>
      <c r="E3129" s="89">
        <v>63563075</v>
      </c>
      <c r="F3129"/>
      <c r="G3129" s="17" t="s">
        <v>6</v>
      </c>
      <c r="H3129" s="132"/>
      <c r="J3129"/>
      <c r="K3129"/>
      <c r="L3129"/>
    </row>
    <row r="3130" spans="1:12">
      <c r="A3130" s="95" t="s">
        <v>2088</v>
      </c>
      <c r="B3130" t="s">
        <v>5949</v>
      </c>
      <c r="C3130" s="87" t="s">
        <v>2533</v>
      </c>
      <c r="D3130" s="88"/>
      <c r="E3130" s="89">
        <v>66483219</v>
      </c>
      <c r="F3130"/>
      <c r="G3130" s="17" t="s">
        <v>6</v>
      </c>
      <c r="H3130" s="132"/>
      <c r="J3130"/>
      <c r="K3130"/>
      <c r="L3130"/>
    </row>
    <row r="3131" spans="1:12" ht="30.75">
      <c r="A3131" s="95" t="s">
        <v>2088</v>
      </c>
      <c r="B3131" t="s">
        <v>5949</v>
      </c>
      <c r="C3131" s="87" t="s">
        <v>2534</v>
      </c>
      <c r="D3131" s="88" t="s">
        <v>5955</v>
      </c>
      <c r="E3131" s="89">
        <v>69592410</v>
      </c>
      <c r="F3131" t="s">
        <v>5956</v>
      </c>
      <c r="G3131" s="17" t="s">
        <v>3</v>
      </c>
      <c r="H3131" s="132"/>
      <c r="J3131"/>
      <c r="K3131"/>
      <c r="L3131" s="106" t="s">
        <v>5957</v>
      </c>
    </row>
    <row r="3132" spans="1:12">
      <c r="A3132" s="94" t="s">
        <v>2088</v>
      </c>
      <c r="B3132" t="s">
        <v>5949</v>
      </c>
      <c r="C3132" s="92"/>
      <c r="D3132" s="17" t="s">
        <v>5958</v>
      </c>
      <c r="E3132" s="93" t="s">
        <v>5959</v>
      </c>
      <c r="F3132"/>
      <c r="G3132" s="17" t="s">
        <v>2</v>
      </c>
      <c r="H3132" s="132"/>
      <c r="J3132"/>
      <c r="K3132"/>
      <c r="L3132"/>
    </row>
    <row r="3133" spans="1:12" ht="30.75">
      <c r="A3133" s="94" t="s">
        <v>2088</v>
      </c>
      <c r="B3133" t="s">
        <v>5949</v>
      </c>
      <c r="C3133" s="92"/>
      <c r="D3133" s="17" t="s">
        <v>5960</v>
      </c>
      <c r="E3133" s="93" t="s">
        <v>5961</v>
      </c>
      <c r="F3133" s="99" t="s">
        <v>5962</v>
      </c>
      <c r="G3133" s="17" t="s">
        <v>1</v>
      </c>
      <c r="H3133" s="132"/>
      <c r="J3133"/>
      <c r="K3133"/>
      <c r="L3133" s="106" t="s">
        <v>5963</v>
      </c>
    </row>
    <row r="3134" spans="1:12">
      <c r="A3134" s="94" t="s">
        <v>2088</v>
      </c>
      <c r="B3134" t="s">
        <v>5949</v>
      </c>
      <c r="C3134" s="92"/>
      <c r="D3134" s="17" t="s">
        <v>5964</v>
      </c>
      <c r="E3134" s="93" t="s">
        <v>5965</v>
      </c>
      <c r="F3134"/>
      <c r="G3134" s="17" t="s">
        <v>6</v>
      </c>
      <c r="H3134" s="132"/>
      <c r="J3134"/>
      <c r="K3134"/>
      <c r="L3134"/>
    </row>
    <row r="3135" spans="1:12">
      <c r="A3135" s="94" t="s">
        <v>2088</v>
      </c>
      <c r="B3135" t="s">
        <v>5949</v>
      </c>
      <c r="C3135" s="92"/>
      <c r="D3135" s="17" t="s">
        <v>5966</v>
      </c>
      <c r="E3135" s="93" t="s">
        <v>5967</v>
      </c>
      <c r="F3135"/>
      <c r="G3135" s="17" t="s">
        <v>2</v>
      </c>
      <c r="H3135" s="132"/>
      <c r="J3135"/>
      <c r="K3135"/>
      <c r="L3135"/>
    </row>
    <row r="3136" spans="1:12">
      <c r="A3136" s="94" t="s">
        <v>2088</v>
      </c>
      <c r="B3136" t="s">
        <v>5949</v>
      </c>
      <c r="C3136" s="92"/>
      <c r="D3136" s="17" t="s">
        <v>5968</v>
      </c>
      <c r="E3136" s="93" t="s">
        <v>5969</v>
      </c>
      <c r="F3136" s="99" t="s">
        <v>5970</v>
      </c>
      <c r="G3136" s="17" t="s">
        <v>1</v>
      </c>
      <c r="H3136" s="132"/>
      <c r="J3136"/>
      <c r="K3136"/>
      <c r="L3136" t="s">
        <v>5971</v>
      </c>
    </row>
    <row r="3137" spans="1:12">
      <c r="A3137" s="94" t="s">
        <v>2088</v>
      </c>
      <c r="B3137" t="s">
        <v>5949</v>
      </c>
      <c r="C3137" s="92"/>
      <c r="D3137" s="17" t="s">
        <v>5972</v>
      </c>
      <c r="E3137" s="93" t="s">
        <v>5973</v>
      </c>
      <c r="F3137"/>
      <c r="G3137" s="17" t="s">
        <v>3</v>
      </c>
      <c r="H3137" s="132"/>
      <c r="J3137"/>
      <c r="K3137"/>
      <c r="L3137" t="s">
        <v>5974</v>
      </c>
    </row>
    <row r="3138" spans="1:12">
      <c r="A3138" s="94" t="s">
        <v>2088</v>
      </c>
      <c r="B3138" t="s">
        <v>5949</v>
      </c>
      <c r="C3138" s="92" t="s">
        <v>5975</v>
      </c>
      <c r="D3138" s="17" t="s">
        <v>5976</v>
      </c>
      <c r="E3138" s="93" t="s">
        <v>5977</v>
      </c>
      <c r="F3138" s="99" t="s">
        <v>5978</v>
      </c>
      <c r="G3138" s="17" t="s">
        <v>1</v>
      </c>
      <c r="H3138" s="132"/>
      <c r="J3138"/>
      <c r="K3138"/>
      <c r="L3138" t="s">
        <v>5979</v>
      </c>
    </row>
    <row r="3139" spans="1:12">
      <c r="A3139" s="94" t="s">
        <v>2088</v>
      </c>
      <c r="B3139" t="s">
        <v>5949</v>
      </c>
      <c r="C3139" s="92"/>
      <c r="D3139" s="17" t="s">
        <v>5980</v>
      </c>
      <c r="E3139" s="93" t="s">
        <v>5981</v>
      </c>
      <c r="F3139"/>
      <c r="G3139" s="17" t="s">
        <v>6</v>
      </c>
      <c r="H3139" s="132"/>
      <c r="J3139"/>
      <c r="K3139"/>
      <c r="L3139"/>
    </row>
    <row r="3140" spans="1:12">
      <c r="A3140" s="94" t="s">
        <v>2088</v>
      </c>
      <c r="B3140" t="s">
        <v>5949</v>
      </c>
      <c r="C3140" s="92"/>
      <c r="D3140" s="17" t="s">
        <v>5982</v>
      </c>
      <c r="E3140" s="93" t="s">
        <v>5586</v>
      </c>
      <c r="F3140" s="99" t="s">
        <v>5983</v>
      </c>
      <c r="G3140" s="17" t="s">
        <v>8</v>
      </c>
      <c r="H3140" s="132"/>
      <c r="J3140"/>
      <c r="K3140"/>
      <c r="L3140" t="s">
        <v>5984</v>
      </c>
    </row>
    <row r="3141" spans="1:12">
      <c r="A3141" s="94" t="s">
        <v>2088</v>
      </c>
      <c r="B3141" t="s">
        <v>5949</v>
      </c>
      <c r="C3141" s="92"/>
      <c r="D3141" s="17" t="s">
        <v>5985</v>
      </c>
      <c r="E3141" s="93" t="s">
        <v>11</v>
      </c>
      <c r="F3141"/>
      <c r="H3141" s="132"/>
      <c r="J3141"/>
      <c r="K3141"/>
      <c r="L3141"/>
    </row>
    <row r="3142" spans="1:12">
      <c r="A3142" s="94" t="s">
        <v>2088</v>
      </c>
      <c r="B3142" t="s">
        <v>5949</v>
      </c>
      <c r="C3142" s="92"/>
      <c r="D3142" s="17" t="s">
        <v>5986</v>
      </c>
      <c r="E3142" s="93" t="s">
        <v>5987</v>
      </c>
      <c r="F3142"/>
      <c r="G3142" s="17" t="s">
        <v>1</v>
      </c>
      <c r="H3142" s="132"/>
      <c r="J3142"/>
      <c r="K3142"/>
      <c r="L3142" t="s">
        <v>5988</v>
      </c>
    </row>
    <row r="3143" spans="1:12">
      <c r="A3143" s="94" t="s">
        <v>2088</v>
      </c>
      <c r="B3143" t="s">
        <v>5949</v>
      </c>
      <c r="C3143" s="92"/>
      <c r="D3143" s="17" t="s">
        <v>5989</v>
      </c>
      <c r="E3143" s="93" t="s">
        <v>5990</v>
      </c>
      <c r="F3143"/>
      <c r="G3143" s="17" t="s">
        <v>6</v>
      </c>
      <c r="H3143" s="132"/>
      <c r="J3143"/>
      <c r="K3143"/>
      <c r="L3143"/>
    </row>
    <row r="3144" spans="1:12">
      <c r="A3144" s="94" t="s">
        <v>2088</v>
      </c>
      <c r="B3144" t="s">
        <v>5949</v>
      </c>
      <c r="C3144" s="92"/>
      <c r="D3144" s="17" t="s">
        <v>5991</v>
      </c>
      <c r="E3144" s="93" t="s">
        <v>5992</v>
      </c>
      <c r="F3144"/>
      <c r="G3144" s="17" t="s">
        <v>2</v>
      </c>
      <c r="H3144" s="132"/>
      <c r="J3144"/>
      <c r="K3144"/>
      <c r="L3144"/>
    </row>
    <row r="3145" spans="1:12">
      <c r="A3145" s="94" t="s">
        <v>2088</v>
      </c>
      <c r="B3145" t="s">
        <v>5949</v>
      </c>
      <c r="C3145" s="92"/>
      <c r="D3145" s="17" t="s">
        <v>5993</v>
      </c>
      <c r="E3145" s="93" t="s">
        <v>3917</v>
      </c>
      <c r="F3145"/>
      <c r="G3145" s="17" t="s">
        <v>8</v>
      </c>
      <c r="H3145" s="132"/>
      <c r="J3145"/>
      <c r="K3145"/>
      <c r="L3145" t="s">
        <v>5994</v>
      </c>
    </row>
    <row r="3146" spans="1:12">
      <c r="A3146" s="94" t="s">
        <v>2088</v>
      </c>
      <c r="B3146" t="s">
        <v>5949</v>
      </c>
      <c r="C3146" s="92" t="s">
        <v>5995</v>
      </c>
      <c r="D3146" s="17" t="s">
        <v>5996</v>
      </c>
      <c r="E3146" s="93" t="s">
        <v>5997</v>
      </c>
      <c r="F3146" s="99" t="s">
        <v>5998</v>
      </c>
      <c r="G3146" s="17" t="s">
        <v>1</v>
      </c>
      <c r="H3146" s="132"/>
      <c r="J3146"/>
      <c r="K3146"/>
      <c r="L3146" t="s">
        <v>5999</v>
      </c>
    </row>
    <row r="3147" spans="1:12">
      <c r="A3147" s="94" t="s">
        <v>2088</v>
      </c>
      <c r="B3147" t="s">
        <v>5949</v>
      </c>
      <c r="C3147" s="92"/>
      <c r="D3147" s="17" t="s">
        <v>6000</v>
      </c>
      <c r="E3147" s="93" t="s">
        <v>6001</v>
      </c>
      <c r="F3147"/>
      <c r="G3147" s="17" t="s">
        <v>2</v>
      </c>
      <c r="H3147" s="132"/>
      <c r="J3147"/>
      <c r="K3147"/>
      <c r="L3147"/>
    </row>
    <row r="3148" spans="1:12" ht="30.75">
      <c r="A3148" s="94" t="s">
        <v>2088</v>
      </c>
      <c r="B3148" t="s">
        <v>5949</v>
      </c>
      <c r="C3148" s="92" t="s">
        <v>6002</v>
      </c>
      <c r="D3148" s="17" t="s">
        <v>6003</v>
      </c>
      <c r="E3148" s="93" t="s">
        <v>6004</v>
      </c>
      <c r="F3148" s="99" t="s">
        <v>6005</v>
      </c>
      <c r="G3148" s="17" t="s">
        <v>1</v>
      </c>
      <c r="H3148" s="132"/>
      <c r="J3148"/>
      <c r="K3148"/>
      <c r="L3148" s="106" t="s">
        <v>6006</v>
      </c>
    </row>
    <row r="3149" spans="1:12">
      <c r="A3149" s="94" t="s">
        <v>2088</v>
      </c>
      <c r="B3149" t="s">
        <v>5949</v>
      </c>
      <c r="C3149" s="92"/>
      <c r="D3149" s="17" t="s">
        <v>6007</v>
      </c>
      <c r="E3149" s="93" t="s">
        <v>6008</v>
      </c>
      <c r="F3149"/>
      <c r="G3149" s="17" t="s">
        <v>5</v>
      </c>
      <c r="H3149" s="132"/>
      <c r="J3149"/>
      <c r="K3149"/>
      <c r="L3149"/>
    </row>
    <row r="3150" spans="1:12">
      <c r="A3150" s="94" t="s">
        <v>2088</v>
      </c>
      <c r="B3150" t="s">
        <v>5949</v>
      </c>
      <c r="C3150" s="92"/>
      <c r="D3150" s="17" t="s">
        <v>6009</v>
      </c>
      <c r="E3150" s="93" t="s">
        <v>6010</v>
      </c>
      <c r="F3150"/>
      <c r="G3150" s="17" t="s">
        <v>2</v>
      </c>
      <c r="H3150" s="132"/>
      <c r="J3150"/>
      <c r="K3150"/>
      <c r="L3150"/>
    </row>
    <row r="3151" spans="1:12">
      <c r="A3151" s="94" t="s">
        <v>2088</v>
      </c>
      <c r="B3151" t="s">
        <v>5949</v>
      </c>
      <c r="C3151" s="92"/>
      <c r="D3151" s="17" t="s">
        <v>6011</v>
      </c>
      <c r="E3151" s="93" t="s">
        <v>6012</v>
      </c>
      <c r="F3151" s="99" t="s">
        <v>6013</v>
      </c>
      <c r="G3151" s="17" t="s">
        <v>8</v>
      </c>
      <c r="H3151" s="132"/>
      <c r="J3151"/>
      <c r="K3151"/>
      <c r="L3151" t="s">
        <v>6014</v>
      </c>
    </row>
    <row r="3152" spans="1:12">
      <c r="A3152" s="94" t="s">
        <v>2088</v>
      </c>
      <c r="B3152" t="s">
        <v>5949</v>
      </c>
      <c r="C3152" s="92"/>
      <c r="D3152" s="17" t="s">
        <v>6015</v>
      </c>
      <c r="E3152" s="93" t="s">
        <v>6016</v>
      </c>
      <c r="F3152"/>
      <c r="G3152" s="17" t="s">
        <v>6</v>
      </c>
      <c r="H3152" s="132"/>
      <c r="J3152"/>
      <c r="K3152"/>
      <c r="L3152"/>
    </row>
    <row r="3153" spans="1:12">
      <c r="A3153" s="94" t="s">
        <v>2088</v>
      </c>
      <c r="B3153" t="s">
        <v>5949</v>
      </c>
      <c r="C3153" s="92"/>
      <c r="D3153" s="17" t="s">
        <v>4886</v>
      </c>
      <c r="E3153" s="93" t="s">
        <v>4887</v>
      </c>
      <c r="F3153"/>
      <c r="G3153" s="17" t="s">
        <v>6</v>
      </c>
      <c r="H3153" s="132"/>
      <c r="J3153"/>
      <c r="K3153"/>
      <c r="L3153"/>
    </row>
    <row r="3154" spans="1:12">
      <c r="A3154" s="94" t="s">
        <v>2088</v>
      </c>
      <c r="B3154" t="s">
        <v>5949</v>
      </c>
      <c r="C3154" s="92"/>
      <c r="D3154" s="17" t="s">
        <v>6017</v>
      </c>
      <c r="E3154" s="93" t="s">
        <v>6018</v>
      </c>
      <c r="F3154"/>
      <c r="G3154" s="17" t="s">
        <v>6</v>
      </c>
      <c r="H3154" s="132"/>
      <c r="J3154"/>
      <c r="K3154"/>
      <c r="L3154"/>
    </row>
    <row r="3155" spans="1:12">
      <c r="A3155" s="94" t="s">
        <v>2088</v>
      </c>
      <c r="B3155" t="s">
        <v>5949</v>
      </c>
      <c r="C3155" s="92"/>
      <c r="D3155" s="17" t="s">
        <v>6019</v>
      </c>
      <c r="E3155" s="93" t="s">
        <v>6020</v>
      </c>
      <c r="F3155"/>
      <c r="G3155" s="17" t="s">
        <v>6</v>
      </c>
      <c r="H3155" s="132"/>
      <c r="J3155"/>
      <c r="K3155"/>
      <c r="L3155"/>
    </row>
    <row r="3156" spans="1:12">
      <c r="A3156" s="94" t="s">
        <v>2088</v>
      </c>
      <c r="B3156" t="s">
        <v>5949</v>
      </c>
      <c r="C3156" s="92"/>
      <c r="D3156" s="17" t="s">
        <v>3695</v>
      </c>
      <c r="E3156" s="93" t="s">
        <v>6021</v>
      </c>
      <c r="F3156"/>
      <c r="G3156" s="17" t="s">
        <v>2</v>
      </c>
      <c r="H3156" s="132"/>
      <c r="J3156"/>
      <c r="K3156"/>
      <c r="L3156"/>
    </row>
    <row r="3157" spans="1:12">
      <c r="A3157" s="94" t="s">
        <v>2088</v>
      </c>
      <c r="B3157" t="s">
        <v>5949</v>
      </c>
      <c r="C3157" s="92"/>
      <c r="D3157" s="17" t="s">
        <v>6022</v>
      </c>
      <c r="E3157" s="93" t="s">
        <v>6023</v>
      </c>
      <c r="F3157" s="99" t="s">
        <v>6024</v>
      </c>
      <c r="G3157" s="17" t="s">
        <v>1</v>
      </c>
      <c r="H3157" s="132"/>
      <c r="J3157"/>
      <c r="K3157"/>
      <c r="L3157" t="s">
        <v>6025</v>
      </c>
    </row>
    <row r="3158" spans="1:12">
      <c r="A3158" s="94" t="s">
        <v>2088</v>
      </c>
      <c r="B3158" t="s">
        <v>5949</v>
      </c>
      <c r="C3158" s="92"/>
      <c r="D3158" s="17" t="s">
        <v>6026</v>
      </c>
      <c r="E3158" s="93" t="s">
        <v>6027</v>
      </c>
      <c r="F3158"/>
      <c r="G3158" s="17" t="s">
        <v>6</v>
      </c>
      <c r="H3158" s="132"/>
      <c r="J3158"/>
      <c r="K3158"/>
      <c r="L3158"/>
    </row>
    <row r="3159" spans="1:12" ht="30.75">
      <c r="A3159" s="94" t="s">
        <v>2088</v>
      </c>
      <c r="B3159" t="s">
        <v>5949</v>
      </c>
      <c r="C3159" s="92" t="s">
        <v>6028</v>
      </c>
      <c r="D3159" s="17" t="s">
        <v>6029</v>
      </c>
      <c r="E3159" s="93" t="s">
        <v>6030</v>
      </c>
      <c r="F3159" s="99" t="s">
        <v>6031</v>
      </c>
      <c r="G3159" s="17" t="s">
        <v>1</v>
      </c>
      <c r="H3159" s="132"/>
      <c r="J3159"/>
      <c r="K3159"/>
      <c r="L3159" s="106" t="s">
        <v>6032</v>
      </c>
    </row>
    <row r="3160" spans="1:12">
      <c r="A3160" s="94" t="s">
        <v>2088</v>
      </c>
      <c r="B3160" t="s">
        <v>5949</v>
      </c>
      <c r="C3160" s="92"/>
      <c r="D3160" s="17" t="s">
        <v>6033</v>
      </c>
      <c r="E3160" s="93" t="s">
        <v>6034</v>
      </c>
      <c r="F3160"/>
      <c r="G3160" s="17" t="s">
        <v>6</v>
      </c>
      <c r="H3160" s="132"/>
      <c r="J3160"/>
      <c r="K3160"/>
      <c r="L3160"/>
    </row>
    <row r="3161" spans="1:12">
      <c r="A3161" s="94" t="s">
        <v>2088</v>
      </c>
      <c r="B3161" t="s">
        <v>5949</v>
      </c>
      <c r="C3161" s="92"/>
      <c r="D3161" s="17" t="s">
        <v>6035</v>
      </c>
      <c r="E3161" s="93" t="s">
        <v>6036</v>
      </c>
      <c r="F3161"/>
      <c r="G3161" s="17" t="s">
        <v>2</v>
      </c>
      <c r="H3161" s="132"/>
      <c r="J3161"/>
      <c r="K3161"/>
      <c r="L3161"/>
    </row>
    <row r="3162" spans="1:12">
      <c r="A3162" s="94" t="s">
        <v>2088</v>
      </c>
      <c r="B3162" t="s">
        <v>5949</v>
      </c>
      <c r="C3162" s="92"/>
      <c r="D3162" s="17" t="s">
        <v>6037</v>
      </c>
      <c r="E3162" s="93" t="s">
        <v>6038</v>
      </c>
      <c r="F3162"/>
      <c r="G3162" s="17" t="s">
        <v>2</v>
      </c>
      <c r="H3162" s="132"/>
      <c r="J3162"/>
      <c r="K3162"/>
      <c r="L3162"/>
    </row>
    <row r="3163" spans="1:12">
      <c r="A3163" s="94" t="s">
        <v>2088</v>
      </c>
      <c r="B3163" t="s">
        <v>5949</v>
      </c>
      <c r="C3163" s="92"/>
      <c r="D3163" s="17" t="s">
        <v>6039</v>
      </c>
      <c r="E3163" s="93" t="s">
        <v>6040</v>
      </c>
      <c r="F3163"/>
      <c r="G3163" s="17" t="s">
        <v>4</v>
      </c>
      <c r="H3163" s="132"/>
      <c r="J3163"/>
      <c r="K3163"/>
      <c r="L3163"/>
    </row>
    <row r="3164" spans="1:12">
      <c r="A3164" s="94" t="s">
        <v>2088</v>
      </c>
      <c r="B3164" t="s">
        <v>5949</v>
      </c>
      <c r="C3164" s="92" t="s">
        <v>6041</v>
      </c>
      <c r="D3164" s="17" t="s">
        <v>6042</v>
      </c>
      <c r="E3164" s="93" t="s">
        <v>6043</v>
      </c>
      <c r="F3164" s="99" t="s">
        <v>6044</v>
      </c>
      <c r="G3164" s="17" t="s">
        <v>1</v>
      </c>
      <c r="H3164" s="132"/>
      <c r="J3164"/>
      <c r="K3164"/>
      <c r="L3164" t="s">
        <v>6045</v>
      </c>
    </row>
    <row r="3165" spans="1:12" ht="30.75">
      <c r="A3165" s="94" t="s">
        <v>2088</v>
      </c>
      <c r="B3165" t="s">
        <v>5949</v>
      </c>
      <c r="C3165" s="92" t="s">
        <v>6046</v>
      </c>
      <c r="D3165" s="17" t="s">
        <v>6047</v>
      </c>
      <c r="E3165" s="93" t="s">
        <v>6048</v>
      </c>
      <c r="F3165" s="99" t="s">
        <v>6049</v>
      </c>
      <c r="G3165" s="17" t="s">
        <v>1</v>
      </c>
      <c r="H3165" s="132"/>
      <c r="J3165"/>
      <c r="K3165"/>
      <c r="L3165" s="106" t="s">
        <v>6050</v>
      </c>
    </row>
    <row r="3166" spans="1:12" ht="30.75">
      <c r="A3166" s="94" t="s">
        <v>2088</v>
      </c>
      <c r="B3166" t="s">
        <v>5949</v>
      </c>
      <c r="C3166" s="92" t="s">
        <v>6051</v>
      </c>
      <c r="D3166" s="17" t="s">
        <v>6052</v>
      </c>
      <c r="E3166" s="93" t="s">
        <v>6053</v>
      </c>
      <c r="F3166" s="99" t="s">
        <v>6054</v>
      </c>
      <c r="G3166" s="17" t="s">
        <v>1</v>
      </c>
      <c r="H3166" s="132"/>
      <c r="J3166"/>
      <c r="K3166"/>
      <c r="L3166" s="106" t="s">
        <v>6055</v>
      </c>
    </row>
    <row r="3167" spans="1:12">
      <c r="A3167" s="94" t="s">
        <v>2088</v>
      </c>
      <c r="B3167" t="s">
        <v>5949</v>
      </c>
      <c r="C3167" s="92"/>
      <c r="D3167" s="17" t="s">
        <v>6056</v>
      </c>
      <c r="E3167" s="93" t="s">
        <v>6057</v>
      </c>
      <c r="F3167"/>
      <c r="G3167" s="17" t="s">
        <v>4</v>
      </c>
      <c r="H3167" s="132"/>
      <c r="J3167"/>
      <c r="K3167"/>
      <c r="L3167"/>
    </row>
    <row r="3168" spans="1:12" ht="45.75">
      <c r="A3168" s="94" t="s">
        <v>2088</v>
      </c>
      <c r="B3168" t="s">
        <v>5949</v>
      </c>
      <c r="C3168" s="92" t="s">
        <v>6058</v>
      </c>
      <c r="D3168" s="17" t="s">
        <v>6059</v>
      </c>
      <c r="E3168" s="93" t="s">
        <v>6060</v>
      </c>
      <c r="F3168"/>
      <c r="G3168" s="17" t="s">
        <v>1</v>
      </c>
      <c r="H3168" s="132"/>
      <c r="J3168"/>
      <c r="K3168"/>
      <c r="L3168" s="106" t="s">
        <v>6061</v>
      </c>
    </row>
    <row r="3169" spans="1:12">
      <c r="A3169" s="94" t="s">
        <v>2088</v>
      </c>
      <c r="B3169" t="s">
        <v>5949</v>
      </c>
      <c r="C3169" s="92"/>
      <c r="D3169" s="17" t="s">
        <v>6062</v>
      </c>
      <c r="E3169" s="93" t="s">
        <v>6063</v>
      </c>
      <c r="F3169"/>
      <c r="G3169" s="17" t="s">
        <v>2</v>
      </c>
      <c r="H3169" s="132"/>
      <c r="J3169"/>
      <c r="K3169"/>
      <c r="L3169"/>
    </row>
    <row r="3170" spans="1:12">
      <c r="A3170" s="94" t="s">
        <v>2088</v>
      </c>
      <c r="B3170" t="s">
        <v>5949</v>
      </c>
      <c r="C3170" s="92" t="s">
        <v>6064</v>
      </c>
      <c r="D3170" s="17" t="s">
        <v>6065</v>
      </c>
      <c r="E3170" s="93">
        <v>63930301</v>
      </c>
      <c r="F3170" s="99" t="s">
        <v>6066</v>
      </c>
      <c r="G3170" s="17" t="s">
        <v>1</v>
      </c>
      <c r="H3170" s="132"/>
      <c r="J3170"/>
      <c r="K3170"/>
      <c r="L3170"/>
    </row>
    <row r="3171" spans="1:12">
      <c r="A3171" s="94" t="s">
        <v>2088</v>
      </c>
      <c r="B3171" t="s">
        <v>5949</v>
      </c>
      <c r="C3171" s="92"/>
      <c r="D3171" s="17" t="s">
        <v>6067</v>
      </c>
      <c r="E3171" s="93" t="s">
        <v>6068</v>
      </c>
      <c r="F3171"/>
      <c r="G3171" s="17" t="s">
        <v>9</v>
      </c>
      <c r="H3171" s="132"/>
      <c r="J3171"/>
      <c r="K3171"/>
      <c r="L3171"/>
    </row>
    <row r="3172" spans="1:12">
      <c r="A3172" s="94" t="s">
        <v>2088</v>
      </c>
      <c r="B3172" t="s">
        <v>5949</v>
      </c>
      <c r="C3172" s="92"/>
      <c r="D3172" s="17" t="s">
        <v>6069</v>
      </c>
      <c r="E3172" s="93" t="s">
        <v>6070</v>
      </c>
      <c r="F3172"/>
      <c r="G3172" s="17" t="s">
        <v>6</v>
      </c>
      <c r="H3172" s="132"/>
      <c r="J3172"/>
      <c r="K3172"/>
      <c r="L3172"/>
    </row>
    <row r="3173" spans="1:12">
      <c r="A3173" s="94" t="s">
        <v>2088</v>
      </c>
      <c r="B3173" t="s">
        <v>5949</v>
      </c>
      <c r="C3173" s="92" t="s">
        <v>6071</v>
      </c>
      <c r="D3173" s="17" t="s">
        <v>6072</v>
      </c>
      <c r="E3173" s="93" t="s">
        <v>6073</v>
      </c>
      <c r="F3173" s="99" t="s">
        <v>6074</v>
      </c>
      <c r="G3173" s="17" t="s">
        <v>1</v>
      </c>
      <c r="H3173" s="132"/>
      <c r="J3173"/>
      <c r="K3173"/>
      <c r="L3173"/>
    </row>
    <row r="3174" spans="1:12">
      <c r="A3174" s="94" t="s">
        <v>2088</v>
      </c>
      <c r="B3174" t="s">
        <v>5949</v>
      </c>
      <c r="C3174" s="92" t="s">
        <v>6075</v>
      </c>
      <c r="D3174" s="17" t="s">
        <v>6076</v>
      </c>
      <c r="E3174" s="93" t="s">
        <v>6077</v>
      </c>
      <c r="F3174" s="99" t="s">
        <v>6078</v>
      </c>
      <c r="G3174" s="17" t="s">
        <v>1</v>
      </c>
      <c r="H3174" s="132"/>
      <c r="J3174"/>
      <c r="K3174"/>
      <c r="L3174" t="s">
        <v>6079</v>
      </c>
    </row>
    <row r="3175" spans="1:12">
      <c r="A3175" s="94" t="s">
        <v>2088</v>
      </c>
      <c r="B3175" t="s">
        <v>5949</v>
      </c>
      <c r="C3175" s="92"/>
      <c r="D3175" s="17" t="s">
        <v>6080</v>
      </c>
      <c r="E3175" s="93" t="s">
        <v>6081</v>
      </c>
      <c r="F3175"/>
      <c r="G3175" s="17" t="s">
        <v>6</v>
      </c>
      <c r="H3175" s="132"/>
      <c r="J3175"/>
      <c r="K3175"/>
      <c r="L3175"/>
    </row>
    <row r="3176" spans="1:12">
      <c r="A3176" s="94" t="s">
        <v>2088</v>
      </c>
      <c r="B3176" t="s">
        <v>5949</v>
      </c>
      <c r="C3176" s="92"/>
      <c r="D3176" s="17" t="s">
        <v>6082</v>
      </c>
      <c r="E3176" s="93" t="s">
        <v>6083</v>
      </c>
      <c r="F3176"/>
      <c r="G3176" s="17" t="s">
        <v>6</v>
      </c>
      <c r="H3176" s="132"/>
      <c r="J3176"/>
      <c r="K3176"/>
      <c r="L3176"/>
    </row>
    <row r="3177" spans="1:12">
      <c r="A3177" s="94" t="s">
        <v>2088</v>
      </c>
      <c r="B3177" t="s">
        <v>5949</v>
      </c>
      <c r="C3177" s="92"/>
      <c r="D3177" s="17" t="s">
        <v>6084</v>
      </c>
      <c r="E3177" s="93" t="s">
        <v>6085</v>
      </c>
      <c r="F3177"/>
      <c r="G3177" s="17" t="s">
        <v>2</v>
      </c>
      <c r="H3177" s="132"/>
      <c r="J3177"/>
      <c r="K3177"/>
      <c r="L3177"/>
    </row>
    <row r="3178" spans="1:12">
      <c r="A3178" s="94" t="s">
        <v>2088</v>
      </c>
      <c r="B3178" t="s">
        <v>5949</v>
      </c>
      <c r="C3178" s="92"/>
      <c r="D3178" s="17" t="s">
        <v>6086</v>
      </c>
      <c r="E3178" s="93" t="s">
        <v>6087</v>
      </c>
      <c r="F3178"/>
      <c r="G3178" s="17" t="s">
        <v>6</v>
      </c>
      <c r="H3178" s="132"/>
      <c r="J3178"/>
      <c r="K3178"/>
      <c r="L3178"/>
    </row>
    <row r="3179" spans="1:12">
      <c r="A3179" s="94" t="s">
        <v>2088</v>
      </c>
      <c r="B3179" t="s">
        <v>5949</v>
      </c>
      <c r="C3179" s="92" t="s">
        <v>6088</v>
      </c>
      <c r="D3179" s="17" t="s">
        <v>6089</v>
      </c>
      <c r="E3179" s="93" t="s">
        <v>6090</v>
      </c>
      <c r="F3179"/>
      <c r="G3179" s="17" t="s">
        <v>8</v>
      </c>
      <c r="H3179" s="132"/>
      <c r="J3179"/>
      <c r="K3179"/>
      <c r="L3179" t="s">
        <v>6091</v>
      </c>
    </row>
    <row r="3180" spans="1:12">
      <c r="A3180" s="94" t="s">
        <v>2088</v>
      </c>
      <c r="B3180" t="s">
        <v>5949</v>
      </c>
      <c r="C3180" s="92"/>
      <c r="D3180" s="17" t="s">
        <v>6092</v>
      </c>
      <c r="E3180" s="93" t="s">
        <v>6093</v>
      </c>
      <c r="F3180"/>
      <c r="G3180" s="17" t="s">
        <v>6</v>
      </c>
      <c r="H3180" s="132"/>
      <c r="J3180"/>
      <c r="K3180"/>
      <c r="L3180"/>
    </row>
    <row r="3181" spans="1:12">
      <c r="A3181" s="94" t="s">
        <v>2088</v>
      </c>
      <c r="B3181" t="s">
        <v>5949</v>
      </c>
      <c r="C3181" s="92"/>
      <c r="D3181" s="17" t="s">
        <v>6094</v>
      </c>
      <c r="E3181" s="93" t="s">
        <v>6095</v>
      </c>
      <c r="F3181"/>
      <c r="G3181" s="17" t="s">
        <v>6</v>
      </c>
      <c r="H3181" s="132"/>
      <c r="J3181"/>
      <c r="K3181"/>
      <c r="L3181"/>
    </row>
    <row r="3182" spans="1:12">
      <c r="A3182" s="95" t="s">
        <v>2991</v>
      </c>
      <c r="B3182" t="s">
        <v>6096</v>
      </c>
      <c r="C3182" s="92" t="s">
        <v>6097</v>
      </c>
      <c r="D3182" s="17" t="s">
        <v>6098</v>
      </c>
      <c r="E3182" s="93" t="s">
        <v>6099</v>
      </c>
      <c r="F3182"/>
      <c r="G3182" s="17" t="s">
        <v>1</v>
      </c>
      <c r="H3182" s="132">
        <v>46086</v>
      </c>
      <c r="I3182" s="127">
        <v>0.44722222222222224</v>
      </c>
      <c r="J3182"/>
      <c r="K3182"/>
      <c r="L3182"/>
    </row>
    <row r="3183" spans="1:12">
      <c r="A3183" s="95" t="s">
        <v>2991</v>
      </c>
      <c r="B3183" s="98" t="s">
        <v>6096</v>
      </c>
      <c r="C3183" s="92"/>
      <c r="D3183" s="17" t="s">
        <v>6100</v>
      </c>
      <c r="E3183" s="93" t="s">
        <v>6101</v>
      </c>
      <c r="F3183"/>
      <c r="G3183" s="17" t="s">
        <v>3</v>
      </c>
      <c r="H3183" s="132">
        <v>46086</v>
      </c>
      <c r="I3183" s="127">
        <v>0.44722222222222224</v>
      </c>
      <c r="J3183" s="22">
        <v>46087</v>
      </c>
      <c r="K3183" s="109">
        <v>0.36249999999999999</v>
      </c>
      <c r="L3183" t="s">
        <v>6102</v>
      </c>
    </row>
    <row r="3184" spans="1:12">
      <c r="A3184" s="95" t="s">
        <v>2991</v>
      </c>
      <c r="B3184" s="98" t="s">
        <v>6096</v>
      </c>
      <c r="C3184" s="92" t="s">
        <v>6103</v>
      </c>
      <c r="D3184" s="17" t="s">
        <v>6104</v>
      </c>
      <c r="E3184" s="93" t="s">
        <v>6105</v>
      </c>
      <c r="F3184"/>
      <c r="G3184" s="17" t="s">
        <v>1</v>
      </c>
      <c r="H3184" s="132">
        <v>46086</v>
      </c>
      <c r="I3184" s="127">
        <v>0.44861111111111113</v>
      </c>
      <c r="J3184"/>
      <c r="K3184"/>
      <c r="L3184"/>
    </row>
    <row r="3185" spans="1:12">
      <c r="A3185" s="95" t="s">
        <v>2991</v>
      </c>
      <c r="B3185" s="98" t="s">
        <v>6096</v>
      </c>
      <c r="C3185" s="92" t="s">
        <v>6106</v>
      </c>
      <c r="D3185" s="17" t="s">
        <v>6107</v>
      </c>
      <c r="E3185" s="93" t="s">
        <v>6108</v>
      </c>
      <c r="F3185"/>
      <c r="G3185" s="17" t="s">
        <v>1</v>
      </c>
      <c r="H3185" s="132">
        <v>46086</v>
      </c>
      <c r="I3185" s="127">
        <v>0.44930555555555557</v>
      </c>
      <c r="J3185"/>
      <c r="K3185"/>
      <c r="L3185"/>
    </row>
    <row r="3186" spans="1:12">
      <c r="A3186" s="95" t="s">
        <v>2991</v>
      </c>
      <c r="B3186" s="98" t="s">
        <v>6096</v>
      </c>
      <c r="C3186" s="92" t="s">
        <v>6109</v>
      </c>
      <c r="D3186" s="17" t="s">
        <v>6110</v>
      </c>
      <c r="E3186" s="93" t="s">
        <v>6111</v>
      </c>
      <c r="F3186"/>
      <c r="G3186" s="17" t="s">
        <v>1</v>
      </c>
      <c r="H3186" s="132">
        <v>46086</v>
      </c>
      <c r="I3186" s="127">
        <v>0.53125</v>
      </c>
      <c r="J3186"/>
      <c r="K3186"/>
      <c r="L3186"/>
    </row>
    <row r="3187" spans="1:12">
      <c r="A3187" s="95" t="s">
        <v>2991</v>
      </c>
      <c r="B3187" s="98" t="s">
        <v>6096</v>
      </c>
      <c r="C3187" s="92"/>
      <c r="D3187" s="17" t="s">
        <v>6112</v>
      </c>
      <c r="E3187" s="93" t="s">
        <v>6113</v>
      </c>
      <c r="F3187"/>
      <c r="G3187" s="17" t="s">
        <v>2</v>
      </c>
      <c r="H3187" s="132">
        <v>46086</v>
      </c>
      <c r="I3187" s="127">
        <v>0.53194444444444444</v>
      </c>
      <c r="J3187"/>
      <c r="K3187"/>
      <c r="L3187"/>
    </row>
    <row r="3188" spans="1:12">
      <c r="A3188" s="95" t="s">
        <v>2991</v>
      </c>
      <c r="B3188" s="98" t="s">
        <v>6096</v>
      </c>
      <c r="C3188" s="92" t="s">
        <v>6114</v>
      </c>
      <c r="D3188" s="17" t="s">
        <v>6115</v>
      </c>
      <c r="E3188" s="93" t="s">
        <v>6116</v>
      </c>
      <c r="F3188"/>
      <c r="G3188" s="17" t="s">
        <v>1</v>
      </c>
      <c r="H3188" s="132">
        <v>46086</v>
      </c>
      <c r="I3188" s="127">
        <v>0.53472222222222221</v>
      </c>
      <c r="J3188"/>
      <c r="K3188"/>
      <c r="L3188" t="s">
        <v>6117</v>
      </c>
    </row>
    <row r="3189" spans="1:12">
      <c r="A3189" s="95" t="s">
        <v>2991</v>
      </c>
      <c r="B3189" s="98" t="s">
        <v>6096</v>
      </c>
      <c r="C3189" s="92"/>
      <c r="D3189" s="17" t="s">
        <v>6118</v>
      </c>
      <c r="E3189" s="93" t="s">
        <v>3593</v>
      </c>
      <c r="F3189"/>
      <c r="G3189" s="17" t="s">
        <v>2</v>
      </c>
      <c r="H3189" s="132">
        <v>46086</v>
      </c>
      <c r="I3189" s="127">
        <v>0.53680555555555554</v>
      </c>
      <c r="J3189"/>
      <c r="K3189"/>
      <c r="L3189"/>
    </row>
    <row r="3190" spans="1:12">
      <c r="A3190" s="95" t="s">
        <v>2991</v>
      </c>
      <c r="B3190" s="98" t="s">
        <v>6096</v>
      </c>
      <c r="C3190" s="92"/>
      <c r="D3190" s="17" t="s">
        <v>6119</v>
      </c>
      <c r="E3190" s="93" t="s">
        <v>6120</v>
      </c>
      <c r="F3190"/>
      <c r="G3190" s="17" t="s">
        <v>6</v>
      </c>
      <c r="H3190" s="132">
        <v>46086</v>
      </c>
      <c r="I3190" s="127">
        <v>0.53819444444444442</v>
      </c>
      <c r="J3190" s="22">
        <v>46087</v>
      </c>
      <c r="K3190" s="109">
        <v>0.36319444444444443</v>
      </c>
      <c r="L3190"/>
    </row>
    <row r="3191" spans="1:12">
      <c r="A3191" s="95" t="s">
        <v>2991</v>
      </c>
      <c r="B3191" s="98" t="s">
        <v>6096</v>
      </c>
      <c r="C3191" s="92" t="s">
        <v>6121</v>
      </c>
      <c r="D3191" s="17" t="s">
        <v>6122</v>
      </c>
      <c r="E3191" s="93">
        <v>60518914</v>
      </c>
      <c r="F3191"/>
      <c r="G3191" s="17" t="s">
        <v>1</v>
      </c>
      <c r="H3191" s="132">
        <v>46086</v>
      </c>
      <c r="I3191" s="127">
        <v>4.2361111111111113E-2</v>
      </c>
      <c r="J3191"/>
      <c r="K3191"/>
      <c r="L3191"/>
    </row>
    <row r="3192" spans="1:12">
      <c r="A3192" s="95" t="s">
        <v>2991</v>
      </c>
      <c r="B3192" s="98" t="s">
        <v>6096</v>
      </c>
      <c r="C3192" s="92"/>
      <c r="D3192" s="17" t="s">
        <v>6123</v>
      </c>
      <c r="E3192" s="93">
        <v>67435331</v>
      </c>
      <c r="F3192"/>
      <c r="G3192" s="17" t="s">
        <v>2</v>
      </c>
      <c r="H3192" s="132">
        <v>46086</v>
      </c>
      <c r="I3192" s="127">
        <v>4.8611111111111112E-2</v>
      </c>
      <c r="J3192"/>
      <c r="K3192"/>
      <c r="L3192"/>
    </row>
    <row r="3193" spans="1:12">
      <c r="A3193" s="95" t="s">
        <v>2991</v>
      </c>
      <c r="B3193" s="98" t="s">
        <v>6096</v>
      </c>
      <c r="C3193" s="92" t="s">
        <v>6124</v>
      </c>
      <c r="D3193" s="17" t="s">
        <v>6125</v>
      </c>
      <c r="E3193" s="93">
        <v>65003300</v>
      </c>
      <c r="F3193"/>
      <c r="G3193" s="17" t="s">
        <v>1</v>
      </c>
      <c r="H3193" s="132">
        <v>46086</v>
      </c>
      <c r="I3193" s="127">
        <v>5.2083333333333336E-2</v>
      </c>
      <c r="J3193"/>
      <c r="K3193"/>
      <c r="L3193"/>
    </row>
    <row r="3194" spans="1:12">
      <c r="A3194" s="95" t="s">
        <v>2991</v>
      </c>
      <c r="B3194" s="98" t="s">
        <v>6096</v>
      </c>
      <c r="C3194" s="92" t="s">
        <v>6126</v>
      </c>
      <c r="D3194" s="17" t="s">
        <v>6127</v>
      </c>
      <c r="E3194" s="93">
        <v>65741753</v>
      </c>
      <c r="F3194"/>
      <c r="G3194" s="17" t="s">
        <v>1</v>
      </c>
      <c r="H3194" s="132">
        <v>46086</v>
      </c>
      <c r="I3194" s="127">
        <v>5.4166666666666669E-2</v>
      </c>
      <c r="J3194"/>
      <c r="K3194"/>
      <c r="L3194"/>
    </row>
    <row r="3195" spans="1:12">
      <c r="A3195" s="95" t="s">
        <v>2991</v>
      </c>
      <c r="B3195" s="98" t="s">
        <v>6096</v>
      </c>
      <c r="C3195" s="92" t="s">
        <v>6128</v>
      </c>
      <c r="D3195" s="17" t="s">
        <v>6129</v>
      </c>
      <c r="E3195" s="93" t="s">
        <v>6130</v>
      </c>
      <c r="F3195"/>
      <c r="G3195" s="17" t="s">
        <v>1</v>
      </c>
      <c r="H3195" s="132">
        <v>46086</v>
      </c>
      <c r="I3195" s="127">
        <v>5.8333333333333334E-2</v>
      </c>
      <c r="J3195"/>
      <c r="K3195"/>
      <c r="L3195" t="s">
        <v>6117</v>
      </c>
    </row>
    <row r="3196" spans="1:12">
      <c r="A3196" s="95" t="s">
        <v>2991</v>
      </c>
      <c r="B3196" s="98" t="s">
        <v>6096</v>
      </c>
      <c r="C3196" s="92"/>
      <c r="D3196" s="17" t="s">
        <v>6131</v>
      </c>
      <c r="E3196" s="93" t="s">
        <v>6132</v>
      </c>
      <c r="F3196"/>
      <c r="G3196" s="17" t="s">
        <v>2</v>
      </c>
      <c r="H3196" s="132">
        <v>46086</v>
      </c>
      <c r="I3196" s="127">
        <v>6.9444444444444448E-2</v>
      </c>
      <c r="J3196"/>
      <c r="K3196"/>
      <c r="L3196"/>
    </row>
    <row r="3197" spans="1:12">
      <c r="A3197" s="95" t="s">
        <v>2991</v>
      </c>
      <c r="B3197" s="98" t="s">
        <v>6096</v>
      </c>
      <c r="C3197" s="87" t="s">
        <v>251</v>
      </c>
      <c r="D3197" s="88"/>
      <c r="E3197" s="89">
        <v>7703467</v>
      </c>
      <c r="F3197"/>
      <c r="G3197" s="17" t="s">
        <v>9</v>
      </c>
      <c r="H3197" s="132">
        <v>46086</v>
      </c>
      <c r="I3197" s="127">
        <v>7.013888888888889E-2</v>
      </c>
      <c r="J3197"/>
      <c r="K3197"/>
      <c r="L3197"/>
    </row>
    <row r="3198" spans="1:12">
      <c r="A3198" s="95" t="s">
        <v>2991</v>
      </c>
      <c r="B3198" s="98" t="s">
        <v>6096</v>
      </c>
      <c r="C3198" s="87" t="s">
        <v>252</v>
      </c>
      <c r="D3198" s="88" t="s">
        <v>6133</v>
      </c>
      <c r="E3198" s="89">
        <v>69205104</v>
      </c>
      <c r="F3198"/>
      <c r="G3198" s="17" t="s">
        <v>1</v>
      </c>
      <c r="H3198" s="132">
        <v>46086</v>
      </c>
      <c r="I3198" s="127">
        <v>7.2222222222222215E-2</v>
      </c>
      <c r="J3198"/>
      <c r="K3198"/>
      <c r="L3198"/>
    </row>
    <row r="3199" spans="1:12">
      <c r="A3199" s="95" t="s">
        <v>2991</v>
      </c>
      <c r="B3199" s="98" t="s">
        <v>6096</v>
      </c>
      <c r="C3199" s="87" t="s">
        <v>253</v>
      </c>
      <c r="D3199" s="88"/>
      <c r="E3199" s="89">
        <v>7750191</v>
      </c>
      <c r="F3199"/>
      <c r="G3199" s="17" t="s">
        <v>6</v>
      </c>
      <c r="H3199" s="132">
        <v>46086</v>
      </c>
      <c r="I3199" s="127">
        <v>7.3611111111111113E-2</v>
      </c>
      <c r="J3199" s="22">
        <v>46087</v>
      </c>
      <c r="K3199" s="109">
        <v>0.36319444444444443</v>
      </c>
      <c r="L3199"/>
    </row>
    <row r="3200" spans="1:12">
      <c r="A3200" s="95" t="s">
        <v>2991</v>
      </c>
      <c r="B3200" s="98" t="s">
        <v>6096</v>
      </c>
      <c r="C3200" s="87" t="s">
        <v>254</v>
      </c>
      <c r="D3200" s="88"/>
      <c r="E3200" s="89">
        <v>67779598</v>
      </c>
      <c r="F3200"/>
      <c r="G3200" s="17" t="s">
        <v>3</v>
      </c>
      <c r="H3200" s="132">
        <v>46086</v>
      </c>
      <c r="I3200" s="127">
        <v>7.4305555555555555E-2</v>
      </c>
      <c r="J3200"/>
      <c r="K3200"/>
      <c r="L3200"/>
    </row>
    <row r="3201" spans="1:12">
      <c r="A3201" s="95" t="s">
        <v>2991</v>
      </c>
      <c r="B3201" s="98" t="s">
        <v>6096</v>
      </c>
      <c r="C3201" s="87" t="s">
        <v>255</v>
      </c>
      <c r="D3201" s="88"/>
      <c r="E3201" s="89">
        <v>65447525</v>
      </c>
      <c r="F3201"/>
      <c r="G3201" s="17" t="s">
        <v>3</v>
      </c>
      <c r="H3201" s="132">
        <v>46086</v>
      </c>
      <c r="I3201" s="127">
        <v>7.6388888888888895E-2</v>
      </c>
      <c r="J3201"/>
      <c r="K3201"/>
      <c r="L3201"/>
    </row>
    <row r="3202" spans="1:12">
      <c r="A3202" s="95" t="s">
        <v>2991</v>
      </c>
      <c r="B3202" s="98" t="s">
        <v>6096</v>
      </c>
      <c r="C3202" s="87" t="s">
        <v>256</v>
      </c>
      <c r="D3202" s="88"/>
      <c r="E3202" s="89">
        <v>7753905</v>
      </c>
      <c r="F3202"/>
      <c r="G3202" s="17" t="s">
        <v>9</v>
      </c>
      <c r="H3202" s="132">
        <v>46086</v>
      </c>
      <c r="I3202" s="127">
        <v>7.7777777777777779E-2</v>
      </c>
      <c r="J3202"/>
      <c r="K3202"/>
      <c r="L3202"/>
    </row>
    <row r="3203" spans="1:12">
      <c r="A3203" s="95" t="s">
        <v>2991</v>
      </c>
      <c r="B3203" s="98" t="s">
        <v>6096</v>
      </c>
      <c r="C3203" s="87" t="s">
        <v>6134</v>
      </c>
      <c r="D3203" s="88" t="s">
        <v>6135</v>
      </c>
      <c r="E3203" s="89">
        <v>68267713</v>
      </c>
      <c r="F3203"/>
      <c r="G3203" s="17" t="s">
        <v>1</v>
      </c>
      <c r="H3203" s="132">
        <v>46086</v>
      </c>
      <c r="I3203" s="127">
        <v>8.1944444444444445E-2</v>
      </c>
      <c r="J3203"/>
      <c r="K3203"/>
      <c r="L3203"/>
    </row>
    <row r="3204" spans="1:12">
      <c r="A3204" s="95" t="s">
        <v>2991</v>
      </c>
      <c r="B3204" s="98" t="s">
        <v>6096</v>
      </c>
      <c r="C3204" s="87" t="s">
        <v>6136</v>
      </c>
      <c r="D3204" s="88" t="s">
        <v>6137</v>
      </c>
      <c r="E3204" s="89">
        <v>68713030</v>
      </c>
      <c r="F3204"/>
      <c r="G3204" s="17" t="s">
        <v>1</v>
      </c>
      <c r="H3204" s="132">
        <v>46086</v>
      </c>
      <c r="I3204" s="127">
        <v>8.3333333333333329E-2</v>
      </c>
      <c r="J3204"/>
      <c r="K3204"/>
      <c r="L3204"/>
    </row>
    <row r="3205" spans="1:12">
      <c r="A3205" s="95" t="s">
        <v>2991</v>
      </c>
      <c r="B3205" s="98" t="s">
        <v>6096</v>
      </c>
      <c r="C3205" s="87" t="s">
        <v>259</v>
      </c>
      <c r="D3205" s="88" t="s">
        <v>6138</v>
      </c>
      <c r="E3205" s="89">
        <v>66824234</v>
      </c>
      <c r="F3205"/>
      <c r="G3205" s="17" t="s">
        <v>1</v>
      </c>
      <c r="H3205" s="132">
        <v>46086</v>
      </c>
      <c r="I3205" s="127">
        <v>8.6805555555555552E-2</v>
      </c>
      <c r="J3205"/>
      <c r="K3205"/>
      <c r="L3205"/>
    </row>
    <row r="3206" spans="1:12">
      <c r="A3206" s="95" t="s">
        <v>2991</v>
      </c>
      <c r="B3206" s="98" t="s">
        <v>6096</v>
      </c>
      <c r="C3206" s="87" t="s">
        <v>260</v>
      </c>
      <c r="D3206" s="88" t="s">
        <v>6139</v>
      </c>
      <c r="E3206" s="89">
        <v>66959212</v>
      </c>
      <c r="F3206"/>
      <c r="G3206" s="17" t="s">
        <v>1</v>
      </c>
      <c r="H3206" s="132">
        <v>46086</v>
      </c>
      <c r="I3206" s="127">
        <v>9.166666666666666E-2</v>
      </c>
      <c r="J3206"/>
      <c r="K3206"/>
      <c r="L3206"/>
    </row>
    <row r="3207" spans="1:12">
      <c r="A3207" s="95" t="s">
        <v>2991</v>
      </c>
      <c r="B3207" s="98" t="s">
        <v>6096</v>
      </c>
      <c r="C3207" s="87" t="s">
        <v>261</v>
      </c>
      <c r="D3207" s="88" t="s">
        <v>6140</v>
      </c>
      <c r="E3207" s="89">
        <v>69307538</v>
      </c>
      <c r="F3207"/>
      <c r="G3207" s="17" t="s">
        <v>1</v>
      </c>
      <c r="H3207" s="132">
        <v>46087</v>
      </c>
      <c r="I3207" s="127">
        <v>0.35069444444444442</v>
      </c>
      <c r="J3207"/>
      <c r="K3207"/>
      <c r="L3207"/>
    </row>
    <row r="3208" spans="1:12">
      <c r="A3208" s="95" t="s">
        <v>2991</v>
      </c>
      <c r="B3208" s="98" t="s">
        <v>6096</v>
      </c>
      <c r="C3208" s="87" t="s">
        <v>262</v>
      </c>
      <c r="D3208" s="88"/>
      <c r="E3208" s="89">
        <v>63790153</v>
      </c>
      <c r="F3208"/>
      <c r="G3208" s="17" t="s">
        <v>9</v>
      </c>
      <c r="H3208" s="132">
        <v>46087</v>
      </c>
      <c r="I3208" s="127">
        <v>0.35138888888888886</v>
      </c>
      <c r="J3208"/>
      <c r="K3208"/>
      <c r="L3208"/>
    </row>
    <row r="3209" spans="1:12">
      <c r="A3209" s="95" t="s">
        <v>2991</v>
      </c>
      <c r="B3209" s="98" t="s">
        <v>6096</v>
      </c>
      <c r="C3209" s="87" t="s">
        <v>263</v>
      </c>
      <c r="D3209" s="88"/>
      <c r="E3209" s="89">
        <v>68688506</v>
      </c>
      <c r="F3209"/>
      <c r="G3209" s="17" t="s">
        <v>6</v>
      </c>
      <c r="H3209" s="132">
        <v>46087</v>
      </c>
      <c r="I3209" s="127">
        <v>0.35208333333333336</v>
      </c>
      <c r="J3209"/>
      <c r="K3209"/>
      <c r="L3209"/>
    </row>
    <row r="3210" spans="1:12">
      <c r="A3210" s="95" t="s">
        <v>2991</v>
      </c>
      <c r="B3210" s="98" t="s">
        <v>6096</v>
      </c>
      <c r="C3210" s="87" t="s">
        <v>264</v>
      </c>
      <c r="D3210" s="88"/>
      <c r="E3210" s="89">
        <v>68112762</v>
      </c>
      <c r="F3210"/>
      <c r="G3210" s="17" t="s">
        <v>6</v>
      </c>
      <c r="H3210" s="132">
        <v>46087</v>
      </c>
      <c r="I3210" s="127">
        <v>0.35208333333333336</v>
      </c>
      <c r="J3210"/>
      <c r="K3210"/>
      <c r="L3210"/>
    </row>
    <row r="3211" spans="1:12">
      <c r="A3211" s="95" t="s">
        <v>2991</v>
      </c>
      <c r="B3211" s="98" t="s">
        <v>6096</v>
      </c>
      <c r="C3211" s="87" t="s">
        <v>265</v>
      </c>
      <c r="D3211" s="88"/>
      <c r="E3211" s="89">
        <v>67983019</v>
      </c>
      <c r="F3211"/>
      <c r="G3211" s="17" t="s">
        <v>6</v>
      </c>
      <c r="H3211" s="132" t="s">
        <v>6141</v>
      </c>
      <c r="I3211" s="127">
        <v>0.3527777777777778</v>
      </c>
      <c r="J3211"/>
      <c r="K3211"/>
      <c r="L3211"/>
    </row>
    <row r="3212" spans="1:12">
      <c r="A3212" s="95" t="s">
        <v>2991</v>
      </c>
      <c r="B3212" s="98" t="s">
        <v>6096</v>
      </c>
      <c r="C3212" s="87" t="s">
        <v>266</v>
      </c>
      <c r="D3212" s="88" t="s">
        <v>6142</v>
      </c>
      <c r="E3212" s="89">
        <v>62701240</v>
      </c>
      <c r="F3212"/>
      <c r="G3212" s="17" t="s">
        <v>1</v>
      </c>
      <c r="H3212" s="132">
        <v>46087</v>
      </c>
      <c r="I3212" s="127">
        <v>0.35416666666666669</v>
      </c>
      <c r="J3212"/>
      <c r="K3212"/>
      <c r="L3212"/>
    </row>
    <row r="3213" spans="1:12">
      <c r="A3213" s="95" t="s">
        <v>2991</v>
      </c>
      <c r="B3213" s="98" t="s">
        <v>6096</v>
      </c>
      <c r="C3213" s="87" t="s">
        <v>267</v>
      </c>
      <c r="D3213" s="88"/>
      <c r="E3213" s="89">
        <v>63862379</v>
      </c>
      <c r="F3213"/>
      <c r="G3213" s="17" t="s">
        <v>6</v>
      </c>
      <c r="H3213" s="132">
        <v>46087</v>
      </c>
      <c r="I3213" s="127">
        <v>0.35694444444444445</v>
      </c>
      <c r="J3213"/>
      <c r="K3213"/>
      <c r="L3213"/>
    </row>
    <row r="3214" spans="1:12">
      <c r="A3214" s="95" t="s">
        <v>2991</v>
      </c>
      <c r="B3214" s="98" t="s">
        <v>6096</v>
      </c>
      <c r="C3214" s="87" t="s">
        <v>268</v>
      </c>
      <c r="D3214" s="88"/>
      <c r="E3214" s="89">
        <v>64266582</v>
      </c>
      <c r="F3214"/>
      <c r="G3214" s="17" t="s">
        <v>2</v>
      </c>
      <c r="H3214" s="132">
        <v>46087</v>
      </c>
      <c r="I3214" s="127">
        <v>0.35694444444444445</v>
      </c>
      <c r="J3214"/>
      <c r="K3214"/>
      <c r="L3214"/>
    </row>
    <row r="3215" spans="1:12">
      <c r="A3215" s="95" t="s">
        <v>2991</v>
      </c>
      <c r="B3215" s="98" t="s">
        <v>6096</v>
      </c>
      <c r="C3215" s="87" t="s">
        <v>269</v>
      </c>
      <c r="D3215" s="88"/>
      <c r="E3215" s="89">
        <v>67371115</v>
      </c>
      <c r="F3215"/>
      <c r="G3215" s="17" t="s">
        <v>6</v>
      </c>
      <c r="H3215" s="132">
        <v>46087</v>
      </c>
      <c r="I3215" s="127">
        <v>0.3576388888888889</v>
      </c>
      <c r="J3215"/>
      <c r="K3215"/>
      <c r="L3215"/>
    </row>
    <row r="3216" spans="1:12">
      <c r="A3216" s="95" t="s">
        <v>2991</v>
      </c>
      <c r="B3216" s="98" t="s">
        <v>6096</v>
      </c>
      <c r="C3216" s="87" t="s">
        <v>270</v>
      </c>
      <c r="D3216" s="88"/>
      <c r="E3216" s="89">
        <v>66967258</v>
      </c>
      <c r="F3216"/>
      <c r="G3216" s="17" t="s">
        <v>6</v>
      </c>
      <c r="H3216" s="132">
        <v>46087</v>
      </c>
      <c r="I3216" s="127">
        <v>0.3576388888888889</v>
      </c>
      <c r="J3216"/>
      <c r="K3216"/>
      <c r="L3216"/>
    </row>
    <row r="3217" spans="1:12">
      <c r="A3217" s="95" t="s">
        <v>2991</v>
      </c>
      <c r="B3217" s="98" t="s">
        <v>6096</v>
      </c>
      <c r="C3217" s="87" t="s">
        <v>271</v>
      </c>
      <c r="D3217" s="88"/>
      <c r="E3217" s="89">
        <v>67603869</v>
      </c>
      <c r="F3217"/>
      <c r="G3217" s="17" t="s">
        <v>4</v>
      </c>
      <c r="H3217" s="132">
        <v>46087</v>
      </c>
      <c r="I3217" s="127">
        <v>0.35902777777777778</v>
      </c>
      <c r="J3217"/>
      <c r="K3217"/>
      <c r="L3217" t="s">
        <v>6143</v>
      </c>
    </row>
    <row r="3218" spans="1:12">
      <c r="A3218" s="95" t="s">
        <v>2991</v>
      </c>
      <c r="B3218" s="98" t="s">
        <v>6096</v>
      </c>
      <c r="C3218" s="87" t="s">
        <v>272</v>
      </c>
      <c r="D3218" s="88"/>
      <c r="E3218" s="89">
        <v>63842704</v>
      </c>
      <c r="F3218"/>
      <c r="G3218" s="17" t="s">
        <v>6</v>
      </c>
      <c r="H3218" s="132">
        <v>46087</v>
      </c>
      <c r="I3218" s="127">
        <v>0.35972222222222222</v>
      </c>
      <c r="J3218"/>
      <c r="K3218"/>
      <c r="L3218"/>
    </row>
    <row r="3219" spans="1:12">
      <c r="A3219" s="95" t="s">
        <v>2991</v>
      </c>
      <c r="B3219" s="98" t="s">
        <v>6096</v>
      </c>
      <c r="C3219" s="87" t="s">
        <v>273</v>
      </c>
      <c r="D3219" s="88"/>
      <c r="E3219" s="89">
        <v>7743797</v>
      </c>
      <c r="F3219"/>
      <c r="G3219" s="17" t="s">
        <v>9</v>
      </c>
      <c r="H3219" s="132">
        <v>46087</v>
      </c>
      <c r="I3219" s="127">
        <v>0.36041666666666666</v>
      </c>
      <c r="J3219"/>
      <c r="K3219"/>
      <c r="L3219"/>
    </row>
    <row r="3220" spans="1:12">
      <c r="A3220" s="95" t="s">
        <v>2991</v>
      </c>
      <c r="B3220" s="98" t="s">
        <v>6096</v>
      </c>
      <c r="C3220" s="87" t="s">
        <v>274</v>
      </c>
      <c r="D3220" s="88"/>
      <c r="E3220" s="89">
        <v>67118881</v>
      </c>
      <c r="F3220"/>
      <c r="G3220" s="17" t="s">
        <v>6</v>
      </c>
      <c r="H3220" s="132">
        <v>46087</v>
      </c>
      <c r="I3220" s="127">
        <v>0.36041666666666666</v>
      </c>
      <c r="J3220"/>
      <c r="K3220"/>
      <c r="L3220"/>
    </row>
    <row r="3221" spans="1:12">
      <c r="A3221" s="95" t="s">
        <v>2991</v>
      </c>
      <c r="B3221" s="98" t="s">
        <v>6096</v>
      </c>
      <c r="C3221" s="87" t="s">
        <v>275</v>
      </c>
      <c r="D3221" s="88"/>
      <c r="E3221" s="89">
        <v>7201050</v>
      </c>
      <c r="F3221"/>
      <c r="G3221" s="17" t="s">
        <v>9</v>
      </c>
      <c r="H3221" s="132">
        <v>46087</v>
      </c>
      <c r="I3221" s="127">
        <v>0.3611111111111111</v>
      </c>
      <c r="J3221"/>
      <c r="K3221"/>
      <c r="L3221"/>
    </row>
    <row r="3222" spans="1:12">
      <c r="A3222" s="95" t="s">
        <v>2991</v>
      </c>
      <c r="B3222" s="98" t="s">
        <v>6144</v>
      </c>
      <c r="C3222" s="87" t="s">
        <v>276</v>
      </c>
      <c r="D3222" s="88"/>
      <c r="E3222" s="89">
        <v>67243071</v>
      </c>
      <c r="F3222"/>
      <c r="G3222" s="17" t="s">
        <v>3</v>
      </c>
      <c r="H3222" s="132">
        <v>46086</v>
      </c>
      <c r="I3222" s="127">
        <v>0.58333333333333337</v>
      </c>
      <c r="J3222"/>
      <c r="K3222"/>
      <c r="L3222"/>
    </row>
    <row r="3223" spans="1:12">
      <c r="A3223" s="95" t="s">
        <v>2991</v>
      </c>
      <c r="B3223" t="s">
        <v>6144</v>
      </c>
      <c r="C3223" s="87" t="s">
        <v>277</v>
      </c>
      <c r="D3223" s="88"/>
      <c r="E3223" s="89">
        <v>66981896</v>
      </c>
      <c r="F3223"/>
      <c r="G3223" s="17" t="s">
        <v>1</v>
      </c>
      <c r="H3223" s="132">
        <v>46086</v>
      </c>
      <c r="I3223" s="127">
        <v>0.58472222222222225</v>
      </c>
      <c r="J3223"/>
      <c r="K3223"/>
      <c r="L3223"/>
    </row>
    <row r="3224" spans="1:12">
      <c r="A3224" s="95" t="s">
        <v>2991</v>
      </c>
      <c r="B3224" t="s">
        <v>6144</v>
      </c>
      <c r="C3224" s="87" t="s">
        <v>278</v>
      </c>
      <c r="D3224" s="88"/>
      <c r="E3224" s="89">
        <v>65094093</v>
      </c>
      <c r="F3224"/>
      <c r="G3224" s="17" t="s">
        <v>2</v>
      </c>
      <c r="H3224" s="132">
        <v>46086</v>
      </c>
      <c r="I3224" s="127">
        <v>0.58472222222222225</v>
      </c>
      <c r="J3224" s="22">
        <v>46090</v>
      </c>
      <c r="K3224" s="154">
        <v>0.46180555555555558</v>
      </c>
      <c r="L3224"/>
    </row>
    <row r="3225" spans="1:12">
      <c r="A3225" s="95" t="s">
        <v>2991</v>
      </c>
      <c r="B3225" t="s">
        <v>6144</v>
      </c>
      <c r="C3225" s="87" t="s">
        <v>279</v>
      </c>
      <c r="D3225" s="88"/>
      <c r="E3225" s="89">
        <v>61704573</v>
      </c>
      <c r="F3225"/>
      <c r="G3225" s="17" t="s">
        <v>1</v>
      </c>
      <c r="H3225" s="132">
        <v>46086</v>
      </c>
      <c r="I3225" s="127">
        <v>0.5854166666666667</v>
      </c>
      <c r="J3225" s="22">
        <v>46090</v>
      </c>
      <c r="K3225" s="154">
        <v>0.46250000000000002</v>
      </c>
      <c r="L3225"/>
    </row>
    <row r="3226" spans="1:12">
      <c r="A3226" s="95" t="s">
        <v>2991</v>
      </c>
      <c r="B3226" t="s">
        <v>6144</v>
      </c>
      <c r="C3226" s="87" t="s">
        <v>280</v>
      </c>
      <c r="D3226" s="88"/>
      <c r="E3226" s="89">
        <v>62487813</v>
      </c>
      <c r="F3226" t="s">
        <v>5055</v>
      </c>
      <c r="G3226" s="17" t="s">
        <v>3</v>
      </c>
      <c r="H3226" s="132">
        <v>46086</v>
      </c>
      <c r="I3226" s="127">
        <v>0.58611111111111114</v>
      </c>
      <c r="J3226"/>
      <c r="K3226"/>
      <c r="L3226" t="s">
        <v>5055</v>
      </c>
    </row>
    <row r="3227" spans="1:12">
      <c r="A3227" s="95" t="s">
        <v>2991</v>
      </c>
      <c r="B3227" t="s">
        <v>6144</v>
      </c>
      <c r="C3227" s="87" t="s">
        <v>281</v>
      </c>
      <c r="D3227" s="88"/>
      <c r="E3227" s="89">
        <v>68080636</v>
      </c>
      <c r="F3227"/>
      <c r="G3227" s="17" t="s">
        <v>6</v>
      </c>
      <c r="H3227" s="132">
        <v>46086</v>
      </c>
      <c r="I3227" s="127">
        <v>0.58680555555555558</v>
      </c>
      <c r="J3227" s="22">
        <v>46090</v>
      </c>
      <c r="K3227" s="154">
        <v>0.46388888888888891</v>
      </c>
      <c r="L3227"/>
    </row>
    <row r="3228" spans="1:12">
      <c r="A3228" s="95" t="s">
        <v>2991</v>
      </c>
      <c r="B3228" t="s">
        <v>6144</v>
      </c>
      <c r="C3228" s="87" t="s">
        <v>628</v>
      </c>
      <c r="D3228" s="88"/>
      <c r="E3228" s="89">
        <v>65855337</v>
      </c>
      <c r="F3228"/>
      <c r="G3228" s="17" t="s">
        <v>2</v>
      </c>
      <c r="H3228" s="132">
        <v>46086</v>
      </c>
      <c r="I3228" s="127">
        <v>0.59305555555555556</v>
      </c>
      <c r="J3228" s="22">
        <v>46090</v>
      </c>
      <c r="K3228" s="154">
        <v>0.46458333333333335</v>
      </c>
      <c r="L3228"/>
    </row>
    <row r="3229" spans="1:12">
      <c r="A3229" s="95" t="s">
        <v>2991</v>
      </c>
      <c r="B3229" t="s">
        <v>6144</v>
      </c>
      <c r="C3229" s="87" t="s">
        <v>629</v>
      </c>
      <c r="D3229" s="88"/>
      <c r="E3229" s="89">
        <v>64217698</v>
      </c>
      <c r="F3229"/>
      <c r="G3229" s="17" t="s">
        <v>1</v>
      </c>
      <c r="H3229" s="132">
        <v>46086</v>
      </c>
      <c r="I3229" s="127">
        <v>0.59444444444444444</v>
      </c>
      <c r="J3229"/>
      <c r="K3229"/>
      <c r="L3229"/>
    </row>
    <row r="3230" spans="1:12">
      <c r="A3230" s="95" t="s">
        <v>2991</v>
      </c>
      <c r="B3230" t="s">
        <v>6144</v>
      </c>
      <c r="C3230" s="87" t="s">
        <v>630</v>
      </c>
      <c r="D3230" s="88"/>
      <c r="E3230" s="89">
        <v>64002574</v>
      </c>
      <c r="F3230"/>
      <c r="G3230" s="17" t="s">
        <v>1</v>
      </c>
      <c r="H3230" s="132">
        <v>46086</v>
      </c>
      <c r="I3230" s="127">
        <v>0.59513888888888888</v>
      </c>
      <c r="J3230"/>
      <c r="K3230"/>
      <c r="L3230"/>
    </row>
    <row r="3231" spans="1:12">
      <c r="A3231" s="95" t="s">
        <v>2991</v>
      </c>
      <c r="B3231" t="s">
        <v>6144</v>
      </c>
      <c r="C3231" s="87" t="s">
        <v>631</v>
      </c>
      <c r="D3231" s="88"/>
      <c r="E3231" s="89">
        <v>7742733</v>
      </c>
      <c r="F3231" t="s">
        <v>5055</v>
      </c>
      <c r="G3231" s="17" t="s">
        <v>3</v>
      </c>
      <c r="H3231" s="132">
        <v>46086</v>
      </c>
      <c r="I3231" s="127">
        <v>0.59583333333333333</v>
      </c>
      <c r="J3231"/>
      <c r="K3231"/>
      <c r="L3231" t="s">
        <v>5055</v>
      </c>
    </row>
    <row r="3232" spans="1:12">
      <c r="A3232" s="95" t="s">
        <v>2991</v>
      </c>
      <c r="B3232" t="s">
        <v>6144</v>
      </c>
      <c r="C3232" s="87" t="s">
        <v>632</v>
      </c>
      <c r="D3232" s="88"/>
      <c r="E3232" s="89">
        <v>7752983</v>
      </c>
      <c r="F3232"/>
      <c r="G3232" s="17" t="s">
        <v>1</v>
      </c>
      <c r="H3232" s="132">
        <v>46086</v>
      </c>
      <c r="I3232" s="127">
        <v>0.59722222222222221</v>
      </c>
      <c r="J3232"/>
      <c r="K3232"/>
      <c r="L3232"/>
    </row>
    <row r="3233" spans="1:12">
      <c r="A3233" s="95" t="s">
        <v>2991</v>
      </c>
      <c r="B3233" t="s">
        <v>6144</v>
      </c>
      <c r="C3233" s="87" t="s">
        <v>633</v>
      </c>
      <c r="D3233" s="88"/>
      <c r="E3233" s="89">
        <v>7300993</v>
      </c>
      <c r="F3233" t="s">
        <v>5055</v>
      </c>
      <c r="G3233" s="17" t="s">
        <v>3</v>
      </c>
      <c r="H3233" s="132">
        <v>46086</v>
      </c>
      <c r="I3233" s="127">
        <v>0.59791666666666665</v>
      </c>
      <c r="J3233"/>
      <c r="K3233"/>
      <c r="L3233" t="s">
        <v>5055</v>
      </c>
    </row>
    <row r="3234" spans="1:12">
      <c r="A3234" s="95" t="s">
        <v>2991</v>
      </c>
      <c r="B3234" t="s">
        <v>6144</v>
      </c>
      <c r="C3234" s="87" t="s">
        <v>634</v>
      </c>
      <c r="D3234" s="88"/>
      <c r="E3234" s="89">
        <v>65903525</v>
      </c>
      <c r="F3234"/>
      <c r="G3234" s="17" t="s">
        <v>1</v>
      </c>
      <c r="H3234" s="132">
        <v>46086</v>
      </c>
      <c r="I3234" s="127">
        <v>0.59861111111111109</v>
      </c>
      <c r="J3234" s="22">
        <v>46090</v>
      </c>
      <c r="K3234" s="154">
        <v>0.46527777777777779</v>
      </c>
      <c r="L3234"/>
    </row>
    <row r="3235" spans="1:12">
      <c r="A3235" s="95" t="s">
        <v>2991</v>
      </c>
      <c r="B3235" t="s">
        <v>6144</v>
      </c>
      <c r="C3235" s="87" t="s">
        <v>635</v>
      </c>
      <c r="D3235" s="88"/>
      <c r="E3235" s="89">
        <v>7703632</v>
      </c>
      <c r="F3235"/>
      <c r="G3235" s="17" t="s">
        <v>2</v>
      </c>
      <c r="H3235" s="132">
        <v>46086</v>
      </c>
      <c r="I3235" s="127">
        <v>0.59930555555555554</v>
      </c>
      <c r="J3235" s="22">
        <v>46090</v>
      </c>
      <c r="K3235" s="154">
        <v>0.46597222222222223</v>
      </c>
      <c r="L3235"/>
    </row>
    <row r="3236" spans="1:12">
      <c r="A3236" s="95" t="s">
        <v>2991</v>
      </c>
      <c r="B3236" t="s">
        <v>6144</v>
      </c>
      <c r="C3236" s="87" t="s">
        <v>636</v>
      </c>
      <c r="D3236" s="88"/>
      <c r="E3236" s="89">
        <v>7705458</v>
      </c>
      <c r="F3236"/>
      <c r="G3236" s="17" t="s">
        <v>6</v>
      </c>
      <c r="H3236" s="132">
        <v>46090</v>
      </c>
      <c r="I3236" s="127">
        <v>0.44236111111111109</v>
      </c>
      <c r="J3236" s="22">
        <v>46090</v>
      </c>
      <c r="K3236" s="154">
        <v>0.46666666666666667</v>
      </c>
      <c r="L3236"/>
    </row>
    <row r="3237" spans="1:12">
      <c r="A3237" s="95" t="s">
        <v>2991</v>
      </c>
      <c r="B3237" t="s">
        <v>6144</v>
      </c>
      <c r="C3237" s="87" t="s">
        <v>637</v>
      </c>
      <c r="D3237" s="88"/>
      <c r="E3237" s="89">
        <v>2952767</v>
      </c>
      <c r="F3237"/>
      <c r="G3237" s="17" t="s">
        <v>9</v>
      </c>
      <c r="H3237" s="132">
        <v>46090</v>
      </c>
      <c r="I3237" s="127">
        <v>0.44374999999999998</v>
      </c>
      <c r="J3237" s="22">
        <v>46090</v>
      </c>
      <c r="K3237" s="154">
        <v>0.46666666666666667</v>
      </c>
      <c r="L3237"/>
    </row>
    <row r="3238" spans="1:12">
      <c r="A3238" s="95" t="s">
        <v>2991</v>
      </c>
      <c r="B3238" t="s">
        <v>6144</v>
      </c>
      <c r="C3238" s="87" t="s">
        <v>638</v>
      </c>
      <c r="D3238" s="88"/>
      <c r="E3238" s="89">
        <v>66786776</v>
      </c>
      <c r="F3238"/>
      <c r="G3238" s="17" t="s">
        <v>1</v>
      </c>
      <c r="H3238" s="132">
        <v>46090</v>
      </c>
      <c r="I3238" s="127">
        <v>0.44444444444444442</v>
      </c>
      <c r="J3238"/>
      <c r="K3238"/>
      <c r="L3238"/>
    </row>
    <row r="3239" spans="1:12">
      <c r="A3239" s="95" t="s">
        <v>2991</v>
      </c>
      <c r="B3239" t="s">
        <v>6144</v>
      </c>
      <c r="C3239" s="87" t="s">
        <v>639</v>
      </c>
      <c r="D3239" s="88"/>
      <c r="E3239" s="89">
        <v>7748437</v>
      </c>
      <c r="F3239"/>
      <c r="G3239" s="17" t="s">
        <v>6</v>
      </c>
      <c r="H3239" s="132">
        <v>46090</v>
      </c>
      <c r="I3239" s="127">
        <v>0.44513888888888886</v>
      </c>
      <c r="J3239" s="22">
        <v>46090</v>
      </c>
      <c r="K3239" s="154">
        <v>0.46736111111111112</v>
      </c>
      <c r="L3239"/>
    </row>
    <row r="3240" spans="1:12">
      <c r="A3240" s="95" t="s">
        <v>2991</v>
      </c>
      <c r="B3240" t="s">
        <v>6144</v>
      </c>
      <c r="C3240" s="87" t="s">
        <v>640</v>
      </c>
      <c r="D3240" s="88"/>
      <c r="E3240" s="89">
        <v>62336275</v>
      </c>
      <c r="F3240"/>
      <c r="G3240" s="17" t="s">
        <v>6</v>
      </c>
      <c r="H3240" s="132">
        <v>46090</v>
      </c>
      <c r="I3240" s="127">
        <v>0.44583333333333336</v>
      </c>
      <c r="J3240" s="22">
        <v>46090</v>
      </c>
      <c r="K3240" s="154">
        <v>0.46736111111111112</v>
      </c>
      <c r="L3240"/>
    </row>
    <row r="3241" spans="1:12">
      <c r="A3241" s="95" t="s">
        <v>2991</v>
      </c>
      <c r="B3241" t="s">
        <v>6144</v>
      </c>
      <c r="C3241" s="87" t="s">
        <v>641</v>
      </c>
      <c r="D3241" s="88"/>
      <c r="E3241" s="89">
        <v>64471509</v>
      </c>
      <c r="F3241"/>
      <c r="G3241" s="17" t="s">
        <v>1</v>
      </c>
      <c r="H3241" s="132">
        <v>46090</v>
      </c>
      <c r="I3241" s="127">
        <v>0.44722222222222224</v>
      </c>
      <c r="J3241"/>
      <c r="K3241"/>
      <c r="L3241"/>
    </row>
    <row r="3242" spans="1:12">
      <c r="A3242" s="95" t="s">
        <v>2991</v>
      </c>
      <c r="B3242" t="s">
        <v>6144</v>
      </c>
      <c r="C3242" s="87" t="s">
        <v>642</v>
      </c>
      <c r="D3242" s="88"/>
      <c r="E3242" s="89">
        <v>69123287</v>
      </c>
      <c r="F3242"/>
      <c r="G3242" s="17" t="s">
        <v>1</v>
      </c>
      <c r="H3242" s="132">
        <v>46090</v>
      </c>
      <c r="I3242" s="127">
        <v>0.44791666666666669</v>
      </c>
      <c r="J3242"/>
      <c r="K3242"/>
      <c r="L3242"/>
    </row>
    <row r="3243" spans="1:12">
      <c r="A3243" s="95" t="s">
        <v>2991</v>
      </c>
      <c r="B3243" t="s">
        <v>6144</v>
      </c>
      <c r="C3243" s="87" t="s">
        <v>643</v>
      </c>
      <c r="D3243" s="88"/>
      <c r="E3243" s="89">
        <v>62464091</v>
      </c>
      <c r="F3243"/>
      <c r="G3243" s="17" t="s">
        <v>1</v>
      </c>
      <c r="H3243" s="132">
        <v>46090</v>
      </c>
      <c r="I3243" s="127">
        <v>0.44861111111111113</v>
      </c>
      <c r="J3243" s="22">
        <v>46090</v>
      </c>
      <c r="K3243" s="154">
        <v>0.46944444444444444</v>
      </c>
      <c r="L3243"/>
    </row>
    <row r="3244" spans="1:12">
      <c r="A3244" s="95" t="s">
        <v>2991</v>
      </c>
      <c r="B3244" t="s">
        <v>6144</v>
      </c>
      <c r="C3244" s="92"/>
      <c r="D3244" s="17" t="s">
        <v>6145</v>
      </c>
      <c r="E3244" s="93" t="s">
        <v>6146</v>
      </c>
      <c r="F3244"/>
      <c r="G3244" s="17" t="s">
        <v>1</v>
      </c>
      <c r="H3244" s="132">
        <v>46090</v>
      </c>
      <c r="I3244" s="127">
        <v>0.45</v>
      </c>
      <c r="J3244"/>
      <c r="K3244"/>
      <c r="L3244"/>
    </row>
    <row r="3245" spans="1:12">
      <c r="A3245" s="95" t="s">
        <v>2991</v>
      </c>
      <c r="B3245" t="s">
        <v>6144</v>
      </c>
      <c r="C3245" s="92"/>
      <c r="D3245" s="17" t="s">
        <v>6147</v>
      </c>
      <c r="E3245" s="93" t="s">
        <v>6148</v>
      </c>
      <c r="F3245"/>
      <c r="G3245" s="17" t="s">
        <v>2</v>
      </c>
      <c r="H3245" s="132">
        <v>46090</v>
      </c>
      <c r="I3245" s="127">
        <v>0.45069444444444445</v>
      </c>
      <c r="J3245" s="22">
        <v>46090</v>
      </c>
      <c r="K3245" s="109">
        <v>0.47222222222222221</v>
      </c>
      <c r="L3245"/>
    </row>
    <row r="3246" spans="1:12">
      <c r="A3246" s="95" t="s">
        <v>2991</v>
      </c>
      <c r="B3246" t="s">
        <v>6144</v>
      </c>
      <c r="C3246" s="92"/>
      <c r="D3246" s="17" t="s">
        <v>6149</v>
      </c>
      <c r="E3246" s="93" t="s">
        <v>6150</v>
      </c>
      <c r="F3246"/>
      <c r="G3246" s="17" t="s">
        <v>1</v>
      </c>
      <c r="H3246" s="132">
        <v>46090</v>
      </c>
      <c r="I3246" s="127">
        <v>0.4513888888888889</v>
      </c>
      <c r="J3246" s="22">
        <v>46090</v>
      </c>
      <c r="K3246" s="154">
        <v>0.47291666666666665</v>
      </c>
      <c r="L3246"/>
    </row>
    <row r="3247" spans="1:12">
      <c r="A3247" s="95" t="s">
        <v>2991</v>
      </c>
      <c r="B3247" t="s">
        <v>6144</v>
      </c>
      <c r="C3247" s="92"/>
      <c r="D3247" s="17" t="s">
        <v>6151</v>
      </c>
      <c r="E3247" s="93" t="s">
        <v>6152</v>
      </c>
      <c r="F3247"/>
      <c r="G3247" s="17" t="s">
        <v>9</v>
      </c>
      <c r="H3247" s="132">
        <v>46090</v>
      </c>
      <c r="I3247" s="127">
        <v>0.45208333333333334</v>
      </c>
      <c r="J3247" s="22">
        <v>46090</v>
      </c>
      <c r="K3247" s="154">
        <v>0.47361111111111109</v>
      </c>
      <c r="L3247"/>
    </row>
    <row r="3248" spans="1:12">
      <c r="A3248" s="95" t="s">
        <v>2991</v>
      </c>
      <c r="B3248" t="s">
        <v>6144</v>
      </c>
      <c r="C3248" s="92"/>
      <c r="D3248" s="17" t="s">
        <v>6153</v>
      </c>
      <c r="E3248" s="93" t="s">
        <v>6154</v>
      </c>
      <c r="F3248"/>
      <c r="G3248" s="17" t="s">
        <v>1</v>
      </c>
      <c r="H3248" s="132">
        <v>46090</v>
      </c>
      <c r="I3248" s="127">
        <v>0.45277777777777778</v>
      </c>
      <c r="J3248"/>
      <c r="K3248"/>
      <c r="L3248"/>
    </row>
    <row r="3249" spans="1:12">
      <c r="A3249" s="95" t="s">
        <v>2991</v>
      </c>
      <c r="B3249" t="s">
        <v>6144</v>
      </c>
      <c r="C3249" s="92"/>
      <c r="D3249" s="17" t="s">
        <v>6155</v>
      </c>
      <c r="E3249" s="93" t="s">
        <v>3116</v>
      </c>
      <c r="F3249"/>
      <c r="G3249" s="17" t="s">
        <v>6</v>
      </c>
      <c r="H3249" s="132">
        <v>46090</v>
      </c>
      <c r="I3249" s="127">
        <v>0.45416666666666666</v>
      </c>
      <c r="J3249" s="22">
        <v>46090</v>
      </c>
      <c r="K3249" s="154">
        <v>0.47430555555555554</v>
      </c>
      <c r="L3249"/>
    </row>
    <row r="3250" spans="1:12">
      <c r="A3250" s="95" t="s">
        <v>2991</v>
      </c>
      <c r="B3250" t="s">
        <v>6144</v>
      </c>
      <c r="C3250" s="92"/>
      <c r="D3250" s="17" t="s">
        <v>6156</v>
      </c>
      <c r="E3250" s="93" t="s">
        <v>6157</v>
      </c>
      <c r="F3250"/>
      <c r="G3250" s="17" t="s">
        <v>2</v>
      </c>
      <c r="H3250" s="132">
        <v>46090</v>
      </c>
      <c r="I3250" s="127">
        <v>0.4548611111111111</v>
      </c>
      <c r="J3250" s="22">
        <v>46090</v>
      </c>
      <c r="K3250" s="154">
        <v>0.47430555555555554</v>
      </c>
      <c r="L3250"/>
    </row>
    <row r="3251" spans="1:12">
      <c r="A3251" s="95" t="s">
        <v>2991</v>
      </c>
      <c r="B3251" t="s">
        <v>6144</v>
      </c>
      <c r="C3251" s="92"/>
      <c r="D3251" s="17" t="s">
        <v>6158</v>
      </c>
      <c r="E3251" s="93" t="s">
        <v>6159</v>
      </c>
      <c r="F3251"/>
      <c r="G3251" s="17" t="s">
        <v>1</v>
      </c>
      <c r="H3251" s="132">
        <v>46090</v>
      </c>
      <c r="I3251" s="127">
        <v>0.45624999999999999</v>
      </c>
      <c r="J3251"/>
      <c r="K3251"/>
      <c r="L3251"/>
    </row>
    <row r="3252" spans="1:12">
      <c r="A3252" s="95" t="s">
        <v>2991</v>
      </c>
      <c r="B3252" t="s">
        <v>6144</v>
      </c>
      <c r="C3252" s="92"/>
      <c r="D3252" s="17" t="s">
        <v>6160</v>
      </c>
      <c r="E3252" s="93" t="s">
        <v>4930</v>
      </c>
      <c r="F3252"/>
      <c r="G3252" s="17" t="s">
        <v>1</v>
      </c>
      <c r="H3252" s="132">
        <v>46090</v>
      </c>
      <c r="I3252" s="127">
        <v>0.45694444444444443</v>
      </c>
      <c r="J3252"/>
      <c r="K3252"/>
      <c r="L3252"/>
    </row>
    <row r="3253" spans="1:12">
      <c r="A3253" s="95" t="s">
        <v>2991</v>
      </c>
      <c r="B3253" t="s">
        <v>6144</v>
      </c>
      <c r="C3253" s="92"/>
      <c r="D3253" s="17" t="s">
        <v>6161</v>
      </c>
      <c r="E3253" s="93" t="s">
        <v>6162</v>
      </c>
      <c r="F3253"/>
      <c r="G3253" s="17" t="s">
        <v>9</v>
      </c>
      <c r="H3253" s="132">
        <v>46090</v>
      </c>
      <c r="I3253" s="127">
        <v>0.45763888888888887</v>
      </c>
      <c r="J3253" s="22">
        <v>46090</v>
      </c>
      <c r="K3253" s="154">
        <v>0.47499999999999998</v>
      </c>
      <c r="L3253"/>
    </row>
    <row r="3254" spans="1:12">
      <c r="A3254" s="95" t="s">
        <v>2991</v>
      </c>
      <c r="B3254" t="s">
        <v>6144</v>
      </c>
      <c r="C3254" s="92"/>
      <c r="D3254" s="17" t="s">
        <v>6163</v>
      </c>
      <c r="E3254" s="93" t="s">
        <v>6164</v>
      </c>
      <c r="F3254"/>
      <c r="G3254" s="17" t="s">
        <v>9</v>
      </c>
      <c r="H3254" s="132">
        <v>46090</v>
      </c>
      <c r="I3254" s="127">
        <v>0.45763888888888887</v>
      </c>
      <c r="J3254" s="22">
        <v>46090</v>
      </c>
      <c r="K3254" s="154">
        <v>0.47499999999999998</v>
      </c>
      <c r="L3254"/>
    </row>
    <row r="3255" spans="1:12">
      <c r="A3255" s="95" t="s">
        <v>2991</v>
      </c>
      <c r="B3255" t="s">
        <v>6144</v>
      </c>
      <c r="C3255" s="92"/>
      <c r="D3255" s="17" t="s">
        <v>6165</v>
      </c>
      <c r="E3255" s="93" t="s">
        <v>6166</v>
      </c>
      <c r="F3255"/>
      <c r="G3255" s="17" t="s">
        <v>6</v>
      </c>
      <c r="H3255" s="132">
        <v>46090</v>
      </c>
      <c r="I3255" s="127">
        <v>0.45833333333333331</v>
      </c>
      <c r="J3255" s="22">
        <v>46090</v>
      </c>
      <c r="K3255" s="154">
        <v>0.47569444444444442</v>
      </c>
      <c r="L3255"/>
    </row>
    <row r="3256" spans="1:12">
      <c r="A3256" s="95" t="s">
        <v>2991</v>
      </c>
      <c r="B3256" t="s">
        <v>6144</v>
      </c>
      <c r="C3256" s="92"/>
      <c r="D3256" s="17" t="s">
        <v>6167</v>
      </c>
      <c r="E3256" s="93" t="s">
        <v>6168</v>
      </c>
      <c r="F3256"/>
      <c r="G3256" s="17" t="s">
        <v>9</v>
      </c>
      <c r="H3256" s="132">
        <v>46090</v>
      </c>
      <c r="I3256" s="127">
        <v>0.45833333333333331</v>
      </c>
      <c r="J3256" s="22">
        <v>46090</v>
      </c>
      <c r="K3256" s="154">
        <v>0.47569444444444442</v>
      </c>
      <c r="L3256"/>
    </row>
    <row r="3257" spans="1:12">
      <c r="A3257" s="95" t="s">
        <v>2991</v>
      </c>
      <c r="B3257" t="s">
        <v>6144</v>
      </c>
      <c r="C3257" s="92"/>
      <c r="D3257" s="17" t="s">
        <v>6169</v>
      </c>
      <c r="E3257" s="93" t="s">
        <v>6170</v>
      </c>
      <c r="F3257"/>
      <c r="G3257" s="17" t="s">
        <v>3</v>
      </c>
      <c r="H3257" s="132">
        <v>46090</v>
      </c>
      <c r="I3257" s="127">
        <v>0.4597222222222222</v>
      </c>
      <c r="J3257" s="22"/>
      <c r="K3257" s="154"/>
      <c r="L3257"/>
    </row>
    <row r="3258" spans="1:12">
      <c r="A3258" s="95" t="s">
        <v>2991</v>
      </c>
      <c r="B3258" t="s">
        <v>6144</v>
      </c>
      <c r="C3258" s="92"/>
      <c r="D3258" s="17" t="s">
        <v>6171</v>
      </c>
      <c r="E3258" s="93" t="s">
        <v>6172</v>
      </c>
      <c r="F3258"/>
      <c r="G3258" s="17" t="s">
        <v>9</v>
      </c>
      <c r="H3258" s="132">
        <v>46090</v>
      </c>
      <c r="I3258" s="127">
        <v>0.4597222222222222</v>
      </c>
      <c r="J3258" s="22">
        <v>46090</v>
      </c>
      <c r="K3258" s="154">
        <v>0.47638888888888886</v>
      </c>
      <c r="L3258"/>
    </row>
    <row r="3259" spans="1:12">
      <c r="A3259" s="95" t="s">
        <v>2991</v>
      </c>
      <c r="B3259" t="s">
        <v>6144</v>
      </c>
      <c r="C3259" s="92"/>
      <c r="D3259" s="17" t="s">
        <v>6173</v>
      </c>
      <c r="E3259" s="93" t="s">
        <v>6174</v>
      </c>
      <c r="F3259"/>
      <c r="G3259" s="17" t="s">
        <v>6</v>
      </c>
      <c r="H3259" s="132">
        <v>46090</v>
      </c>
      <c r="I3259" s="127">
        <v>0.46041666666666664</v>
      </c>
      <c r="J3259" s="22">
        <v>46090</v>
      </c>
      <c r="K3259" s="154">
        <v>0.47708333333333336</v>
      </c>
      <c r="L3259"/>
    </row>
    <row r="3260" spans="1:12">
      <c r="A3260" s="95" t="s">
        <v>2991</v>
      </c>
      <c r="B3260" t="s">
        <v>6144</v>
      </c>
      <c r="C3260" s="92"/>
      <c r="D3260" s="17" t="s">
        <v>6175</v>
      </c>
      <c r="E3260" s="93" t="s">
        <v>6176</v>
      </c>
      <c r="F3260"/>
      <c r="G3260" s="17" t="s">
        <v>1</v>
      </c>
      <c r="H3260" s="132">
        <v>46090</v>
      </c>
      <c r="I3260" s="127">
        <v>0.46111111111111114</v>
      </c>
      <c r="J3260" s="22">
        <v>46090</v>
      </c>
      <c r="K3260" s="154">
        <v>0.47708333333333336</v>
      </c>
      <c r="L3260"/>
    </row>
    <row r="3261" spans="1:12">
      <c r="A3261" s="95" t="s">
        <v>2991</v>
      </c>
      <c r="B3261" t="s">
        <v>6144</v>
      </c>
      <c r="C3261" s="92"/>
      <c r="D3261" s="17" t="s">
        <v>6177</v>
      </c>
      <c r="E3261" s="93" t="s">
        <v>6178</v>
      </c>
      <c r="F3261"/>
      <c r="G3261" s="17" t="s">
        <v>6</v>
      </c>
      <c r="H3261" s="132">
        <v>46090</v>
      </c>
      <c r="I3261" s="127">
        <v>0.46111111111111114</v>
      </c>
      <c r="J3261" s="22">
        <v>46090</v>
      </c>
      <c r="K3261" s="154">
        <v>0.47847222222222224</v>
      </c>
      <c r="L3261"/>
    </row>
    <row r="3262" spans="1:12">
      <c r="A3262" s="95" t="s">
        <v>2991</v>
      </c>
      <c r="B3262" t="s">
        <v>6179</v>
      </c>
      <c r="C3262" s="92" t="s">
        <v>6180</v>
      </c>
      <c r="D3262" s="17" t="s">
        <v>6181</v>
      </c>
      <c r="E3262" s="93" t="s">
        <v>6182</v>
      </c>
      <c r="F3262" s="99" t="s">
        <v>6183</v>
      </c>
      <c r="G3262" s="17" t="s">
        <v>1</v>
      </c>
      <c r="H3262" s="132">
        <v>46086</v>
      </c>
      <c r="I3262" s="127" t="s">
        <v>4437</v>
      </c>
      <c r="J3262"/>
      <c r="K3262"/>
      <c r="L3262" t="s">
        <v>6184</v>
      </c>
    </row>
    <row r="3263" spans="1:12">
      <c r="A3263" s="95" t="s">
        <v>2991</v>
      </c>
      <c r="B3263" t="s">
        <v>6179</v>
      </c>
      <c r="C3263" s="92" t="s">
        <v>6185</v>
      </c>
      <c r="D3263" s="17" t="s">
        <v>6186</v>
      </c>
      <c r="E3263" s="93" t="s">
        <v>6187</v>
      </c>
      <c r="F3263"/>
      <c r="G3263" s="17" t="s">
        <v>1</v>
      </c>
      <c r="H3263" s="132">
        <v>46086</v>
      </c>
      <c r="I3263" s="127" t="s">
        <v>3381</v>
      </c>
      <c r="J3263"/>
      <c r="K3263"/>
      <c r="L3263" t="s">
        <v>6188</v>
      </c>
    </row>
    <row r="3264" spans="1:12">
      <c r="A3264" s="95" t="s">
        <v>2991</v>
      </c>
      <c r="B3264" t="s">
        <v>6179</v>
      </c>
      <c r="C3264" s="92"/>
      <c r="D3264" s="17" t="s">
        <v>6189</v>
      </c>
      <c r="E3264" s="93" t="s">
        <v>6190</v>
      </c>
      <c r="F3264"/>
      <c r="G3264" s="17" t="s">
        <v>6</v>
      </c>
      <c r="H3264" s="132">
        <v>46086</v>
      </c>
      <c r="I3264" s="127" t="s">
        <v>3385</v>
      </c>
      <c r="J3264" s="22"/>
      <c r="K3264"/>
      <c r="L3264"/>
    </row>
    <row r="3265" spans="1:12">
      <c r="A3265" s="95" t="s">
        <v>2991</v>
      </c>
      <c r="B3265" t="s">
        <v>6179</v>
      </c>
      <c r="C3265" s="92" t="s">
        <v>6191</v>
      </c>
      <c r="D3265" s="17" t="s">
        <v>6192</v>
      </c>
      <c r="E3265" s="93" t="s">
        <v>6193</v>
      </c>
      <c r="F3265"/>
      <c r="G3265" s="17" t="s">
        <v>3</v>
      </c>
      <c r="H3265" s="132">
        <v>46086</v>
      </c>
      <c r="I3265" s="127" t="s">
        <v>6194</v>
      </c>
      <c r="J3265"/>
      <c r="K3265"/>
      <c r="L3265"/>
    </row>
    <row r="3266" spans="1:12">
      <c r="A3266" s="95" t="s">
        <v>2991</v>
      </c>
      <c r="B3266" t="s">
        <v>6179</v>
      </c>
      <c r="C3266" s="92"/>
      <c r="D3266" s="17" t="s">
        <v>11</v>
      </c>
      <c r="E3266" s="93" t="s">
        <v>4407</v>
      </c>
      <c r="F3266"/>
      <c r="G3266" s="17" t="s">
        <v>6</v>
      </c>
      <c r="H3266" s="132">
        <v>46086</v>
      </c>
      <c r="I3266" s="127" t="s">
        <v>3527</v>
      </c>
      <c r="J3266"/>
      <c r="K3266"/>
      <c r="L3266"/>
    </row>
    <row r="3267" spans="1:12">
      <c r="A3267" s="95" t="s">
        <v>2991</v>
      </c>
      <c r="B3267" t="s">
        <v>6179</v>
      </c>
      <c r="C3267" s="92" t="s">
        <v>6195</v>
      </c>
      <c r="D3267" s="17" t="s">
        <v>6196</v>
      </c>
      <c r="E3267" s="93" t="s">
        <v>6197</v>
      </c>
      <c r="F3267" s="99" t="s">
        <v>6198</v>
      </c>
      <c r="G3267" s="17" t="s">
        <v>1</v>
      </c>
      <c r="H3267" s="132">
        <v>46086</v>
      </c>
      <c r="I3267" s="127" t="s">
        <v>6199</v>
      </c>
      <c r="J3267"/>
      <c r="K3267"/>
      <c r="L3267"/>
    </row>
    <row r="3268" spans="1:12">
      <c r="A3268" s="95" t="s">
        <v>2991</v>
      </c>
      <c r="B3268" t="s">
        <v>6179</v>
      </c>
      <c r="C3268" s="92"/>
      <c r="D3268" s="17" t="s">
        <v>3940</v>
      </c>
      <c r="E3268" s="93" t="s">
        <v>3941</v>
      </c>
      <c r="F3268"/>
      <c r="G3268" s="17" t="s">
        <v>1</v>
      </c>
      <c r="H3268" s="132">
        <v>46086</v>
      </c>
      <c r="I3268" s="127" t="s">
        <v>3547</v>
      </c>
      <c r="J3268" s="22">
        <v>46090</v>
      </c>
      <c r="K3268" t="s">
        <v>4349</v>
      </c>
      <c r="L3268"/>
    </row>
    <row r="3269" spans="1:12">
      <c r="A3269" s="95" t="s">
        <v>2991</v>
      </c>
      <c r="B3269" t="s">
        <v>6179</v>
      </c>
      <c r="C3269" s="92"/>
      <c r="D3269" s="17" t="s">
        <v>6200</v>
      </c>
      <c r="E3269" s="93" t="s">
        <v>6201</v>
      </c>
      <c r="F3269"/>
      <c r="G3269" s="17" t="s">
        <v>6</v>
      </c>
      <c r="H3269" s="132">
        <v>46086</v>
      </c>
      <c r="I3269" s="127" t="s">
        <v>3550</v>
      </c>
      <c r="J3269"/>
      <c r="K3269"/>
      <c r="L3269"/>
    </row>
    <row r="3270" spans="1:12">
      <c r="A3270" s="95" t="s">
        <v>2991</v>
      </c>
      <c r="B3270" t="s">
        <v>6179</v>
      </c>
      <c r="C3270" s="92"/>
      <c r="D3270" s="17" t="s">
        <v>6202</v>
      </c>
      <c r="E3270" s="93" t="s">
        <v>6203</v>
      </c>
      <c r="F3270"/>
      <c r="G3270" s="17" t="s">
        <v>3</v>
      </c>
      <c r="H3270" s="132">
        <v>46086</v>
      </c>
      <c r="I3270" s="127" t="s">
        <v>3409</v>
      </c>
      <c r="J3270"/>
      <c r="K3270"/>
      <c r="L3270"/>
    </row>
    <row r="3271" spans="1:12">
      <c r="A3271" s="95" t="s">
        <v>2991</v>
      </c>
      <c r="B3271" t="s">
        <v>6179</v>
      </c>
      <c r="C3271" s="92"/>
      <c r="D3271" s="17" t="s">
        <v>6204</v>
      </c>
      <c r="E3271" s="93" t="s">
        <v>6205</v>
      </c>
      <c r="F3271"/>
      <c r="G3271" s="17" t="s">
        <v>2</v>
      </c>
      <c r="H3271" s="132">
        <v>46086</v>
      </c>
      <c r="I3271" s="127" t="s">
        <v>6206</v>
      </c>
      <c r="J3271"/>
      <c r="K3271"/>
      <c r="L3271"/>
    </row>
    <row r="3272" spans="1:12">
      <c r="A3272" s="95" t="s">
        <v>2991</v>
      </c>
      <c r="B3272" t="s">
        <v>6179</v>
      </c>
      <c r="C3272" s="92"/>
      <c r="D3272" s="17" t="s">
        <v>6207</v>
      </c>
      <c r="E3272" s="93" t="s">
        <v>6208</v>
      </c>
      <c r="F3272"/>
      <c r="G3272" s="17" t="s">
        <v>8</v>
      </c>
      <c r="H3272" s="132">
        <v>46086</v>
      </c>
      <c r="I3272" s="127" t="s">
        <v>6209</v>
      </c>
      <c r="J3272"/>
      <c r="K3272"/>
      <c r="L3272"/>
    </row>
    <row r="3273" spans="1:12">
      <c r="A3273" s="95" t="s">
        <v>2991</v>
      </c>
      <c r="B3273" t="s">
        <v>6179</v>
      </c>
      <c r="C3273" s="92"/>
      <c r="D3273" s="17" t="s">
        <v>6210</v>
      </c>
      <c r="E3273" s="93" t="s">
        <v>6211</v>
      </c>
      <c r="F3273"/>
      <c r="G3273" s="17" t="s">
        <v>3</v>
      </c>
      <c r="H3273" s="132">
        <v>46086</v>
      </c>
      <c r="I3273" s="127" t="s">
        <v>6212</v>
      </c>
      <c r="J3273"/>
      <c r="K3273"/>
      <c r="L3273"/>
    </row>
    <row r="3274" spans="1:12">
      <c r="A3274" s="95" t="s">
        <v>2991</v>
      </c>
      <c r="B3274" t="s">
        <v>6179</v>
      </c>
      <c r="C3274" s="92"/>
      <c r="D3274" s="17" t="s">
        <v>6213</v>
      </c>
      <c r="E3274" s="93" t="s">
        <v>6214</v>
      </c>
      <c r="F3274"/>
      <c r="G3274" s="17" t="s">
        <v>6</v>
      </c>
      <c r="H3274" s="132">
        <v>46087</v>
      </c>
      <c r="I3274" s="127" t="s">
        <v>6215</v>
      </c>
      <c r="J3274"/>
      <c r="K3274"/>
      <c r="L3274"/>
    </row>
    <row r="3275" spans="1:12">
      <c r="A3275" s="95" t="s">
        <v>2991</v>
      </c>
      <c r="B3275" t="s">
        <v>6179</v>
      </c>
      <c r="C3275" s="92"/>
      <c r="D3275" s="17" t="s">
        <v>6216</v>
      </c>
      <c r="E3275" s="93" t="s">
        <v>6217</v>
      </c>
      <c r="F3275"/>
      <c r="G3275" s="17" t="s">
        <v>6</v>
      </c>
      <c r="H3275" s="132">
        <v>46087</v>
      </c>
      <c r="I3275" s="127" t="s">
        <v>6218</v>
      </c>
      <c r="J3275"/>
      <c r="K3275"/>
      <c r="L3275"/>
    </row>
    <row r="3276" spans="1:12">
      <c r="A3276" s="95" t="s">
        <v>2991</v>
      </c>
      <c r="B3276" t="s">
        <v>6179</v>
      </c>
      <c r="C3276" s="92"/>
      <c r="D3276" s="17" t="s">
        <v>6219</v>
      </c>
      <c r="E3276" s="93" t="s">
        <v>6220</v>
      </c>
      <c r="F3276"/>
      <c r="G3276" s="17" t="s">
        <v>2</v>
      </c>
      <c r="H3276" s="132">
        <v>46087</v>
      </c>
      <c r="I3276" s="127" t="s">
        <v>6221</v>
      </c>
      <c r="J3276"/>
      <c r="K3276"/>
      <c r="L3276"/>
    </row>
    <row r="3277" spans="1:12">
      <c r="A3277" s="95" t="s">
        <v>2991</v>
      </c>
      <c r="B3277" t="s">
        <v>6179</v>
      </c>
      <c r="C3277" s="92"/>
      <c r="D3277" s="17" t="s">
        <v>6222</v>
      </c>
      <c r="E3277" s="93">
        <v>64151984</v>
      </c>
      <c r="F3277"/>
      <c r="G3277" s="17" t="s">
        <v>4</v>
      </c>
      <c r="H3277" s="132">
        <v>46087</v>
      </c>
      <c r="I3277" s="127" t="s">
        <v>6223</v>
      </c>
      <c r="J3277"/>
      <c r="K3277"/>
      <c r="L3277" t="s">
        <v>6224</v>
      </c>
    </row>
    <row r="3278" spans="1:12">
      <c r="A3278" s="95" t="s">
        <v>2991</v>
      </c>
      <c r="B3278" t="s">
        <v>6179</v>
      </c>
      <c r="C3278" s="92"/>
      <c r="D3278" s="17" t="s">
        <v>6225</v>
      </c>
      <c r="E3278" s="93" t="s">
        <v>6226</v>
      </c>
      <c r="F3278"/>
      <c r="G3278" s="17" t="s">
        <v>4</v>
      </c>
      <c r="H3278" s="132"/>
      <c r="J3278"/>
      <c r="K3278"/>
      <c r="L3278"/>
    </row>
    <row r="3279" spans="1:12">
      <c r="A3279" s="95" t="s">
        <v>2991</v>
      </c>
      <c r="B3279" t="s">
        <v>6179</v>
      </c>
      <c r="C3279" s="92"/>
      <c r="D3279" s="17" t="s">
        <v>6227</v>
      </c>
      <c r="E3279" s="93" t="s">
        <v>6228</v>
      </c>
      <c r="F3279"/>
      <c r="G3279" s="17" t="s">
        <v>2</v>
      </c>
      <c r="H3279" s="132">
        <v>46087</v>
      </c>
      <c r="I3279" s="127" t="s">
        <v>6229</v>
      </c>
      <c r="J3279"/>
      <c r="K3279"/>
      <c r="L3279"/>
    </row>
    <row r="3280" spans="1:12">
      <c r="A3280" s="95" t="s">
        <v>2991</v>
      </c>
      <c r="B3280" t="s">
        <v>6179</v>
      </c>
      <c r="C3280" s="92"/>
      <c r="D3280" s="17" t="s">
        <v>6230</v>
      </c>
      <c r="E3280" s="93" t="s">
        <v>6231</v>
      </c>
      <c r="F3280"/>
      <c r="G3280" s="17" t="s">
        <v>2</v>
      </c>
      <c r="H3280" s="132">
        <v>46087</v>
      </c>
      <c r="I3280" s="127" t="s">
        <v>6232</v>
      </c>
      <c r="J3280"/>
      <c r="K3280"/>
      <c r="L3280"/>
    </row>
    <row r="3281" spans="1:12">
      <c r="A3281" s="95" t="s">
        <v>2991</v>
      </c>
      <c r="B3281" t="s">
        <v>6179</v>
      </c>
      <c r="C3281" s="92"/>
      <c r="D3281" s="17" t="s">
        <v>6233</v>
      </c>
      <c r="E3281" s="93">
        <v>65892574</v>
      </c>
      <c r="F3281"/>
      <c r="G3281" s="17" t="s">
        <v>4</v>
      </c>
      <c r="H3281" s="132">
        <v>46087</v>
      </c>
      <c r="I3281" s="127" t="s">
        <v>3423</v>
      </c>
      <c r="J3281"/>
      <c r="K3281"/>
      <c r="L3281"/>
    </row>
    <row r="3282" spans="1:12">
      <c r="A3282" s="95" t="s">
        <v>2991</v>
      </c>
      <c r="B3282" t="s">
        <v>6179</v>
      </c>
      <c r="C3282" s="92"/>
      <c r="D3282" s="17" t="s">
        <v>6234</v>
      </c>
      <c r="E3282" s="93" t="s">
        <v>6235</v>
      </c>
      <c r="F3282"/>
      <c r="G3282" s="17" t="s">
        <v>2</v>
      </c>
      <c r="H3282" s="132">
        <v>46090</v>
      </c>
      <c r="I3282" s="127" t="s">
        <v>6236</v>
      </c>
      <c r="J3282"/>
      <c r="K3282"/>
      <c r="L3282"/>
    </row>
    <row r="3283" spans="1:12">
      <c r="A3283" s="95" t="s">
        <v>2991</v>
      </c>
      <c r="B3283" t="s">
        <v>6179</v>
      </c>
      <c r="C3283" s="92" t="s">
        <v>6237</v>
      </c>
      <c r="D3283" s="17" t="s">
        <v>6238</v>
      </c>
      <c r="E3283" s="93" t="s">
        <v>6239</v>
      </c>
      <c r="F3283"/>
      <c r="G3283" s="17" t="s">
        <v>1</v>
      </c>
      <c r="H3283" s="132">
        <v>46087</v>
      </c>
      <c r="I3283" s="127" t="s">
        <v>6240</v>
      </c>
      <c r="J3283"/>
      <c r="K3283"/>
      <c r="L3283"/>
    </row>
    <row r="3284" spans="1:12">
      <c r="A3284" s="95" t="s">
        <v>2991</v>
      </c>
      <c r="B3284" t="s">
        <v>6179</v>
      </c>
      <c r="C3284" s="92" t="s">
        <v>6241</v>
      </c>
      <c r="D3284" s="17" t="s">
        <v>6242</v>
      </c>
      <c r="E3284" s="93" t="s">
        <v>6243</v>
      </c>
      <c r="F3284"/>
      <c r="G3284" s="17" t="s">
        <v>1</v>
      </c>
      <c r="H3284" s="132">
        <v>46087</v>
      </c>
      <c r="I3284" s="127" t="s">
        <v>6244</v>
      </c>
      <c r="J3284"/>
      <c r="K3284"/>
      <c r="L3284"/>
    </row>
    <row r="3285" spans="1:12">
      <c r="A3285" s="95" t="s">
        <v>2991</v>
      </c>
      <c r="B3285" t="s">
        <v>6179</v>
      </c>
      <c r="C3285" s="92" t="s">
        <v>6245</v>
      </c>
      <c r="D3285" s="17" t="s">
        <v>6246</v>
      </c>
      <c r="E3285" s="93" t="s">
        <v>6247</v>
      </c>
      <c r="F3285"/>
      <c r="G3285" s="17" t="s">
        <v>1</v>
      </c>
      <c r="H3285" s="132">
        <v>46087</v>
      </c>
      <c r="I3285" s="127" t="s">
        <v>6248</v>
      </c>
      <c r="J3285"/>
      <c r="K3285"/>
      <c r="L3285"/>
    </row>
    <row r="3286" spans="1:12">
      <c r="A3286" s="95" t="s">
        <v>2991</v>
      </c>
      <c r="B3286" t="s">
        <v>6179</v>
      </c>
      <c r="C3286" s="92"/>
      <c r="D3286" s="17" t="s">
        <v>6249</v>
      </c>
      <c r="E3286" s="93" t="s">
        <v>6250</v>
      </c>
      <c r="F3286"/>
      <c r="G3286" s="17" t="s">
        <v>1</v>
      </c>
      <c r="H3286" s="132">
        <v>46087</v>
      </c>
      <c r="I3286" s="127" t="s">
        <v>6251</v>
      </c>
      <c r="J3286"/>
      <c r="K3286"/>
      <c r="L3286" t="s">
        <v>6252</v>
      </c>
    </row>
    <row r="3287" spans="1:12">
      <c r="A3287" s="95" t="s">
        <v>2991</v>
      </c>
      <c r="B3287" t="s">
        <v>6179</v>
      </c>
      <c r="C3287" s="92"/>
      <c r="D3287" s="17" t="s">
        <v>6253</v>
      </c>
      <c r="E3287" s="93" t="s">
        <v>6254</v>
      </c>
      <c r="F3287"/>
      <c r="G3287" s="17" t="s">
        <v>6</v>
      </c>
      <c r="H3287" s="132">
        <v>46087</v>
      </c>
      <c r="I3287" s="127" t="s">
        <v>3285</v>
      </c>
      <c r="J3287"/>
      <c r="K3287"/>
      <c r="L3287"/>
    </row>
    <row r="3288" spans="1:12">
      <c r="A3288" s="95" t="s">
        <v>2991</v>
      </c>
      <c r="B3288" t="s">
        <v>6179</v>
      </c>
      <c r="C3288" s="92"/>
      <c r="D3288" s="17" t="s">
        <v>6255</v>
      </c>
      <c r="E3288" s="93" t="s">
        <v>6256</v>
      </c>
      <c r="F3288"/>
      <c r="G3288" s="17" t="s">
        <v>2</v>
      </c>
      <c r="H3288" s="132">
        <v>46087</v>
      </c>
      <c r="I3288" s="127" t="s">
        <v>3435</v>
      </c>
      <c r="J3288"/>
      <c r="K3288"/>
      <c r="L3288"/>
    </row>
    <row r="3289" spans="1:12">
      <c r="A3289" s="95" t="s">
        <v>2991</v>
      </c>
      <c r="B3289" t="s">
        <v>6179</v>
      </c>
      <c r="C3289" s="92" t="s">
        <v>1372</v>
      </c>
      <c r="D3289" s="17" t="s">
        <v>6257</v>
      </c>
      <c r="E3289" s="93" t="s">
        <v>6258</v>
      </c>
      <c r="F3289"/>
      <c r="G3289" s="17" t="s">
        <v>1</v>
      </c>
      <c r="H3289" s="132">
        <v>46087</v>
      </c>
      <c r="I3289" s="127" t="s">
        <v>3302</v>
      </c>
      <c r="J3289"/>
      <c r="K3289"/>
      <c r="L3289"/>
    </row>
    <row r="3290" spans="1:12">
      <c r="A3290" s="95" t="s">
        <v>2991</v>
      </c>
      <c r="B3290" t="s">
        <v>6179</v>
      </c>
      <c r="C3290" s="92"/>
      <c r="D3290" s="17" t="s">
        <v>6259</v>
      </c>
      <c r="E3290" s="93" t="s">
        <v>6260</v>
      </c>
      <c r="F3290"/>
      <c r="G3290" s="17" t="s">
        <v>6</v>
      </c>
      <c r="H3290" s="132">
        <v>46087</v>
      </c>
      <c r="I3290" s="127" t="s">
        <v>6261</v>
      </c>
      <c r="J3290"/>
      <c r="K3290"/>
      <c r="L3290"/>
    </row>
    <row r="3291" spans="1:12">
      <c r="A3291" s="95" t="s">
        <v>2991</v>
      </c>
      <c r="B3291" t="s">
        <v>6179</v>
      </c>
      <c r="C3291" s="92"/>
      <c r="D3291" s="17" t="s">
        <v>6262</v>
      </c>
      <c r="E3291" s="93" t="s">
        <v>6263</v>
      </c>
      <c r="F3291"/>
      <c r="G3291" s="17" t="s">
        <v>1</v>
      </c>
      <c r="H3291" s="132">
        <v>46087</v>
      </c>
      <c r="I3291" s="127" t="s">
        <v>6264</v>
      </c>
      <c r="J3291"/>
      <c r="K3291"/>
      <c r="L3291" t="s">
        <v>6265</v>
      </c>
    </row>
    <row r="3292" spans="1:12">
      <c r="A3292" s="95" t="s">
        <v>2991</v>
      </c>
      <c r="B3292" t="s">
        <v>6179</v>
      </c>
      <c r="C3292" s="92"/>
      <c r="D3292" s="17" t="s">
        <v>6266</v>
      </c>
      <c r="E3292" s="93" t="s">
        <v>6267</v>
      </c>
      <c r="F3292"/>
      <c r="G3292" s="17" t="s">
        <v>2</v>
      </c>
      <c r="H3292" s="132">
        <v>46087</v>
      </c>
      <c r="I3292" s="127" t="s">
        <v>3329</v>
      </c>
      <c r="J3292"/>
      <c r="K3292"/>
      <c r="L3292"/>
    </row>
    <row r="3293" spans="1:12">
      <c r="A3293" s="95" t="s">
        <v>2991</v>
      </c>
      <c r="B3293" t="s">
        <v>6179</v>
      </c>
      <c r="C3293" s="92"/>
      <c r="D3293" s="17" t="s">
        <v>6268</v>
      </c>
      <c r="E3293" s="93" t="s">
        <v>6269</v>
      </c>
      <c r="F3293"/>
      <c r="G3293" s="17" t="s">
        <v>6</v>
      </c>
      <c r="H3293" s="132">
        <v>46087</v>
      </c>
      <c r="I3293" s="127" t="s">
        <v>4350</v>
      </c>
      <c r="J3293"/>
      <c r="K3293"/>
      <c r="L3293"/>
    </row>
    <row r="3294" spans="1:12">
      <c r="A3294" s="95" t="s">
        <v>2991</v>
      </c>
      <c r="B3294" t="s">
        <v>6179</v>
      </c>
      <c r="C3294" s="92"/>
      <c r="D3294" s="17" t="s">
        <v>6270</v>
      </c>
      <c r="E3294" s="93" t="s">
        <v>6271</v>
      </c>
      <c r="F3294"/>
      <c r="G3294" s="17" t="s">
        <v>6</v>
      </c>
      <c r="H3294" s="132">
        <v>46087</v>
      </c>
      <c r="I3294" s="127" t="s">
        <v>4351</v>
      </c>
      <c r="J3294"/>
      <c r="K3294"/>
      <c r="L3294"/>
    </row>
    <row r="3295" spans="1:12">
      <c r="A3295" s="95" t="s">
        <v>2991</v>
      </c>
      <c r="B3295" t="s">
        <v>6179</v>
      </c>
      <c r="C3295" s="92" t="s">
        <v>6272</v>
      </c>
      <c r="D3295" s="17" t="s">
        <v>6273</v>
      </c>
      <c r="E3295" s="93" t="s">
        <v>6274</v>
      </c>
      <c r="F3295"/>
      <c r="G3295" s="17" t="s">
        <v>1</v>
      </c>
      <c r="H3295" s="132">
        <v>46087</v>
      </c>
      <c r="I3295" s="127" t="s">
        <v>6275</v>
      </c>
      <c r="J3295"/>
      <c r="K3295"/>
      <c r="L3295" t="s">
        <v>6276</v>
      </c>
    </row>
    <row r="3296" spans="1:12">
      <c r="A3296" s="95" t="s">
        <v>2991</v>
      </c>
      <c r="B3296" t="s">
        <v>6179</v>
      </c>
      <c r="C3296" s="92"/>
      <c r="D3296" s="17" t="s">
        <v>6277</v>
      </c>
      <c r="E3296" s="93" t="s">
        <v>6278</v>
      </c>
      <c r="F3296"/>
      <c r="G3296" s="17" t="s">
        <v>1</v>
      </c>
      <c r="H3296" s="132">
        <v>46087</v>
      </c>
      <c r="I3296" s="127" t="s">
        <v>5922</v>
      </c>
      <c r="J3296"/>
      <c r="K3296"/>
      <c r="L3296" t="s">
        <v>6279</v>
      </c>
    </row>
    <row r="3297" spans="1:12">
      <c r="A3297" s="95" t="s">
        <v>2991</v>
      </c>
      <c r="B3297" t="s">
        <v>6179</v>
      </c>
      <c r="C3297" s="92" t="s">
        <v>6280</v>
      </c>
      <c r="D3297" s="17" t="s">
        <v>6281</v>
      </c>
      <c r="E3297" s="93" t="s">
        <v>6282</v>
      </c>
      <c r="F3297"/>
      <c r="G3297" s="17" t="s">
        <v>1</v>
      </c>
      <c r="H3297" s="132">
        <v>46087</v>
      </c>
      <c r="I3297" s="127" t="s">
        <v>3350</v>
      </c>
      <c r="J3297"/>
      <c r="K3297"/>
      <c r="L3297"/>
    </row>
    <row r="3298" spans="1:12">
      <c r="A3298" s="95" t="s">
        <v>2991</v>
      </c>
      <c r="B3298" t="s">
        <v>6179</v>
      </c>
      <c r="C3298" s="92"/>
      <c r="D3298" s="17" t="s">
        <v>6283</v>
      </c>
      <c r="E3298" s="93" t="s">
        <v>6284</v>
      </c>
      <c r="F3298"/>
      <c r="G3298" s="17" t="s">
        <v>6</v>
      </c>
      <c r="H3298" s="132">
        <v>46090</v>
      </c>
      <c r="I3298" s="127" t="s">
        <v>4582</v>
      </c>
      <c r="J3298"/>
      <c r="K3298"/>
      <c r="L3298"/>
    </row>
    <row r="3299" spans="1:12">
      <c r="A3299" s="95" t="s">
        <v>2991</v>
      </c>
      <c r="B3299" t="s">
        <v>6179</v>
      </c>
      <c r="C3299" s="92"/>
      <c r="D3299" s="17" t="s">
        <v>6285</v>
      </c>
      <c r="E3299" s="93" t="s">
        <v>5517</v>
      </c>
      <c r="F3299"/>
      <c r="G3299" s="17" t="s">
        <v>6</v>
      </c>
      <c r="H3299" s="132">
        <v>46090</v>
      </c>
      <c r="I3299" s="127" t="s">
        <v>3316</v>
      </c>
      <c r="J3299"/>
      <c r="K3299"/>
      <c r="L3299"/>
    </row>
    <row r="3300" spans="1:12">
      <c r="A3300" s="95" t="s">
        <v>2991</v>
      </c>
      <c r="B3300" t="s">
        <v>6179</v>
      </c>
      <c r="C3300" s="92"/>
      <c r="D3300" s="17" t="s">
        <v>6286</v>
      </c>
      <c r="E3300" s="93" t="s">
        <v>6287</v>
      </c>
      <c r="F3300"/>
      <c r="G3300" s="17" t="s">
        <v>6</v>
      </c>
      <c r="H3300" s="132">
        <v>46090</v>
      </c>
      <c r="I3300" s="127" t="s">
        <v>6288</v>
      </c>
      <c r="J3300"/>
      <c r="K3300"/>
      <c r="L3300"/>
    </row>
    <row r="3301" spans="1:12">
      <c r="A3301" s="95" t="s">
        <v>2991</v>
      </c>
      <c r="B3301" t="s">
        <v>6179</v>
      </c>
      <c r="C3301" s="92"/>
      <c r="D3301" s="17" t="s">
        <v>6289</v>
      </c>
      <c r="E3301" s="93" t="s">
        <v>6290</v>
      </c>
      <c r="F3301"/>
      <c r="G3301" s="17" t="s">
        <v>2</v>
      </c>
      <c r="H3301" s="132">
        <v>46090</v>
      </c>
      <c r="I3301" s="127" t="s">
        <v>5917</v>
      </c>
      <c r="J3301"/>
      <c r="K3301"/>
      <c r="L3301"/>
    </row>
    <row r="3302" spans="1:12">
      <c r="A3302" s="95" t="s">
        <v>2991</v>
      </c>
      <c r="B3302" s="151" t="s">
        <v>6291</v>
      </c>
      <c r="C3302" s="92"/>
      <c r="D3302" s="17" t="s">
        <v>6292</v>
      </c>
      <c r="E3302" s="93" t="s">
        <v>6293</v>
      </c>
      <c r="F3302"/>
      <c r="G3302" s="17" t="s">
        <v>1</v>
      </c>
      <c r="H3302" s="132">
        <v>46086</v>
      </c>
      <c r="J3302"/>
      <c r="K3302"/>
      <c r="L3302"/>
    </row>
    <row r="3303" spans="1:12">
      <c r="A3303" s="95" t="s">
        <v>2991</v>
      </c>
      <c r="B3303" s="151" t="s">
        <v>6291</v>
      </c>
      <c r="C3303" s="92"/>
      <c r="D3303" s="17" t="s">
        <v>6294</v>
      </c>
      <c r="E3303" s="93">
        <v>67805057</v>
      </c>
      <c r="F3303"/>
      <c r="G3303" s="17" t="s">
        <v>6</v>
      </c>
      <c r="H3303" s="132">
        <v>46086</v>
      </c>
      <c r="J3303"/>
      <c r="K3303"/>
      <c r="L3303"/>
    </row>
    <row r="3304" spans="1:12">
      <c r="A3304" s="95" t="s">
        <v>2991</v>
      </c>
      <c r="B3304" s="151" t="s">
        <v>6291</v>
      </c>
      <c r="C3304" s="92"/>
      <c r="D3304" s="17" t="s">
        <v>6295</v>
      </c>
      <c r="E3304" s="93">
        <v>66558221</v>
      </c>
      <c r="F3304"/>
      <c r="G3304" s="17" t="s">
        <v>3</v>
      </c>
      <c r="H3304" s="132">
        <v>46086</v>
      </c>
      <c r="J3304"/>
      <c r="K3304"/>
      <c r="L3304"/>
    </row>
    <row r="3305" spans="1:12">
      <c r="A3305" s="95" t="s">
        <v>2991</v>
      </c>
      <c r="B3305" s="151" t="s">
        <v>6291</v>
      </c>
      <c r="C3305" s="92"/>
      <c r="D3305" s="17" t="s">
        <v>6296</v>
      </c>
      <c r="E3305" s="93">
        <v>64221913</v>
      </c>
      <c r="F3305"/>
      <c r="G3305" s="17" t="s">
        <v>2</v>
      </c>
      <c r="H3305" s="132">
        <v>46086</v>
      </c>
      <c r="J3305"/>
      <c r="K3305"/>
      <c r="L3305"/>
    </row>
    <row r="3306" spans="1:12">
      <c r="A3306" s="95" t="s">
        <v>2991</v>
      </c>
      <c r="B3306" s="151" t="s">
        <v>6291</v>
      </c>
      <c r="C3306" s="92"/>
      <c r="D3306" s="17" t="s">
        <v>6297</v>
      </c>
      <c r="E3306" s="93">
        <v>64276350</v>
      </c>
      <c r="F3306"/>
      <c r="G3306" s="17" t="s">
        <v>1</v>
      </c>
      <c r="H3306" s="132">
        <v>46086</v>
      </c>
      <c r="J3306"/>
      <c r="K3306"/>
      <c r="L3306"/>
    </row>
    <row r="3307" spans="1:12">
      <c r="A3307" s="95" t="s">
        <v>2991</v>
      </c>
      <c r="B3307" s="151" t="s">
        <v>6291</v>
      </c>
      <c r="C3307" s="92"/>
      <c r="D3307" s="17" t="s">
        <v>6298</v>
      </c>
      <c r="E3307" s="93" t="s">
        <v>6299</v>
      </c>
      <c r="F3307"/>
      <c r="G3307" s="17" t="s">
        <v>6</v>
      </c>
      <c r="H3307" s="132">
        <v>46086</v>
      </c>
      <c r="J3307"/>
      <c r="K3307"/>
      <c r="L3307"/>
    </row>
    <row r="3308" spans="1:12">
      <c r="A3308" s="95" t="s">
        <v>2991</v>
      </c>
      <c r="B3308" s="151" t="s">
        <v>6291</v>
      </c>
      <c r="C3308" s="92"/>
      <c r="D3308" s="17" t="s">
        <v>6300</v>
      </c>
      <c r="E3308" s="93">
        <v>66004781</v>
      </c>
      <c r="F3308"/>
      <c r="G3308" s="17" t="s">
        <v>2</v>
      </c>
      <c r="H3308" s="132">
        <v>46086</v>
      </c>
      <c r="J3308"/>
      <c r="K3308"/>
      <c r="L3308"/>
    </row>
    <row r="3309" spans="1:12">
      <c r="A3309" s="95" t="s">
        <v>2991</v>
      </c>
      <c r="B3309" s="151" t="s">
        <v>6291</v>
      </c>
      <c r="C3309" s="92"/>
      <c r="D3309" s="17" t="s">
        <v>6301</v>
      </c>
      <c r="E3309" s="93" t="s">
        <v>6302</v>
      </c>
      <c r="F3309"/>
      <c r="G3309" s="17" t="s">
        <v>1</v>
      </c>
      <c r="H3309" s="132">
        <v>46086</v>
      </c>
      <c r="J3309"/>
      <c r="K3309"/>
      <c r="L3309"/>
    </row>
    <row r="3310" spans="1:12">
      <c r="A3310" s="95" t="s">
        <v>2991</v>
      </c>
      <c r="B3310" s="151" t="s">
        <v>6291</v>
      </c>
      <c r="C3310" s="92"/>
      <c r="D3310" s="17" t="s">
        <v>6303</v>
      </c>
      <c r="E3310" s="93" t="s">
        <v>6304</v>
      </c>
      <c r="F3310"/>
      <c r="G3310" s="17" t="s">
        <v>3</v>
      </c>
      <c r="H3310" s="132">
        <v>46086</v>
      </c>
      <c r="J3310"/>
      <c r="K3310"/>
      <c r="L3310"/>
    </row>
    <row r="3311" spans="1:12">
      <c r="A3311" s="95" t="s">
        <v>2991</v>
      </c>
      <c r="B3311" s="151" t="s">
        <v>6291</v>
      </c>
      <c r="C3311" s="92"/>
      <c r="D3311" s="17" t="s">
        <v>6305</v>
      </c>
      <c r="E3311" s="93" t="s">
        <v>6306</v>
      </c>
      <c r="F3311"/>
      <c r="G3311" s="17" t="s">
        <v>1</v>
      </c>
      <c r="H3311" s="132">
        <v>46086</v>
      </c>
      <c r="J3311"/>
      <c r="K3311"/>
      <c r="L3311"/>
    </row>
    <row r="3312" spans="1:12">
      <c r="A3312" s="95" t="s">
        <v>2991</v>
      </c>
      <c r="B3312" s="151" t="s">
        <v>6291</v>
      </c>
      <c r="C3312" s="87" t="s">
        <v>1111</v>
      </c>
      <c r="D3312" s="88"/>
      <c r="E3312" s="89">
        <v>68266372</v>
      </c>
      <c r="F3312"/>
      <c r="G3312" s="17" t="s">
        <v>6</v>
      </c>
      <c r="H3312" s="132">
        <v>46086</v>
      </c>
      <c r="J3312"/>
      <c r="K3312"/>
      <c r="L3312"/>
    </row>
    <row r="3313" spans="1:12">
      <c r="A3313" s="95" t="s">
        <v>2991</v>
      </c>
      <c r="B3313" s="151" t="s">
        <v>6291</v>
      </c>
      <c r="C3313" s="87" t="s">
        <v>1112</v>
      </c>
      <c r="D3313" s="88"/>
      <c r="E3313" s="89">
        <v>7096633</v>
      </c>
      <c r="F3313"/>
      <c r="G3313" s="17" t="s">
        <v>3</v>
      </c>
      <c r="H3313" s="132">
        <v>46086</v>
      </c>
      <c r="J3313"/>
      <c r="K3313"/>
      <c r="L3313"/>
    </row>
    <row r="3314" spans="1:12">
      <c r="A3314" s="95" t="s">
        <v>2991</v>
      </c>
      <c r="B3314" s="152" t="s">
        <v>6291</v>
      </c>
      <c r="C3314" s="87" t="s">
        <v>1113</v>
      </c>
      <c r="D3314" s="88"/>
      <c r="E3314" s="89">
        <v>60455073</v>
      </c>
      <c r="F3314"/>
      <c r="G3314" s="17" t="s">
        <v>2</v>
      </c>
      <c r="H3314" s="132">
        <v>46086</v>
      </c>
      <c r="J3314"/>
      <c r="K3314"/>
      <c r="L3314"/>
    </row>
    <row r="3315" spans="1:12">
      <c r="A3315" s="95" t="s">
        <v>2991</v>
      </c>
      <c r="B3315" s="151" t="s">
        <v>6291</v>
      </c>
      <c r="C3315" s="87" t="s">
        <v>1114</v>
      </c>
      <c r="D3315" s="88"/>
      <c r="E3315" s="89">
        <v>65183650</v>
      </c>
      <c r="F3315"/>
      <c r="G3315" s="17" t="s">
        <v>3</v>
      </c>
      <c r="H3315" s="132">
        <v>46086</v>
      </c>
      <c r="J3315"/>
      <c r="K3315"/>
      <c r="L3315"/>
    </row>
    <row r="3316" spans="1:12">
      <c r="A3316" s="95" t="s">
        <v>2991</v>
      </c>
      <c r="B3316" s="151" t="s">
        <v>6291</v>
      </c>
      <c r="C3316" s="87" t="s">
        <v>1115</v>
      </c>
      <c r="D3316" s="88"/>
      <c r="E3316" s="89">
        <v>7752965</v>
      </c>
      <c r="F3316"/>
      <c r="G3316" s="17" t="s">
        <v>8</v>
      </c>
      <c r="H3316" s="132">
        <v>46086</v>
      </c>
      <c r="J3316"/>
      <c r="K3316"/>
      <c r="L3316"/>
    </row>
    <row r="3317" spans="1:12">
      <c r="A3317" s="95" t="s">
        <v>2991</v>
      </c>
      <c r="B3317" s="151" t="s">
        <v>6291</v>
      </c>
      <c r="C3317" s="87" t="s">
        <v>1116</v>
      </c>
      <c r="D3317" s="88"/>
      <c r="E3317" s="89">
        <v>7304749</v>
      </c>
      <c r="F3317"/>
      <c r="G3317" s="17" t="s">
        <v>8</v>
      </c>
      <c r="H3317" s="132">
        <v>46086</v>
      </c>
      <c r="J3317"/>
      <c r="K3317"/>
      <c r="L3317"/>
    </row>
    <row r="3318" spans="1:12">
      <c r="A3318" s="95" t="s">
        <v>2991</v>
      </c>
      <c r="B3318" s="151" t="s">
        <v>6291</v>
      </c>
      <c r="C3318" s="87" t="s">
        <v>1117</v>
      </c>
      <c r="D3318" s="88"/>
      <c r="E3318" s="89">
        <v>7774179</v>
      </c>
      <c r="F3318"/>
      <c r="G3318" s="17" t="s">
        <v>6</v>
      </c>
      <c r="H3318" s="132">
        <v>46086</v>
      </c>
      <c r="J3318"/>
      <c r="K3318"/>
      <c r="L3318"/>
    </row>
    <row r="3319" spans="1:12">
      <c r="A3319" s="95" t="s">
        <v>2991</v>
      </c>
      <c r="B3319" s="151" t="s">
        <v>6291</v>
      </c>
      <c r="C3319" s="87" t="s">
        <v>1118</v>
      </c>
      <c r="D3319" s="88"/>
      <c r="E3319" s="89">
        <v>62411557</v>
      </c>
      <c r="F3319"/>
      <c r="G3319" s="17" t="s">
        <v>6</v>
      </c>
      <c r="H3319" s="132">
        <v>46086</v>
      </c>
      <c r="J3319"/>
      <c r="K3319"/>
      <c r="L3319"/>
    </row>
    <row r="3320" spans="1:12">
      <c r="A3320" s="95" t="s">
        <v>2991</v>
      </c>
      <c r="B3320" s="151" t="s">
        <v>6291</v>
      </c>
      <c r="C3320" s="87" t="s">
        <v>1119</v>
      </c>
      <c r="D3320" s="88"/>
      <c r="E3320" s="89">
        <v>65332053</v>
      </c>
      <c r="F3320"/>
      <c r="G3320" s="17" t="s">
        <v>6</v>
      </c>
      <c r="H3320" s="132">
        <v>46086</v>
      </c>
      <c r="J3320"/>
      <c r="K3320"/>
      <c r="L3320"/>
    </row>
    <row r="3321" spans="1:12">
      <c r="A3321" s="95" t="s">
        <v>2991</v>
      </c>
      <c r="B3321" s="151" t="s">
        <v>6291</v>
      </c>
      <c r="C3321" s="87" t="s">
        <v>1120</v>
      </c>
      <c r="D3321" s="88"/>
      <c r="E3321" s="89">
        <v>7770481</v>
      </c>
      <c r="F3321"/>
      <c r="G3321" s="17" t="s">
        <v>3</v>
      </c>
      <c r="H3321" s="132">
        <v>46086</v>
      </c>
      <c r="J3321"/>
      <c r="K3321"/>
      <c r="L3321"/>
    </row>
    <row r="3322" spans="1:12">
      <c r="A3322" s="95" t="s">
        <v>2991</v>
      </c>
      <c r="B3322" s="151" t="s">
        <v>6291</v>
      </c>
      <c r="C3322" s="87" t="s">
        <v>1121</v>
      </c>
      <c r="D3322" s="88"/>
      <c r="E3322" s="89">
        <v>64864921</v>
      </c>
      <c r="F3322"/>
      <c r="G3322" s="17" t="s">
        <v>2</v>
      </c>
      <c r="H3322" s="132">
        <v>46086</v>
      </c>
      <c r="J3322"/>
      <c r="K3322"/>
      <c r="L3322"/>
    </row>
    <row r="3323" spans="1:12">
      <c r="A3323" s="95" t="s">
        <v>2991</v>
      </c>
      <c r="B3323" s="151" t="s">
        <v>6291</v>
      </c>
      <c r="C3323" s="87" t="s">
        <v>1122</v>
      </c>
      <c r="D3323" s="88"/>
      <c r="E3323" s="89">
        <v>63235388</v>
      </c>
      <c r="F3323"/>
      <c r="G3323" s="17" t="s">
        <v>2</v>
      </c>
      <c r="H3323" s="132">
        <v>46086</v>
      </c>
      <c r="J3323"/>
      <c r="K3323"/>
      <c r="L3323"/>
    </row>
    <row r="3324" spans="1:12">
      <c r="A3324" s="95" t="s">
        <v>2991</v>
      </c>
      <c r="B3324" s="151" t="s">
        <v>6291</v>
      </c>
      <c r="C3324" s="87" t="s">
        <v>1123</v>
      </c>
      <c r="D3324" s="88"/>
      <c r="E3324" s="89">
        <v>67959784</v>
      </c>
      <c r="F3324" s="99" t="s">
        <v>6307</v>
      </c>
      <c r="G3324" s="17" t="s">
        <v>1</v>
      </c>
      <c r="H3324" s="132">
        <v>46086</v>
      </c>
      <c r="J3324"/>
      <c r="K3324"/>
      <c r="L3324"/>
    </row>
    <row r="3325" spans="1:12">
      <c r="A3325" s="95" t="s">
        <v>2991</v>
      </c>
      <c r="B3325" s="151" t="s">
        <v>6291</v>
      </c>
      <c r="C3325" s="87" t="s">
        <v>1124</v>
      </c>
      <c r="D3325" s="88"/>
      <c r="E3325" s="89">
        <v>69900499</v>
      </c>
      <c r="F3325"/>
      <c r="G3325" s="17" t="s">
        <v>2</v>
      </c>
      <c r="H3325" s="132">
        <v>46087</v>
      </c>
      <c r="J3325"/>
      <c r="K3325"/>
      <c r="L3325"/>
    </row>
    <row r="3326" spans="1:12">
      <c r="A3326" s="95" t="s">
        <v>2991</v>
      </c>
      <c r="B3326" s="151" t="s">
        <v>6291</v>
      </c>
      <c r="C3326" s="87" t="s">
        <v>1125</v>
      </c>
      <c r="D3326" s="88"/>
      <c r="E3326" s="89">
        <v>66736473</v>
      </c>
      <c r="F3326"/>
      <c r="G3326" s="17" t="s">
        <v>1</v>
      </c>
      <c r="H3326" s="132">
        <v>46087</v>
      </c>
      <c r="J3326"/>
      <c r="K3326"/>
      <c r="L3326"/>
    </row>
    <row r="3327" spans="1:12">
      <c r="A3327" s="95" t="s">
        <v>2991</v>
      </c>
      <c r="B3327" s="151" t="s">
        <v>6291</v>
      </c>
      <c r="C3327" s="87" t="s">
        <v>1126</v>
      </c>
      <c r="D3327" s="88"/>
      <c r="E3327" s="89">
        <v>68083506</v>
      </c>
      <c r="F3327"/>
      <c r="G3327" s="17" t="s">
        <v>2</v>
      </c>
      <c r="H3327" s="132">
        <v>46087</v>
      </c>
      <c r="J3327"/>
      <c r="K3327"/>
      <c r="L3327"/>
    </row>
    <row r="3328" spans="1:12">
      <c r="A3328" s="95" t="s">
        <v>2991</v>
      </c>
      <c r="B3328" s="151" t="s">
        <v>6291</v>
      </c>
      <c r="C3328" s="87" t="s">
        <v>1127</v>
      </c>
      <c r="D3328" s="88"/>
      <c r="E3328" s="89">
        <v>66618864</v>
      </c>
      <c r="F3328"/>
      <c r="G3328" s="17" t="s">
        <v>1</v>
      </c>
      <c r="H3328" s="132">
        <v>46087</v>
      </c>
      <c r="J3328"/>
      <c r="K3328"/>
      <c r="L3328"/>
    </row>
    <row r="3329" spans="1:12">
      <c r="A3329" s="95" t="s">
        <v>2991</v>
      </c>
      <c r="B3329" s="151" t="s">
        <v>6291</v>
      </c>
      <c r="C3329" s="87" t="s">
        <v>1128</v>
      </c>
      <c r="D3329" s="88"/>
      <c r="E3329" s="89">
        <v>65147306</v>
      </c>
      <c r="F3329"/>
      <c r="G3329" s="17" t="s">
        <v>2</v>
      </c>
      <c r="H3329" s="132">
        <v>46087</v>
      </c>
      <c r="J3329"/>
      <c r="K3329"/>
      <c r="L3329"/>
    </row>
    <row r="3330" spans="1:12">
      <c r="A3330" s="95" t="s">
        <v>2991</v>
      </c>
      <c r="B3330" s="151" t="s">
        <v>6291</v>
      </c>
      <c r="C3330" s="87" t="s">
        <v>1129</v>
      </c>
      <c r="D3330" s="88"/>
      <c r="E3330" s="89">
        <v>64106967</v>
      </c>
      <c r="F3330"/>
      <c r="G3330" s="17" t="s">
        <v>6</v>
      </c>
      <c r="H3330" s="132">
        <v>46087</v>
      </c>
      <c r="J3330"/>
      <c r="K3330"/>
      <c r="L3330"/>
    </row>
    <row r="3331" spans="1:12">
      <c r="A3331" s="95" t="s">
        <v>2991</v>
      </c>
      <c r="B3331" s="151" t="s">
        <v>6291</v>
      </c>
      <c r="C3331" s="87" t="s">
        <v>1130</v>
      </c>
      <c r="D3331" s="88"/>
      <c r="E3331" s="89">
        <v>69661722</v>
      </c>
      <c r="F3331"/>
      <c r="G3331" s="17" t="s">
        <v>1</v>
      </c>
      <c r="H3331" s="132">
        <v>46087</v>
      </c>
      <c r="J3331"/>
      <c r="K3331"/>
      <c r="L3331"/>
    </row>
    <row r="3332" spans="1:12">
      <c r="A3332" s="95" t="s">
        <v>2991</v>
      </c>
      <c r="B3332" s="151" t="s">
        <v>6291</v>
      </c>
      <c r="C3332" s="87" t="s">
        <v>1131</v>
      </c>
      <c r="D3332" s="88"/>
      <c r="E3332" s="89">
        <v>69123287</v>
      </c>
      <c r="F3332"/>
      <c r="G3332" s="17" t="s">
        <v>1</v>
      </c>
      <c r="H3332" s="132">
        <v>46087</v>
      </c>
      <c r="J3332"/>
      <c r="K3332"/>
      <c r="L3332"/>
    </row>
    <row r="3333" spans="1:12">
      <c r="A3333" s="95" t="s">
        <v>2991</v>
      </c>
      <c r="B3333" s="151" t="s">
        <v>6291</v>
      </c>
      <c r="C3333" s="87" t="s">
        <v>1132</v>
      </c>
      <c r="D3333" s="88"/>
      <c r="E3333" s="89">
        <v>7702715</v>
      </c>
      <c r="F3333"/>
      <c r="G3333" s="17" t="s">
        <v>6</v>
      </c>
      <c r="H3333" s="132">
        <v>46087</v>
      </c>
      <c r="J3333"/>
      <c r="K3333"/>
      <c r="L3333"/>
    </row>
    <row r="3334" spans="1:12">
      <c r="A3334" s="95" t="s">
        <v>2991</v>
      </c>
      <c r="B3334" s="151" t="s">
        <v>6291</v>
      </c>
      <c r="C3334" s="87" t="s">
        <v>1133</v>
      </c>
      <c r="D3334" s="88"/>
      <c r="E3334" s="89">
        <v>66731064</v>
      </c>
      <c r="F3334"/>
      <c r="G3334" s="17" t="s">
        <v>2</v>
      </c>
      <c r="H3334" s="132">
        <v>46087</v>
      </c>
      <c r="J3334"/>
      <c r="K3334"/>
      <c r="L3334"/>
    </row>
    <row r="3335" spans="1:12">
      <c r="A3335" s="95" t="s">
        <v>2991</v>
      </c>
      <c r="B3335" s="151" t="s">
        <v>6291</v>
      </c>
      <c r="C3335" s="87" t="s">
        <v>1134</v>
      </c>
      <c r="D3335" s="88"/>
      <c r="E3335" s="89">
        <v>7758960</v>
      </c>
      <c r="F3335"/>
      <c r="G3335" s="17" t="s">
        <v>6</v>
      </c>
      <c r="H3335" s="132">
        <v>46087</v>
      </c>
      <c r="J3335"/>
      <c r="K3335"/>
      <c r="L3335"/>
    </row>
    <row r="3336" spans="1:12">
      <c r="A3336" s="95" t="s">
        <v>2991</v>
      </c>
      <c r="B3336" s="151" t="s">
        <v>6291</v>
      </c>
      <c r="C3336" s="87" t="s">
        <v>1135</v>
      </c>
      <c r="D3336" s="88"/>
      <c r="E3336" s="89">
        <v>69721520</v>
      </c>
      <c r="F3336"/>
      <c r="G3336" s="17" t="s">
        <v>2</v>
      </c>
      <c r="H3336" s="132">
        <v>46087</v>
      </c>
      <c r="J3336"/>
      <c r="K3336"/>
      <c r="L3336"/>
    </row>
    <row r="3337" spans="1:12">
      <c r="A3337" s="95" t="s">
        <v>2991</v>
      </c>
      <c r="B3337" s="151" t="s">
        <v>6291</v>
      </c>
      <c r="C3337" s="87" t="s">
        <v>1136</v>
      </c>
      <c r="D3337" s="88"/>
      <c r="E3337" s="89">
        <v>68570869</v>
      </c>
      <c r="F3337"/>
      <c r="G3337" s="17" t="s">
        <v>2</v>
      </c>
      <c r="H3337" s="132">
        <v>46087</v>
      </c>
      <c r="J3337"/>
      <c r="K3337"/>
      <c r="L3337"/>
    </row>
    <row r="3338" spans="1:12">
      <c r="A3338" s="95" t="s">
        <v>2991</v>
      </c>
      <c r="B3338" s="151" t="s">
        <v>6291</v>
      </c>
      <c r="C3338" s="87" t="s">
        <v>1137</v>
      </c>
      <c r="D3338" s="88"/>
      <c r="E3338" s="89">
        <v>66366586</v>
      </c>
      <c r="F3338"/>
      <c r="G3338" s="17" t="s">
        <v>1</v>
      </c>
      <c r="H3338" s="132">
        <v>46087</v>
      </c>
      <c r="J3338"/>
      <c r="K3338"/>
      <c r="L3338"/>
    </row>
    <row r="3339" spans="1:12">
      <c r="A3339" s="95" t="s">
        <v>2991</v>
      </c>
      <c r="B3339" s="151" t="s">
        <v>6291</v>
      </c>
      <c r="C3339" s="87" t="s">
        <v>1138</v>
      </c>
      <c r="D3339" s="88"/>
      <c r="E3339" s="89">
        <v>7714333</v>
      </c>
      <c r="F3339"/>
      <c r="G3339" s="17" t="s">
        <v>6</v>
      </c>
      <c r="H3339" s="132">
        <v>46087</v>
      </c>
      <c r="J3339"/>
      <c r="K3339"/>
      <c r="L3339"/>
    </row>
    <row r="3340" spans="1:12">
      <c r="A3340" s="95" t="s">
        <v>2991</v>
      </c>
      <c r="B3340" s="151" t="s">
        <v>6291</v>
      </c>
      <c r="C3340" s="87" t="s">
        <v>1139</v>
      </c>
      <c r="D3340" s="88"/>
      <c r="E3340" s="89">
        <v>64473431</v>
      </c>
      <c r="F3340"/>
      <c r="G3340" s="17" t="s">
        <v>1</v>
      </c>
      <c r="H3340" s="132">
        <v>46087</v>
      </c>
      <c r="J3340"/>
      <c r="K3340"/>
      <c r="L3340"/>
    </row>
    <row r="3341" spans="1:12">
      <c r="A3341" s="95" t="s">
        <v>2991</v>
      </c>
      <c r="B3341" s="151" t="s">
        <v>6291</v>
      </c>
      <c r="C3341" s="87" t="s">
        <v>1140</v>
      </c>
      <c r="D3341" s="88"/>
      <c r="E3341" s="89">
        <v>64820917</v>
      </c>
      <c r="F3341"/>
      <c r="G3341" s="17" t="s">
        <v>6</v>
      </c>
      <c r="H3341" s="132">
        <v>46087</v>
      </c>
      <c r="J3341"/>
      <c r="K3341"/>
      <c r="L3341"/>
    </row>
    <row r="3342" spans="1:12">
      <c r="A3342" s="94" t="s">
        <v>2991</v>
      </c>
      <c r="B3342" t="s">
        <v>6308</v>
      </c>
      <c r="C3342" s="92" t="s">
        <v>6309</v>
      </c>
      <c r="D3342" s="17" t="s">
        <v>6310</v>
      </c>
      <c r="E3342" s="93" t="s">
        <v>6311</v>
      </c>
      <c r="F3342"/>
      <c r="G3342" s="17" t="s">
        <v>3</v>
      </c>
      <c r="H3342" s="132">
        <v>46086</v>
      </c>
      <c r="I3342" s="127" t="s">
        <v>6312</v>
      </c>
      <c r="J3342"/>
      <c r="K3342"/>
      <c r="L3342"/>
    </row>
    <row r="3343" spans="1:12">
      <c r="A3343" s="94" t="s">
        <v>2991</v>
      </c>
      <c r="B3343" t="s">
        <v>6308</v>
      </c>
      <c r="C3343" s="92"/>
      <c r="D3343" s="17" t="s">
        <v>6313</v>
      </c>
      <c r="E3343" s="93" t="s">
        <v>6314</v>
      </c>
      <c r="F3343"/>
      <c r="G3343" s="17" t="s">
        <v>3</v>
      </c>
      <c r="H3343" s="132">
        <v>46086</v>
      </c>
      <c r="I3343" s="127" t="s">
        <v>5833</v>
      </c>
      <c r="J3343"/>
      <c r="K3343"/>
      <c r="L3343" t="s">
        <v>6315</v>
      </c>
    </row>
    <row r="3344" spans="1:12">
      <c r="A3344" s="94" t="s">
        <v>2991</v>
      </c>
      <c r="B3344" t="s">
        <v>6308</v>
      </c>
      <c r="C3344" s="92"/>
      <c r="D3344" s="17" t="s">
        <v>4719</v>
      </c>
      <c r="E3344" s="93" t="s">
        <v>4720</v>
      </c>
      <c r="F3344"/>
      <c r="G3344" s="17" t="s">
        <v>1</v>
      </c>
      <c r="H3344" s="132">
        <v>46086</v>
      </c>
      <c r="I3344" s="127" t="s">
        <v>6316</v>
      </c>
      <c r="J3344"/>
      <c r="K3344"/>
      <c r="L3344"/>
    </row>
    <row r="3345" spans="1:12">
      <c r="A3345" s="94" t="s">
        <v>2991</v>
      </c>
      <c r="B3345" t="s">
        <v>6308</v>
      </c>
      <c r="C3345" s="92"/>
      <c r="D3345" s="17" t="s">
        <v>6317</v>
      </c>
      <c r="E3345" s="93" t="s">
        <v>6318</v>
      </c>
      <c r="F3345"/>
      <c r="G3345" s="17" t="s">
        <v>2</v>
      </c>
      <c r="H3345" s="132">
        <v>46086</v>
      </c>
      <c r="I3345" s="127" t="s">
        <v>6319</v>
      </c>
      <c r="J3345"/>
      <c r="K3345"/>
      <c r="L3345"/>
    </row>
    <row r="3346" spans="1:12">
      <c r="A3346" s="94" t="s">
        <v>2991</v>
      </c>
      <c r="B3346" t="s">
        <v>6308</v>
      </c>
      <c r="C3346" s="92" t="s">
        <v>6320</v>
      </c>
      <c r="D3346" s="17" t="s">
        <v>6321</v>
      </c>
      <c r="E3346" s="93" t="s">
        <v>6322</v>
      </c>
      <c r="F3346"/>
      <c r="G3346" s="17" t="s">
        <v>1</v>
      </c>
      <c r="H3346" s="132">
        <v>46086</v>
      </c>
      <c r="I3346" s="127" t="s">
        <v>6323</v>
      </c>
      <c r="J3346"/>
      <c r="K3346"/>
      <c r="L3346"/>
    </row>
    <row r="3347" spans="1:12">
      <c r="A3347" s="94" t="s">
        <v>2991</v>
      </c>
      <c r="B3347" t="s">
        <v>6308</v>
      </c>
      <c r="C3347" s="92" t="s">
        <v>6324</v>
      </c>
      <c r="D3347" s="17" t="s">
        <v>6325</v>
      </c>
      <c r="E3347" s="93" t="s">
        <v>6326</v>
      </c>
      <c r="F3347"/>
      <c r="G3347" s="17" t="s">
        <v>1</v>
      </c>
      <c r="H3347" s="132">
        <v>46086</v>
      </c>
      <c r="I3347" s="127" t="s">
        <v>6327</v>
      </c>
      <c r="J3347"/>
      <c r="K3347"/>
      <c r="L3347"/>
    </row>
    <row r="3348" spans="1:12">
      <c r="A3348" s="94" t="s">
        <v>2991</v>
      </c>
      <c r="B3348" t="s">
        <v>6308</v>
      </c>
      <c r="C3348" s="92" t="s">
        <v>6328</v>
      </c>
      <c r="D3348" s="17" t="s">
        <v>6329</v>
      </c>
      <c r="E3348" s="93" t="s">
        <v>6306</v>
      </c>
      <c r="F3348"/>
      <c r="G3348" s="17" t="s">
        <v>1</v>
      </c>
      <c r="H3348" s="132">
        <v>46086</v>
      </c>
      <c r="I3348" s="127" t="s">
        <v>6330</v>
      </c>
      <c r="J3348"/>
      <c r="K3348"/>
      <c r="L3348"/>
    </row>
    <row r="3349" spans="1:12">
      <c r="A3349" s="94" t="s">
        <v>2991</v>
      </c>
      <c r="B3349" t="s">
        <v>6308</v>
      </c>
      <c r="C3349" s="92"/>
      <c r="D3349" s="17" t="s">
        <v>6331</v>
      </c>
      <c r="E3349" s="93" t="s">
        <v>6332</v>
      </c>
      <c r="F3349"/>
      <c r="G3349" s="17" t="s">
        <v>6</v>
      </c>
      <c r="H3349" s="132">
        <v>46086</v>
      </c>
      <c r="I3349" s="127" t="s">
        <v>6333</v>
      </c>
      <c r="J3349"/>
      <c r="K3349"/>
      <c r="L3349"/>
    </row>
    <row r="3350" spans="1:12">
      <c r="A3350" s="94" t="s">
        <v>2991</v>
      </c>
      <c r="B3350" t="s">
        <v>6308</v>
      </c>
      <c r="C3350" s="92"/>
      <c r="D3350" s="17" t="s">
        <v>6334</v>
      </c>
      <c r="E3350" s="93" t="s">
        <v>4497</v>
      </c>
      <c r="F3350"/>
      <c r="G3350" s="17" t="s">
        <v>2</v>
      </c>
      <c r="H3350" s="132">
        <v>46087</v>
      </c>
      <c r="I3350" s="127" t="s">
        <v>6335</v>
      </c>
      <c r="J3350"/>
      <c r="K3350"/>
      <c r="L3350"/>
    </row>
    <row r="3351" spans="1:12">
      <c r="A3351" s="94" t="s">
        <v>2991</v>
      </c>
      <c r="B3351" t="s">
        <v>6308</v>
      </c>
      <c r="C3351" s="92"/>
      <c r="D3351" s="17" t="s">
        <v>6336</v>
      </c>
      <c r="E3351" s="93" t="s">
        <v>6337</v>
      </c>
      <c r="F3351"/>
      <c r="G3351" s="17" t="s">
        <v>4</v>
      </c>
      <c r="H3351" s="132">
        <v>46087</v>
      </c>
      <c r="I3351" s="127">
        <v>0.35069444444444442</v>
      </c>
      <c r="J3351"/>
      <c r="K3351"/>
      <c r="L3351" t="s">
        <v>3159</v>
      </c>
    </row>
    <row r="3352" spans="1:12">
      <c r="A3352" s="94" t="s">
        <v>2991</v>
      </c>
      <c r="B3352" t="s">
        <v>6308</v>
      </c>
      <c r="C3352" s="92"/>
      <c r="D3352" s="17" t="s">
        <v>6338</v>
      </c>
      <c r="E3352" s="93" t="s">
        <v>6339</v>
      </c>
      <c r="F3352"/>
      <c r="G3352" s="17" t="s">
        <v>2</v>
      </c>
      <c r="H3352" s="132">
        <v>46087</v>
      </c>
      <c r="I3352" s="127" t="s">
        <v>6340</v>
      </c>
      <c r="J3352"/>
      <c r="K3352"/>
      <c r="L3352"/>
    </row>
    <row r="3353" spans="1:12">
      <c r="A3353" s="94" t="s">
        <v>2991</v>
      </c>
      <c r="B3353" t="s">
        <v>6308</v>
      </c>
      <c r="C3353" s="92"/>
      <c r="D3353" s="17" t="s">
        <v>6341</v>
      </c>
      <c r="E3353" s="93" t="s">
        <v>6342</v>
      </c>
      <c r="F3353"/>
      <c r="G3353" s="17" t="s">
        <v>2</v>
      </c>
      <c r="H3353" s="132">
        <v>46087</v>
      </c>
      <c r="I3353" s="127" t="s">
        <v>6343</v>
      </c>
      <c r="J3353"/>
      <c r="K3353"/>
      <c r="L3353"/>
    </row>
    <row r="3354" spans="1:12">
      <c r="A3354" s="94" t="s">
        <v>2991</v>
      </c>
      <c r="B3354" t="s">
        <v>6308</v>
      </c>
      <c r="C3354" s="92"/>
      <c r="D3354" s="17" t="s">
        <v>6344</v>
      </c>
      <c r="E3354" s="93" t="s">
        <v>6345</v>
      </c>
      <c r="F3354"/>
      <c r="G3354" s="17" t="s">
        <v>6</v>
      </c>
      <c r="H3354" s="132">
        <v>46087</v>
      </c>
      <c r="I3354" s="127" t="s">
        <v>6346</v>
      </c>
      <c r="J3354"/>
      <c r="K3354"/>
      <c r="L3354"/>
    </row>
    <row r="3355" spans="1:12">
      <c r="A3355" s="94" t="s">
        <v>2991</v>
      </c>
      <c r="B3355" t="s">
        <v>6308</v>
      </c>
      <c r="C3355" s="92" t="s">
        <v>6347</v>
      </c>
      <c r="D3355" s="17" t="s">
        <v>6348</v>
      </c>
      <c r="E3355" s="93" t="s">
        <v>6349</v>
      </c>
      <c r="F3355"/>
      <c r="G3355" s="17" t="s">
        <v>1</v>
      </c>
      <c r="H3355" s="132">
        <v>46087</v>
      </c>
      <c r="I3355" s="127" t="s">
        <v>6350</v>
      </c>
      <c r="J3355"/>
      <c r="K3355"/>
      <c r="L3355"/>
    </row>
    <row r="3356" spans="1:12">
      <c r="A3356" s="94" t="s">
        <v>2991</v>
      </c>
      <c r="B3356" t="s">
        <v>6308</v>
      </c>
      <c r="C3356" s="92"/>
      <c r="D3356" s="17" t="s">
        <v>3959</v>
      </c>
      <c r="E3356" s="93" t="s">
        <v>6351</v>
      </c>
      <c r="F3356"/>
      <c r="G3356" s="17" t="s">
        <v>4</v>
      </c>
      <c r="H3356" s="132">
        <v>46087</v>
      </c>
      <c r="I3356" s="127" t="s">
        <v>6352</v>
      </c>
      <c r="J3356"/>
      <c r="K3356"/>
      <c r="L3356" t="s">
        <v>6353</v>
      </c>
    </row>
    <row r="3357" spans="1:12">
      <c r="A3357" s="94" t="s">
        <v>2991</v>
      </c>
      <c r="B3357" t="s">
        <v>6308</v>
      </c>
      <c r="C3357" s="92" t="s">
        <v>6354</v>
      </c>
      <c r="D3357" s="17" t="s">
        <v>6355</v>
      </c>
      <c r="E3357" s="93" t="s">
        <v>6356</v>
      </c>
      <c r="F3357"/>
      <c r="G3357" s="17" t="s">
        <v>1</v>
      </c>
      <c r="H3357" s="132">
        <v>46087</v>
      </c>
      <c r="I3357" s="127" t="s">
        <v>6357</v>
      </c>
      <c r="J3357"/>
      <c r="K3357"/>
      <c r="L3357"/>
    </row>
    <row r="3358" spans="1:12">
      <c r="A3358" s="94" t="s">
        <v>2991</v>
      </c>
      <c r="B3358" t="s">
        <v>6308</v>
      </c>
      <c r="C3358" s="92" t="s">
        <v>6358</v>
      </c>
      <c r="D3358" s="17" t="s">
        <v>6359</v>
      </c>
      <c r="E3358" s="93" t="s">
        <v>6360</v>
      </c>
      <c r="F3358"/>
      <c r="G3358" s="17" t="s">
        <v>3</v>
      </c>
      <c r="H3358" s="132">
        <v>46087</v>
      </c>
      <c r="I3358" s="127" t="s">
        <v>6361</v>
      </c>
      <c r="J3358"/>
      <c r="K3358"/>
      <c r="L3358" t="s">
        <v>6362</v>
      </c>
    </row>
    <row r="3359" spans="1:12">
      <c r="A3359" s="94" t="s">
        <v>2991</v>
      </c>
      <c r="B3359" t="s">
        <v>6308</v>
      </c>
      <c r="C3359" s="92" t="s">
        <v>6363</v>
      </c>
      <c r="D3359" s="17" t="s">
        <v>6364</v>
      </c>
      <c r="E3359" s="93" t="s">
        <v>6365</v>
      </c>
      <c r="F3359"/>
      <c r="G3359" s="17" t="s">
        <v>1</v>
      </c>
      <c r="H3359" s="132">
        <v>46087</v>
      </c>
      <c r="I3359" s="127" t="s">
        <v>6366</v>
      </c>
      <c r="J3359"/>
      <c r="K3359"/>
      <c r="L3359"/>
    </row>
    <row r="3360" spans="1:12">
      <c r="A3360" s="94" t="s">
        <v>2991</v>
      </c>
      <c r="B3360" t="s">
        <v>6308</v>
      </c>
      <c r="C3360" s="92" t="s">
        <v>6367</v>
      </c>
      <c r="D3360" s="17" t="s">
        <v>6368</v>
      </c>
      <c r="E3360" s="93" t="s">
        <v>6369</v>
      </c>
      <c r="F3360"/>
      <c r="G3360" s="17" t="s">
        <v>1</v>
      </c>
      <c r="H3360" s="132">
        <v>46087</v>
      </c>
      <c r="I3360" s="127" t="s">
        <v>6370</v>
      </c>
      <c r="J3360"/>
      <c r="K3360"/>
      <c r="L3360"/>
    </row>
    <row r="3361" spans="1:12">
      <c r="A3361" s="94" t="s">
        <v>2991</v>
      </c>
      <c r="B3361" t="s">
        <v>6308</v>
      </c>
      <c r="C3361" s="92" t="s">
        <v>6371</v>
      </c>
      <c r="D3361" s="17" t="s">
        <v>6372</v>
      </c>
      <c r="E3361" s="93" t="s">
        <v>6373</v>
      </c>
      <c r="F3361"/>
      <c r="G3361" s="17" t="s">
        <v>1</v>
      </c>
      <c r="H3361" s="132">
        <v>46087</v>
      </c>
      <c r="I3361" s="127" t="s">
        <v>6374</v>
      </c>
      <c r="J3361"/>
      <c r="K3361"/>
      <c r="L3361"/>
    </row>
    <row r="3362" spans="1:12">
      <c r="A3362" s="94" t="s">
        <v>2991</v>
      </c>
      <c r="B3362" t="s">
        <v>6308</v>
      </c>
      <c r="C3362" s="92" t="s">
        <v>6375</v>
      </c>
      <c r="D3362" s="17" t="s">
        <v>6376</v>
      </c>
      <c r="E3362" s="93" t="s">
        <v>6377</v>
      </c>
      <c r="F3362"/>
      <c r="G3362" s="17" t="s">
        <v>1</v>
      </c>
      <c r="H3362" s="132">
        <v>46087</v>
      </c>
      <c r="I3362" s="127" t="s">
        <v>6378</v>
      </c>
      <c r="J3362"/>
      <c r="K3362"/>
      <c r="L3362"/>
    </row>
    <row r="3363" spans="1:12">
      <c r="A3363" s="94" t="s">
        <v>2991</v>
      </c>
      <c r="B3363" t="s">
        <v>6308</v>
      </c>
      <c r="C3363" s="92"/>
      <c r="D3363" s="17" t="s">
        <v>6379</v>
      </c>
      <c r="E3363" s="93" t="s">
        <v>6380</v>
      </c>
      <c r="F3363"/>
      <c r="G3363" s="17" t="s">
        <v>4</v>
      </c>
      <c r="H3363" s="132">
        <v>46087</v>
      </c>
      <c r="I3363" s="127" t="s">
        <v>6381</v>
      </c>
      <c r="J3363"/>
      <c r="K3363"/>
      <c r="L3363" t="s">
        <v>6382</v>
      </c>
    </row>
    <row r="3364" spans="1:12">
      <c r="A3364" s="94" t="s">
        <v>2991</v>
      </c>
      <c r="B3364" t="s">
        <v>6308</v>
      </c>
      <c r="C3364" s="92" t="s">
        <v>6383</v>
      </c>
      <c r="D3364" s="17" t="s">
        <v>4724</v>
      </c>
      <c r="E3364" s="93" t="s">
        <v>6384</v>
      </c>
      <c r="F3364"/>
      <c r="G3364" s="17" t="s">
        <v>1</v>
      </c>
      <c r="H3364" s="132">
        <v>46087</v>
      </c>
      <c r="I3364" s="127" t="s">
        <v>6385</v>
      </c>
      <c r="J3364"/>
      <c r="K3364"/>
      <c r="L3364"/>
    </row>
    <row r="3365" spans="1:12">
      <c r="A3365" s="94" t="s">
        <v>2991</v>
      </c>
      <c r="B3365" t="s">
        <v>6308</v>
      </c>
      <c r="C3365" s="92"/>
      <c r="D3365" s="17" t="s">
        <v>6386</v>
      </c>
      <c r="E3365" s="93" t="s">
        <v>6387</v>
      </c>
      <c r="F3365"/>
      <c r="G3365" s="17" t="s">
        <v>2</v>
      </c>
      <c r="H3365" s="132">
        <v>46087</v>
      </c>
      <c r="I3365" s="127" t="s">
        <v>6388</v>
      </c>
      <c r="J3365" s="22">
        <v>46090</v>
      </c>
      <c r="K3365" t="s">
        <v>4348</v>
      </c>
      <c r="L3365"/>
    </row>
    <row r="3366" spans="1:12">
      <c r="A3366" s="94" t="s">
        <v>2991</v>
      </c>
      <c r="B3366" t="s">
        <v>6308</v>
      </c>
      <c r="C3366" s="92" t="s">
        <v>6389</v>
      </c>
      <c r="D3366" s="17" t="s">
        <v>6390</v>
      </c>
      <c r="E3366" s="93" t="s">
        <v>5284</v>
      </c>
      <c r="F3366"/>
      <c r="G3366" s="17" t="s">
        <v>1</v>
      </c>
      <c r="H3366" s="132">
        <v>46087</v>
      </c>
      <c r="I3366" s="127" t="s">
        <v>6391</v>
      </c>
      <c r="J3366"/>
      <c r="K3366"/>
      <c r="L3366"/>
    </row>
    <row r="3367" spans="1:12">
      <c r="A3367" s="94" t="s">
        <v>2991</v>
      </c>
      <c r="B3367" t="s">
        <v>6308</v>
      </c>
      <c r="C3367" s="92"/>
      <c r="D3367" s="17" t="s">
        <v>6392</v>
      </c>
      <c r="E3367" s="93" t="s">
        <v>6393</v>
      </c>
      <c r="F3367"/>
      <c r="G3367" s="17" t="s">
        <v>2</v>
      </c>
      <c r="H3367" s="132">
        <v>46087</v>
      </c>
      <c r="I3367" s="127" t="s">
        <v>6394</v>
      </c>
      <c r="J3367" s="22">
        <v>46090</v>
      </c>
      <c r="K3367" t="s">
        <v>6395</v>
      </c>
      <c r="L3367"/>
    </row>
    <row r="3368" spans="1:12">
      <c r="A3368" s="94" t="s">
        <v>2991</v>
      </c>
      <c r="B3368" t="s">
        <v>6308</v>
      </c>
      <c r="C3368" s="92"/>
      <c r="D3368" s="17" t="s">
        <v>6396</v>
      </c>
      <c r="E3368" s="93" t="s">
        <v>6397</v>
      </c>
      <c r="F3368"/>
      <c r="G3368" s="17" t="s">
        <v>3</v>
      </c>
      <c r="H3368" s="132">
        <v>46087</v>
      </c>
      <c r="I3368" s="127" t="s">
        <v>6398</v>
      </c>
      <c r="J3368"/>
      <c r="K3368"/>
      <c r="L3368" t="s">
        <v>6399</v>
      </c>
    </row>
    <row r="3369" spans="1:12">
      <c r="A3369" s="94" t="s">
        <v>2991</v>
      </c>
      <c r="B3369" t="s">
        <v>6308</v>
      </c>
      <c r="C3369" s="92"/>
      <c r="D3369" s="17" t="s">
        <v>6400</v>
      </c>
      <c r="E3369" s="93" t="s">
        <v>6401</v>
      </c>
      <c r="F3369"/>
      <c r="G3369" s="17" t="s">
        <v>2</v>
      </c>
      <c r="H3369" s="132">
        <v>46087</v>
      </c>
      <c r="I3369" s="127" t="s">
        <v>6402</v>
      </c>
      <c r="J3369" s="22">
        <v>46090</v>
      </c>
      <c r="K3369" s="109">
        <v>0.41944444444444445</v>
      </c>
      <c r="L3369"/>
    </row>
    <row r="3370" spans="1:12">
      <c r="A3370" s="94" t="s">
        <v>2991</v>
      </c>
      <c r="B3370" t="s">
        <v>6308</v>
      </c>
      <c r="C3370" s="92" t="s">
        <v>6403</v>
      </c>
      <c r="D3370" s="17" t="s">
        <v>6404</v>
      </c>
      <c r="E3370" s="93" t="s">
        <v>6405</v>
      </c>
      <c r="F3370"/>
      <c r="G3370" s="17" t="s">
        <v>1</v>
      </c>
      <c r="H3370" s="132">
        <v>46087</v>
      </c>
      <c r="I3370" s="127" t="s">
        <v>3294</v>
      </c>
      <c r="J3370"/>
      <c r="K3370"/>
      <c r="L3370"/>
    </row>
    <row r="3371" spans="1:12">
      <c r="A3371" s="94" t="s">
        <v>2991</v>
      </c>
      <c r="B3371" t="s">
        <v>6308</v>
      </c>
      <c r="C3371" s="92" t="s">
        <v>6406</v>
      </c>
      <c r="D3371" s="17" t="s">
        <v>6407</v>
      </c>
      <c r="E3371" s="93" t="s">
        <v>6408</v>
      </c>
      <c r="F3371"/>
      <c r="G3371" s="17" t="s">
        <v>1</v>
      </c>
      <c r="H3371" s="132">
        <v>46087</v>
      </c>
      <c r="I3371" s="127" t="s">
        <v>6409</v>
      </c>
      <c r="J3371"/>
      <c r="K3371"/>
      <c r="L3371"/>
    </row>
    <row r="3372" spans="1:12">
      <c r="A3372" s="94" t="s">
        <v>2991</v>
      </c>
      <c r="B3372" t="s">
        <v>6308</v>
      </c>
      <c r="C3372" s="92" t="s">
        <v>6410</v>
      </c>
      <c r="D3372" s="17" t="s">
        <v>6411</v>
      </c>
      <c r="E3372" s="93" t="s">
        <v>6412</v>
      </c>
      <c r="F3372"/>
      <c r="G3372" s="17" t="s">
        <v>1</v>
      </c>
      <c r="H3372" s="132">
        <v>46087</v>
      </c>
      <c r="I3372" s="127" t="s">
        <v>5062</v>
      </c>
      <c r="J3372"/>
      <c r="K3372"/>
      <c r="L3372"/>
    </row>
    <row r="3373" spans="1:12">
      <c r="A3373" s="94" t="s">
        <v>2991</v>
      </c>
      <c r="B3373" t="s">
        <v>6308</v>
      </c>
      <c r="C3373" s="92" t="s">
        <v>6413</v>
      </c>
      <c r="D3373" s="17" t="s">
        <v>6414</v>
      </c>
      <c r="E3373" s="93" t="s">
        <v>6415</v>
      </c>
      <c r="F3373"/>
      <c r="G3373" s="17" t="s">
        <v>1</v>
      </c>
      <c r="H3373" s="132">
        <v>46087</v>
      </c>
      <c r="I3373" s="127" t="s">
        <v>6416</v>
      </c>
      <c r="J3373"/>
      <c r="K3373"/>
      <c r="L3373"/>
    </row>
    <row r="3374" spans="1:12">
      <c r="A3374" s="94" t="s">
        <v>2991</v>
      </c>
      <c r="B3374" t="s">
        <v>6308</v>
      </c>
      <c r="C3374" s="92" t="s">
        <v>6417</v>
      </c>
      <c r="D3374" s="17" t="s">
        <v>6418</v>
      </c>
      <c r="E3374" s="93" t="s">
        <v>6419</v>
      </c>
      <c r="F3374"/>
      <c r="G3374" s="17" t="s">
        <v>1</v>
      </c>
      <c r="H3374" s="132">
        <v>46087</v>
      </c>
      <c r="J3374"/>
      <c r="K3374"/>
      <c r="L3374"/>
    </row>
    <row r="3375" spans="1:12">
      <c r="A3375" s="94" t="s">
        <v>2991</v>
      </c>
      <c r="B3375" t="s">
        <v>6308</v>
      </c>
      <c r="C3375" s="92"/>
      <c r="D3375" s="17" t="s">
        <v>6420</v>
      </c>
      <c r="E3375" s="93" t="s">
        <v>6421</v>
      </c>
      <c r="F3375"/>
      <c r="G3375" s="17" t="s">
        <v>2</v>
      </c>
      <c r="H3375" s="132">
        <v>46087</v>
      </c>
      <c r="J3375" s="22">
        <v>46090</v>
      </c>
      <c r="K3375" t="s">
        <v>6422</v>
      </c>
      <c r="L3375" t="s">
        <v>6423</v>
      </c>
    </row>
    <row r="3376" spans="1:12">
      <c r="A3376" s="94" t="s">
        <v>2991</v>
      </c>
      <c r="B3376" t="s">
        <v>6308</v>
      </c>
      <c r="C3376" s="92"/>
      <c r="D3376" s="17" t="s">
        <v>6424</v>
      </c>
      <c r="E3376" s="93" t="s">
        <v>6425</v>
      </c>
      <c r="F3376"/>
      <c r="G3376" s="17" t="s">
        <v>1</v>
      </c>
      <c r="H3376" s="132">
        <v>46087</v>
      </c>
      <c r="J3376"/>
      <c r="K3376"/>
      <c r="L3376"/>
    </row>
    <row r="3377" spans="1:12">
      <c r="A3377" s="94" t="s">
        <v>2991</v>
      </c>
      <c r="B3377" t="s">
        <v>6308</v>
      </c>
      <c r="C3377" s="92"/>
      <c r="D3377" s="17" t="s">
        <v>6426</v>
      </c>
      <c r="E3377" s="93" t="s">
        <v>6427</v>
      </c>
      <c r="F3377"/>
      <c r="G3377" s="17" t="s">
        <v>2</v>
      </c>
      <c r="H3377" s="132">
        <v>46087</v>
      </c>
      <c r="J3377" s="22">
        <v>46090</v>
      </c>
      <c r="K3377" t="s">
        <v>4351</v>
      </c>
      <c r="L3377" t="s">
        <v>6</v>
      </c>
    </row>
    <row r="3378" spans="1:12">
      <c r="A3378" s="94" t="s">
        <v>2991</v>
      </c>
      <c r="B3378" t="s">
        <v>6308</v>
      </c>
      <c r="C3378" s="92"/>
      <c r="D3378" s="17" t="s">
        <v>6428</v>
      </c>
      <c r="E3378" s="93" t="s">
        <v>6429</v>
      </c>
      <c r="F3378"/>
      <c r="G3378" s="17" t="s">
        <v>6</v>
      </c>
      <c r="H3378" s="132">
        <v>46087</v>
      </c>
      <c r="J3378"/>
      <c r="K3378"/>
      <c r="L3378"/>
    </row>
    <row r="3379" spans="1:12">
      <c r="A3379" s="94" t="s">
        <v>2991</v>
      </c>
      <c r="B3379" t="s">
        <v>6308</v>
      </c>
      <c r="C3379" s="92" t="s">
        <v>6430</v>
      </c>
      <c r="D3379" s="17" t="s">
        <v>6431</v>
      </c>
      <c r="E3379" s="93" t="s">
        <v>6432</v>
      </c>
      <c r="F3379"/>
      <c r="G3379" s="17" t="s">
        <v>1</v>
      </c>
      <c r="H3379" s="132">
        <v>46087</v>
      </c>
      <c r="J3379" s="22">
        <v>46090</v>
      </c>
      <c r="K3379" s="109">
        <v>0.42916666666666664</v>
      </c>
      <c r="L3379" t="s">
        <v>6433</v>
      </c>
    </row>
    <row r="3380" spans="1:12">
      <c r="A3380" s="94" t="s">
        <v>2991</v>
      </c>
      <c r="B3380" t="s">
        <v>6308</v>
      </c>
      <c r="C3380" s="92"/>
      <c r="D3380" s="17" t="s">
        <v>6434</v>
      </c>
      <c r="E3380" s="93" t="s">
        <v>6435</v>
      </c>
      <c r="F3380"/>
      <c r="G3380" s="17" t="s">
        <v>1</v>
      </c>
      <c r="H3380" s="132">
        <v>46087</v>
      </c>
      <c r="J3380"/>
      <c r="K3380"/>
      <c r="L3380"/>
    </row>
    <row r="3381" spans="1:12">
      <c r="A3381" s="94" t="s">
        <v>2991</v>
      </c>
      <c r="B3381" t="s">
        <v>6308</v>
      </c>
      <c r="C3381" s="92"/>
      <c r="D3381" s="17" t="s">
        <v>6436</v>
      </c>
      <c r="E3381" s="93" t="s">
        <v>3538</v>
      </c>
      <c r="F3381"/>
      <c r="G3381" s="17" t="s">
        <v>4</v>
      </c>
      <c r="H3381" s="132">
        <v>46087</v>
      </c>
      <c r="J3381" s="22">
        <v>46090</v>
      </c>
      <c r="K3381"/>
      <c r="L3381" t="s">
        <v>5057</v>
      </c>
    </row>
    <row r="3382" spans="1:12">
      <c r="A3382" s="94" t="s">
        <v>2991</v>
      </c>
      <c r="B3382" t="s">
        <v>6308</v>
      </c>
      <c r="C3382" s="92"/>
      <c r="D3382" s="17" t="s">
        <v>6437</v>
      </c>
      <c r="E3382" s="93" t="s">
        <v>6438</v>
      </c>
      <c r="F3382"/>
      <c r="G3382" s="17" t="s">
        <v>2</v>
      </c>
      <c r="H3382" s="132">
        <v>46087</v>
      </c>
      <c r="J3382" s="22">
        <v>46090</v>
      </c>
      <c r="K3382" t="s">
        <v>6439</v>
      </c>
      <c r="L3382" t="s">
        <v>6440</v>
      </c>
    </row>
    <row r="3383" spans="1:12">
      <c r="A3383" s="94" t="s">
        <v>2991</v>
      </c>
      <c r="B3383" t="s">
        <v>6308</v>
      </c>
      <c r="C3383" s="92"/>
      <c r="D3383" s="17" t="s">
        <v>6441</v>
      </c>
      <c r="E3383" s="93" t="s">
        <v>6442</v>
      </c>
      <c r="F3383"/>
      <c r="G3383" s="17" t="s">
        <v>1</v>
      </c>
      <c r="H3383" s="132">
        <v>46087</v>
      </c>
      <c r="J3383" s="22">
        <v>46090</v>
      </c>
      <c r="K3383" t="s">
        <v>5092</v>
      </c>
      <c r="L3383" t="s">
        <v>6440</v>
      </c>
    </row>
    <row r="3384" spans="1:12">
      <c r="A3384" s="94" t="s">
        <v>2991</v>
      </c>
      <c r="B3384" t="s">
        <v>6308</v>
      </c>
      <c r="C3384" s="92" t="s">
        <v>6443</v>
      </c>
      <c r="D3384" s="17" t="s">
        <v>6444</v>
      </c>
      <c r="E3384" s="93" t="s">
        <v>6445</v>
      </c>
      <c r="F3384"/>
      <c r="G3384" s="17" t="s">
        <v>1</v>
      </c>
      <c r="H3384" s="132">
        <v>46087</v>
      </c>
      <c r="J3384" s="22">
        <v>46090</v>
      </c>
      <c r="K3384" s="109">
        <v>0.43333333333333335</v>
      </c>
      <c r="L3384" t="s">
        <v>6433</v>
      </c>
    </row>
    <row r="3385" spans="1:12">
      <c r="A3385" s="95" t="s">
        <v>2535</v>
      </c>
      <c r="B3385" t="s">
        <v>6446</v>
      </c>
      <c r="C3385" s="87" t="s">
        <v>2536</v>
      </c>
      <c r="D3385" s="88"/>
      <c r="E3385" s="89">
        <v>62985028</v>
      </c>
      <c r="F3385"/>
      <c r="G3385" s="17" t="s">
        <v>6</v>
      </c>
      <c r="H3385" s="132">
        <v>46084</v>
      </c>
      <c r="I3385" s="127">
        <v>0.54166666666666663</v>
      </c>
      <c r="J3385"/>
      <c r="K3385"/>
      <c r="L3385"/>
    </row>
    <row r="3386" spans="1:12">
      <c r="A3386" s="95" t="s">
        <v>2535</v>
      </c>
      <c r="B3386" t="s">
        <v>6446</v>
      </c>
      <c r="C3386" s="87" t="s">
        <v>2537</v>
      </c>
      <c r="D3386" s="88"/>
      <c r="E3386" s="89">
        <v>64841888</v>
      </c>
      <c r="F3386"/>
      <c r="G3386" s="17" t="s">
        <v>2</v>
      </c>
      <c r="H3386" s="132">
        <v>46087</v>
      </c>
      <c r="I3386" s="127" t="s">
        <v>6447</v>
      </c>
      <c r="J3386" s="22">
        <v>46090</v>
      </c>
      <c r="K3386" s="109">
        <v>0.43402777777777779</v>
      </c>
      <c r="L3386" t="s">
        <v>2</v>
      </c>
    </row>
    <row r="3387" spans="1:12">
      <c r="A3387" s="95" t="s">
        <v>2535</v>
      </c>
      <c r="B3387" t="s">
        <v>6446</v>
      </c>
      <c r="C3387" s="87" t="s">
        <v>2538</v>
      </c>
      <c r="D3387" s="88"/>
      <c r="E3387" s="89">
        <v>7741832</v>
      </c>
      <c r="F3387"/>
      <c r="G3387" s="17" t="s">
        <v>9</v>
      </c>
      <c r="H3387" s="132">
        <v>46084</v>
      </c>
      <c r="I3387" s="127">
        <v>0.54513888888888884</v>
      </c>
      <c r="J3387"/>
      <c r="K3387"/>
      <c r="L3387"/>
    </row>
    <row r="3388" spans="1:12">
      <c r="A3388" s="95" t="s">
        <v>2535</v>
      </c>
      <c r="B3388" t="s">
        <v>6446</v>
      </c>
      <c r="C3388" s="87" t="s">
        <v>2539</v>
      </c>
      <c r="D3388" s="88"/>
      <c r="E3388" s="89">
        <v>67968895</v>
      </c>
      <c r="F3388"/>
      <c r="G3388" s="17" t="s">
        <v>6</v>
      </c>
      <c r="H3388" s="132">
        <v>46084</v>
      </c>
      <c r="I3388" s="127">
        <v>0.55069444444444449</v>
      </c>
      <c r="J3388" s="22">
        <v>46090</v>
      </c>
      <c r="K3388" s="109">
        <v>0.43541666666666667</v>
      </c>
      <c r="L3388" t="s">
        <v>6448</v>
      </c>
    </row>
    <row r="3389" spans="1:12">
      <c r="A3389" s="95" t="s">
        <v>2535</v>
      </c>
      <c r="B3389" t="s">
        <v>6446</v>
      </c>
      <c r="C3389" s="87" t="s">
        <v>2540</v>
      </c>
      <c r="D3389" s="88"/>
      <c r="E3389" s="89">
        <v>61652511</v>
      </c>
      <c r="F3389"/>
      <c r="G3389" s="17" t="s">
        <v>6</v>
      </c>
      <c r="H3389" s="132">
        <v>46084</v>
      </c>
      <c r="I3389" s="127">
        <v>0.55138888888888893</v>
      </c>
      <c r="J3389"/>
      <c r="K3389"/>
      <c r="L3389"/>
    </row>
    <row r="3390" spans="1:12">
      <c r="A3390" s="95" t="s">
        <v>2535</v>
      </c>
      <c r="B3390" t="s">
        <v>6446</v>
      </c>
      <c r="C3390" s="87" t="s">
        <v>2541</v>
      </c>
      <c r="D3390" s="88"/>
      <c r="E3390" s="89">
        <v>6819709</v>
      </c>
      <c r="F3390"/>
      <c r="G3390" s="17" t="s">
        <v>9</v>
      </c>
      <c r="H3390" s="132">
        <v>46084</v>
      </c>
      <c r="I3390" s="127">
        <v>0.55208333333333337</v>
      </c>
      <c r="J3390"/>
      <c r="K3390"/>
      <c r="L3390"/>
    </row>
    <row r="3391" spans="1:12">
      <c r="A3391" s="95" t="s">
        <v>2535</v>
      </c>
      <c r="B3391" t="s">
        <v>6446</v>
      </c>
      <c r="C3391" s="87" t="s">
        <v>2542</v>
      </c>
      <c r="D3391" s="88"/>
      <c r="E3391" s="89">
        <v>7889888</v>
      </c>
      <c r="F3391"/>
      <c r="G3391" s="17" t="s">
        <v>9</v>
      </c>
      <c r="H3391" s="132">
        <v>46084</v>
      </c>
      <c r="I3391" s="127">
        <v>0.55347222222222225</v>
      </c>
      <c r="J3391"/>
      <c r="K3391"/>
      <c r="L3391"/>
    </row>
    <row r="3392" spans="1:12">
      <c r="A3392" s="95" t="s">
        <v>2535</v>
      </c>
      <c r="B3392" t="s">
        <v>6446</v>
      </c>
      <c r="C3392" s="87" t="s">
        <v>2543</v>
      </c>
      <c r="D3392" s="88"/>
      <c r="E3392" s="89">
        <v>6231347</v>
      </c>
      <c r="F3392"/>
      <c r="G3392" s="17" t="s">
        <v>9</v>
      </c>
      <c r="H3392" s="132">
        <v>46084</v>
      </c>
      <c r="I3392" s="127">
        <v>0.55347222222222225</v>
      </c>
      <c r="J3392"/>
      <c r="K3392"/>
      <c r="L3392"/>
    </row>
    <row r="3393" spans="1:12">
      <c r="A3393" s="95" t="s">
        <v>2535</v>
      </c>
      <c r="B3393" t="s">
        <v>6446</v>
      </c>
      <c r="C3393" s="87" t="s">
        <v>2544</v>
      </c>
      <c r="D3393" s="88"/>
      <c r="E3393" s="89">
        <v>64787262</v>
      </c>
      <c r="F3393"/>
      <c r="G3393" s="17" t="s">
        <v>1</v>
      </c>
      <c r="H3393" s="132">
        <v>46084</v>
      </c>
      <c r="I3393" s="127">
        <v>0.5541666666666667</v>
      </c>
      <c r="J3393"/>
      <c r="K3393"/>
      <c r="L3393"/>
    </row>
    <row r="3394" spans="1:12">
      <c r="A3394" s="95" t="s">
        <v>2535</v>
      </c>
      <c r="B3394" t="s">
        <v>6446</v>
      </c>
      <c r="C3394" s="87" t="s">
        <v>2545</v>
      </c>
      <c r="D3394" s="88"/>
      <c r="E3394" s="89">
        <v>63642814</v>
      </c>
      <c r="F3394"/>
      <c r="G3394" s="17" t="s">
        <v>6</v>
      </c>
      <c r="H3394" s="132">
        <v>46084</v>
      </c>
      <c r="I3394" s="127">
        <v>0.55555555555555558</v>
      </c>
      <c r="J3394"/>
      <c r="K3394"/>
      <c r="L3394"/>
    </row>
    <row r="3395" spans="1:12">
      <c r="A3395" s="95" t="s">
        <v>2535</v>
      </c>
      <c r="B3395" t="s">
        <v>6446</v>
      </c>
      <c r="C3395" s="87" t="s">
        <v>2546</v>
      </c>
      <c r="D3395" s="88"/>
      <c r="E3395" s="89">
        <v>68589240</v>
      </c>
      <c r="F3395"/>
      <c r="G3395" s="17" t="s">
        <v>2</v>
      </c>
      <c r="H3395" s="132">
        <v>46084</v>
      </c>
      <c r="I3395" s="127">
        <v>0.55625000000000002</v>
      </c>
      <c r="J3395"/>
      <c r="K3395"/>
      <c r="L3395"/>
    </row>
    <row r="3396" spans="1:12">
      <c r="A3396" s="95" t="s">
        <v>2535</v>
      </c>
      <c r="B3396" t="s">
        <v>6446</v>
      </c>
      <c r="C3396" s="87" t="s">
        <v>2547</v>
      </c>
      <c r="D3396" s="88"/>
      <c r="E3396" s="89">
        <v>62163988</v>
      </c>
      <c r="F3396"/>
      <c r="G3396" s="17" t="s">
        <v>1</v>
      </c>
      <c r="H3396" s="132">
        <v>46084</v>
      </c>
      <c r="I3396" s="127">
        <v>0.55763888888888891</v>
      </c>
      <c r="J3396"/>
      <c r="K3396"/>
      <c r="L3396"/>
    </row>
    <row r="3397" spans="1:12">
      <c r="A3397" s="95" t="s">
        <v>2535</v>
      </c>
      <c r="B3397" t="s">
        <v>6446</v>
      </c>
      <c r="C3397" s="87" t="s">
        <v>2548</v>
      </c>
      <c r="D3397" s="88"/>
      <c r="E3397" s="89">
        <v>64888474</v>
      </c>
      <c r="F3397"/>
      <c r="G3397" s="17" t="s">
        <v>6</v>
      </c>
      <c r="H3397" s="132">
        <v>46084</v>
      </c>
      <c r="I3397" s="127">
        <v>0.55902777777777779</v>
      </c>
      <c r="J3397"/>
      <c r="K3397"/>
      <c r="L3397"/>
    </row>
    <row r="3398" spans="1:12">
      <c r="A3398" s="95" t="s">
        <v>2535</v>
      </c>
      <c r="B3398" t="s">
        <v>6446</v>
      </c>
      <c r="C3398" s="87" t="s">
        <v>2549</v>
      </c>
      <c r="D3398" s="88"/>
      <c r="E3398" s="89">
        <v>7741458</v>
      </c>
      <c r="F3398"/>
      <c r="G3398" s="17" t="s">
        <v>9</v>
      </c>
      <c r="H3398" s="132">
        <v>46084</v>
      </c>
      <c r="I3398" s="127">
        <v>0.55972222222222223</v>
      </c>
      <c r="J3398"/>
      <c r="K3398"/>
      <c r="L3398"/>
    </row>
    <row r="3399" spans="1:12">
      <c r="A3399" s="95" t="s">
        <v>2535</v>
      </c>
      <c r="B3399" t="s">
        <v>6446</v>
      </c>
      <c r="C3399" s="87" t="s">
        <v>2550</v>
      </c>
      <c r="D3399" s="88"/>
      <c r="E3399" s="89">
        <v>65159309</v>
      </c>
      <c r="F3399"/>
      <c r="G3399" s="17" t="s">
        <v>9</v>
      </c>
      <c r="H3399" s="132">
        <v>46084</v>
      </c>
      <c r="I3399" s="127">
        <v>0.56041666666666667</v>
      </c>
      <c r="J3399"/>
      <c r="K3399"/>
      <c r="L3399"/>
    </row>
    <row r="3400" spans="1:12">
      <c r="A3400" s="95" t="s">
        <v>2535</v>
      </c>
      <c r="B3400" t="s">
        <v>6446</v>
      </c>
      <c r="C3400" s="87" t="s">
        <v>2551</v>
      </c>
      <c r="D3400" s="88"/>
      <c r="E3400" s="89">
        <v>66092912</v>
      </c>
      <c r="F3400"/>
      <c r="G3400" s="17" t="s">
        <v>1</v>
      </c>
      <c r="H3400" s="132">
        <v>46084</v>
      </c>
      <c r="I3400" s="127">
        <v>0.56111111111111112</v>
      </c>
      <c r="J3400"/>
      <c r="K3400"/>
      <c r="L3400"/>
    </row>
    <row r="3401" spans="1:12">
      <c r="A3401" s="95" t="s">
        <v>2535</v>
      </c>
      <c r="B3401" t="s">
        <v>6446</v>
      </c>
      <c r="C3401" s="87" t="s">
        <v>2552</v>
      </c>
      <c r="D3401" s="88"/>
      <c r="E3401" s="89">
        <v>66161619</v>
      </c>
      <c r="F3401"/>
      <c r="G3401" s="17" t="s">
        <v>1</v>
      </c>
      <c r="H3401" s="132">
        <v>46084</v>
      </c>
      <c r="I3401" s="127">
        <v>0.56388888888888888</v>
      </c>
      <c r="J3401"/>
      <c r="K3401"/>
      <c r="L3401"/>
    </row>
    <row r="3402" spans="1:12">
      <c r="A3402" s="95" t="s">
        <v>2535</v>
      </c>
      <c r="B3402" t="s">
        <v>6446</v>
      </c>
      <c r="C3402" s="87" t="s">
        <v>6449</v>
      </c>
      <c r="D3402" s="88"/>
      <c r="E3402" s="89">
        <v>66752054</v>
      </c>
      <c r="F3402"/>
      <c r="G3402" s="17" t="s">
        <v>6</v>
      </c>
      <c r="H3402" s="132">
        <v>46084</v>
      </c>
      <c r="I3402" s="127">
        <v>0.56527777777777777</v>
      </c>
      <c r="J3402"/>
      <c r="K3402"/>
      <c r="L3402"/>
    </row>
    <row r="3403" spans="1:12">
      <c r="A3403" s="95" t="s">
        <v>2535</v>
      </c>
      <c r="B3403" t="s">
        <v>6446</v>
      </c>
      <c r="C3403" s="87" t="s">
        <v>2554</v>
      </c>
      <c r="D3403" s="88"/>
      <c r="E3403" s="89">
        <v>64407567</v>
      </c>
      <c r="F3403"/>
      <c r="G3403" s="17" t="s">
        <v>3</v>
      </c>
      <c r="H3403" s="132">
        <v>46084</v>
      </c>
      <c r="I3403" s="127">
        <v>0.56666666666666665</v>
      </c>
      <c r="J3403"/>
      <c r="K3403"/>
      <c r="L3403"/>
    </row>
    <row r="3404" spans="1:12">
      <c r="A3404" s="95" t="s">
        <v>2535</v>
      </c>
      <c r="B3404" t="s">
        <v>6446</v>
      </c>
      <c r="C3404" s="87" t="s">
        <v>2555</v>
      </c>
      <c r="D3404" s="88"/>
      <c r="E3404" s="89">
        <v>66096294</v>
      </c>
      <c r="F3404"/>
      <c r="G3404" s="17" t="s">
        <v>2</v>
      </c>
      <c r="H3404" s="132">
        <v>46084</v>
      </c>
      <c r="I3404" s="127">
        <v>0.56666666666666665</v>
      </c>
      <c r="J3404"/>
      <c r="K3404"/>
      <c r="L3404"/>
    </row>
    <row r="3405" spans="1:12">
      <c r="A3405" s="95" t="s">
        <v>2535</v>
      </c>
      <c r="B3405" t="s">
        <v>6446</v>
      </c>
      <c r="C3405" s="87" t="s">
        <v>2556</v>
      </c>
      <c r="D3405" s="88"/>
      <c r="E3405" s="89">
        <v>62293703</v>
      </c>
      <c r="F3405"/>
      <c r="G3405" s="17" t="s">
        <v>3</v>
      </c>
      <c r="H3405" s="132">
        <v>46084</v>
      </c>
      <c r="I3405" s="127">
        <v>0.56805555555555554</v>
      </c>
      <c r="J3405"/>
      <c r="K3405"/>
      <c r="L3405"/>
    </row>
    <row r="3406" spans="1:12">
      <c r="A3406" s="95" t="s">
        <v>2535</v>
      </c>
      <c r="B3406" t="s">
        <v>6446</v>
      </c>
      <c r="C3406" s="87" t="s">
        <v>2557</v>
      </c>
      <c r="D3406" s="88"/>
      <c r="E3406" s="89">
        <v>68836225</v>
      </c>
      <c r="F3406"/>
      <c r="G3406" s="17" t="s">
        <v>3</v>
      </c>
      <c r="H3406" s="132">
        <v>46084</v>
      </c>
      <c r="I3406" s="127">
        <v>0.56944444444444442</v>
      </c>
      <c r="J3406"/>
      <c r="K3406"/>
      <c r="L3406"/>
    </row>
    <row r="3407" spans="1:12">
      <c r="A3407" s="95" t="s">
        <v>2535</v>
      </c>
      <c r="B3407" t="s">
        <v>6446</v>
      </c>
      <c r="C3407" s="87" t="s">
        <v>2558</v>
      </c>
      <c r="D3407" s="88"/>
      <c r="E3407" s="89">
        <v>69776863</v>
      </c>
      <c r="F3407"/>
      <c r="G3407" s="17" t="s">
        <v>9</v>
      </c>
      <c r="H3407" s="132">
        <v>46084</v>
      </c>
      <c r="I3407" s="127">
        <v>0.57291666666666663</v>
      </c>
      <c r="J3407"/>
      <c r="K3407"/>
      <c r="L3407"/>
    </row>
    <row r="3408" spans="1:12">
      <c r="A3408" s="95" t="s">
        <v>2535</v>
      </c>
      <c r="B3408" t="s">
        <v>6446</v>
      </c>
      <c r="C3408" s="87" t="s">
        <v>2559</v>
      </c>
      <c r="D3408" s="88"/>
      <c r="E3408" s="89">
        <v>65414840</v>
      </c>
      <c r="F3408"/>
      <c r="G3408" s="17" t="s">
        <v>3</v>
      </c>
      <c r="H3408" s="132">
        <v>46084</v>
      </c>
      <c r="I3408" s="127">
        <v>0.57430555555555551</v>
      </c>
      <c r="J3408"/>
      <c r="K3408"/>
      <c r="L3408"/>
    </row>
    <row r="3409" spans="1:12">
      <c r="A3409" s="95" t="s">
        <v>2535</v>
      </c>
      <c r="B3409" t="s">
        <v>6446</v>
      </c>
      <c r="C3409" s="87" t="s">
        <v>2560</v>
      </c>
      <c r="D3409" s="88"/>
      <c r="E3409" s="89">
        <v>67349527</v>
      </c>
      <c r="F3409"/>
      <c r="G3409" s="17" t="s">
        <v>3</v>
      </c>
      <c r="H3409" s="132">
        <v>46084</v>
      </c>
      <c r="I3409" s="127">
        <v>0.57638888888888884</v>
      </c>
      <c r="J3409"/>
      <c r="K3409"/>
      <c r="L3409"/>
    </row>
    <row r="3410" spans="1:12">
      <c r="A3410" s="95" t="s">
        <v>2535</v>
      </c>
      <c r="B3410" t="s">
        <v>6446</v>
      </c>
      <c r="C3410" s="87" t="s">
        <v>2561</v>
      </c>
      <c r="D3410" s="88"/>
      <c r="E3410" s="89">
        <v>66043354</v>
      </c>
      <c r="F3410"/>
      <c r="G3410" s="17" t="s">
        <v>1</v>
      </c>
      <c r="H3410" s="132">
        <v>46084</v>
      </c>
      <c r="I3410" s="127">
        <v>0.57777777777777772</v>
      </c>
      <c r="J3410"/>
      <c r="K3410"/>
      <c r="L3410"/>
    </row>
    <row r="3411" spans="1:12">
      <c r="A3411" s="95" t="s">
        <v>2535</v>
      </c>
      <c r="B3411" t="s">
        <v>6446</v>
      </c>
      <c r="C3411" s="87" t="s">
        <v>2562</v>
      </c>
      <c r="D3411" s="88"/>
      <c r="E3411" s="89">
        <v>64309340</v>
      </c>
      <c r="F3411"/>
      <c r="G3411" s="17" t="s">
        <v>1</v>
      </c>
      <c r="H3411" s="132">
        <v>46084</v>
      </c>
      <c r="I3411" s="127">
        <v>0.59166666666666667</v>
      </c>
      <c r="J3411"/>
      <c r="K3411"/>
      <c r="L3411"/>
    </row>
    <row r="3412" spans="1:12">
      <c r="A3412" s="95" t="s">
        <v>2535</v>
      </c>
      <c r="B3412" t="s">
        <v>6446</v>
      </c>
      <c r="C3412" s="87" t="s">
        <v>2563</v>
      </c>
      <c r="D3412" s="88"/>
      <c r="E3412" s="89">
        <v>67103739</v>
      </c>
      <c r="F3412"/>
      <c r="G3412" s="17" t="s">
        <v>2</v>
      </c>
      <c r="H3412" s="132">
        <v>46084</v>
      </c>
      <c r="I3412" s="127">
        <v>0.59236111111111112</v>
      </c>
      <c r="J3412"/>
      <c r="K3412"/>
      <c r="L3412"/>
    </row>
    <row r="3413" spans="1:12">
      <c r="A3413" s="95" t="s">
        <v>2535</v>
      </c>
      <c r="B3413" t="s">
        <v>6446</v>
      </c>
      <c r="C3413" s="87" t="s">
        <v>2564</v>
      </c>
      <c r="D3413" s="88"/>
      <c r="E3413" s="89">
        <v>67327346</v>
      </c>
      <c r="F3413"/>
      <c r="G3413" s="17" t="s">
        <v>9</v>
      </c>
      <c r="H3413" s="132">
        <v>46084</v>
      </c>
      <c r="I3413" s="127">
        <v>0.59375</v>
      </c>
      <c r="J3413"/>
      <c r="K3413"/>
      <c r="L3413"/>
    </row>
    <row r="3414" spans="1:12">
      <c r="A3414" s="95" t="s">
        <v>2535</v>
      </c>
      <c r="B3414" t="s">
        <v>6446</v>
      </c>
      <c r="C3414" s="87" t="s">
        <v>2565</v>
      </c>
      <c r="D3414" s="88"/>
      <c r="E3414" s="89">
        <v>2648861</v>
      </c>
      <c r="F3414"/>
      <c r="G3414" s="17" t="s">
        <v>3</v>
      </c>
      <c r="H3414" s="132">
        <v>46084</v>
      </c>
      <c r="I3414" s="127">
        <v>0.59444444444444444</v>
      </c>
      <c r="J3414"/>
      <c r="K3414"/>
      <c r="L3414"/>
    </row>
    <row r="3415" spans="1:12">
      <c r="A3415" s="95" t="s">
        <v>2535</v>
      </c>
      <c r="B3415" t="s">
        <v>6446</v>
      </c>
      <c r="C3415" s="87" t="s">
        <v>2566</v>
      </c>
      <c r="D3415" s="88"/>
      <c r="E3415" s="89">
        <v>65030260</v>
      </c>
      <c r="F3415"/>
      <c r="G3415" s="17" t="s">
        <v>6</v>
      </c>
      <c r="H3415" s="132">
        <v>46084</v>
      </c>
      <c r="I3415" s="127">
        <v>0.59583333333333333</v>
      </c>
      <c r="J3415"/>
      <c r="K3415"/>
      <c r="L3415"/>
    </row>
    <row r="3416" spans="1:12">
      <c r="A3416" s="95" t="s">
        <v>2535</v>
      </c>
      <c r="B3416" t="s">
        <v>6446</v>
      </c>
      <c r="C3416" s="87" t="s">
        <v>2567</v>
      </c>
      <c r="D3416" s="88"/>
      <c r="E3416" s="89">
        <v>60715615</v>
      </c>
      <c r="F3416"/>
      <c r="G3416" s="17" t="s">
        <v>9</v>
      </c>
      <c r="H3416" s="132">
        <v>46084</v>
      </c>
      <c r="I3416" s="127">
        <v>0.59652777777777777</v>
      </c>
      <c r="J3416"/>
      <c r="K3416"/>
      <c r="L3416"/>
    </row>
    <row r="3417" spans="1:12">
      <c r="A3417" s="95" t="s">
        <v>2535</v>
      </c>
      <c r="B3417" t="s">
        <v>6446</v>
      </c>
      <c r="C3417" s="87" t="s">
        <v>2568</v>
      </c>
      <c r="D3417" s="88"/>
      <c r="E3417" s="89">
        <v>66018046</v>
      </c>
      <c r="F3417"/>
      <c r="G3417" s="17" t="s">
        <v>1</v>
      </c>
      <c r="H3417" s="132">
        <v>46084</v>
      </c>
      <c r="I3417" s="127">
        <v>0.59722222222222221</v>
      </c>
      <c r="J3417"/>
      <c r="K3417"/>
      <c r="L3417"/>
    </row>
    <row r="3418" spans="1:12">
      <c r="A3418" s="95" t="s">
        <v>2535</v>
      </c>
      <c r="B3418" t="s">
        <v>6446</v>
      </c>
      <c r="C3418" s="87" t="s">
        <v>2569</v>
      </c>
      <c r="D3418" s="88"/>
      <c r="E3418" s="89">
        <v>67272708</v>
      </c>
      <c r="F3418"/>
      <c r="G3418" s="17" t="s">
        <v>3</v>
      </c>
      <c r="H3418" s="132">
        <v>46084</v>
      </c>
      <c r="I3418" s="127">
        <v>0.59861111111111109</v>
      </c>
      <c r="J3418"/>
      <c r="K3418"/>
      <c r="L3418"/>
    </row>
    <row r="3419" spans="1:12">
      <c r="A3419" s="95" t="s">
        <v>2535</v>
      </c>
      <c r="B3419" t="s">
        <v>6446</v>
      </c>
      <c r="C3419" s="87" t="s">
        <v>2570</v>
      </c>
      <c r="D3419" s="88"/>
      <c r="E3419" s="89">
        <v>66812196</v>
      </c>
      <c r="F3419"/>
      <c r="G3419" s="17" t="s">
        <v>1</v>
      </c>
      <c r="H3419" s="132">
        <v>46084</v>
      </c>
      <c r="I3419" s="127">
        <v>0.60277777777777775</v>
      </c>
      <c r="J3419"/>
      <c r="K3419"/>
      <c r="L3419"/>
    </row>
    <row r="3420" spans="1:12">
      <c r="A3420" s="95" t="s">
        <v>2535</v>
      </c>
      <c r="B3420" t="s">
        <v>6446</v>
      </c>
      <c r="C3420" s="87" t="s">
        <v>2571</v>
      </c>
      <c r="D3420" s="88"/>
      <c r="E3420" s="89">
        <v>67010395</v>
      </c>
      <c r="F3420"/>
      <c r="G3420" s="17" t="s">
        <v>1</v>
      </c>
      <c r="H3420" s="132">
        <v>46084</v>
      </c>
      <c r="I3420" s="127">
        <v>0.60555555555555551</v>
      </c>
      <c r="J3420"/>
      <c r="K3420"/>
      <c r="L3420"/>
    </row>
    <row r="3421" spans="1:12">
      <c r="A3421" s="95" t="s">
        <v>2535</v>
      </c>
      <c r="B3421" t="s">
        <v>6446</v>
      </c>
      <c r="C3421" s="87" t="s">
        <v>2572</v>
      </c>
      <c r="D3421" s="88"/>
      <c r="E3421" s="89">
        <v>66925909</v>
      </c>
      <c r="F3421"/>
      <c r="G3421" s="17" t="s">
        <v>1</v>
      </c>
      <c r="H3421" s="132">
        <v>46084</v>
      </c>
      <c r="I3421" s="127">
        <v>0.6069444444444444</v>
      </c>
      <c r="J3421"/>
      <c r="K3421"/>
      <c r="L3421"/>
    </row>
    <row r="3422" spans="1:12">
      <c r="A3422" s="95" t="s">
        <v>2535</v>
      </c>
      <c r="B3422" t="s">
        <v>6446</v>
      </c>
      <c r="C3422" s="87" t="s">
        <v>2573</v>
      </c>
      <c r="D3422" s="88"/>
      <c r="E3422" s="89">
        <v>68141922</v>
      </c>
      <c r="F3422"/>
      <c r="G3422" s="17" t="s">
        <v>1</v>
      </c>
      <c r="H3422" s="132">
        <v>46084</v>
      </c>
      <c r="I3422" s="127">
        <v>0.61041666666666672</v>
      </c>
      <c r="J3422"/>
      <c r="K3422"/>
      <c r="L3422"/>
    </row>
    <row r="3423" spans="1:12">
      <c r="A3423" s="95" t="s">
        <v>2535</v>
      </c>
      <c r="B3423" t="s">
        <v>6446</v>
      </c>
      <c r="C3423" s="87" t="s">
        <v>2574</v>
      </c>
      <c r="D3423" s="88"/>
      <c r="E3423" s="89">
        <v>65203678</v>
      </c>
      <c r="F3423"/>
      <c r="G3423" s="17" t="s">
        <v>1</v>
      </c>
      <c r="H3423" s="132">
        <v>46084</v>
      </c>
      <c r="I3423" s="127">
        <v>0.61319444444444449</v>
      </c>
      <c r="J3423"/>
      <c r="K3423"/>
      <c r="L3423"/>
    </row>
    <row r="3424" spans="1:12">
      <c r="A3424" s="95" t="s">
        <v>2535</v>
      </c>
      <c r="B3424" t="s">
        <v>6446</v>
      </c>
      <c r="C3424" s="87" t="s">
        <v>2575</v>
      </c>
      <c r="D3424" s="88"/>
      <c r="E3424" s="89">
        <v>67291533</v>
      </c>
      <c r="F3424"/>
      <c r="G3424" s="17" t="s">
        <v>6</v>
      </c>
      <c r="H3424" s="132">
        <v>46084</v>
      </c>
      <c r="I3424" s="127">
        <v>0.61597222222222225</v>
      </c>
      <c r="J3424"/>
      <c r="K3424"/>
      <c r="L3424"/>
    </row>
    <row r="3425" spans="1:12">
      <c r="A3425" s="95" t="s">
        <v>2535</v>
      </c>
      <c r="B3425" t="s">
        <v>6446</v>
      </c>
      <c r="C3425" s="87" t="s">
        <v>2576</v>
      </c>
      <c r="D3425" s="88"/>
      <c r="E3425" s="89">
        <v>62968480</v>
      </c>
      <c r="F3425"/>
      <c r="G3425" s="17" t="s">
        <v>2</v>
      </c>
      <c r="H3425" s="132">
        <v>46084</v>
      </c>
      <c r="I3425" s="127">
        <v>0.61597222222222225</v>
      </c>
      <c r="J3425"/>
      <c r="K3425"/>
      <c r="L3425"/>
    </row>
    <row r="3426" spans="1:12">
      <c r="A3426" s="95" t="s">
        <v>2535</v>
      </c>
      <c r="B3426" t="s">
        <v>6446</v>
      </c>
      <c r="C3426" s="87" t="s">
        <v>2577</v>
      </c>
      <c r="D3426" s="88"/>
      <c r="E3426" s="89">
        <v>65973123</v>
      </c>
      <c r="F3426"/>
      <c r="G3426" s="17" t="s">
        <v>1</v>
      </c>
      <c r="H3426" s="132">
        <v>46084</v>
      </c>
      <c r="I3426" s="127">
        <v>0.62083333333333335</v>
      </c>
      <c r="J3426"/>
      <c r="K3426"/>
      <c r="L3426"/>
    </row>
    <row r="3427" spans="1:12">
      <c r="A3427" s="95" t="s">
        <v>2535</v>
      </c>
      <c r="B3427" t="s">
        <v>6446</v>
      </c>
      <c r="C3427" s="87" t="s">
        <v>2578</v>
      </c>
      <c r="D3427" s="88"/>
      <c r="E3427" s="89">
        <v>2123938</v>
      </c>
      <c r="F3427"/>
      <c r="G3427" s="17" t="s">
        <v>9</v>
      </c>
      <c r="H3427" s="132">
        <v>46084</v>
      </c>
      <c r="I3427" s="127">
        <v>0.62777777777777777</v>
      </c>
      <c r="J3427"/>
      <c r="K3427"/>
      <c r="L3427"/>
    </row>
    <row r="3428" spans="1:12">
      <c r="A3428" s="95" t="s">
        <v>2535</v>
      </c>
      <c r="B3428" t="s">
        <v>6446</v>
      </c>
      <c r="C3428" s="87" t="s">
        <v>2579</v>
      </c>
      <c r="D3428" s="88"/>
      <c r="E3428" s="89">
        <v>67814245</v>
      </c>
      <c r="F3428"/>
      <c r="G3428" s="17" t="s">
        <v>1</v>
      </c>
      <c r="H3428" s="132">
        <v>46085</v>
      </c>
      <c r="I3428" s="127">
        <v>0.42777777777777776</v>
      </c>
      <c r="J3428"/>
      <c r="K3428"/>
      <c r="L3428" t="s">
        <v>6450</v>
      </c>
    </row>
    <row r="3429" spans="1:12">
      <c r="A3429" s="95" t="s">
        <v>2535</v>
      </c>
      <c r="B3429" t="s">
        <v>6446</v>
      </c>
      <c r="C3429" s="87" t="s">
        <v>2580</v>
      </c>
      <c r="D3429" s="88"/>
      <c r="E3429" s="89">
        <v>7753326</v>
      </c>
      <c r="F3429"/>
      <c r="G3429" s="17" t="s">
        <v>1</v>
      </c>
      <c r="H3429" s="132">
        <v>46085</v>
      </c>
      <c r="I3429" s="127" t="s">
        <v>6451</v>
      </c>
      <c r="J3429"/>
      <c r="K3429"/>
      <c r="L3429"/>
    </row>
    <row r="3430" spans="1:12">
      <c r="A3430" s="95" t="s">
        <v>2535</v>
      </c>
      <c r="B3430" t="s">
        <v>6446</v>
      </c>
      <c r="C3430" s="87" t="s">
        <v>2581</v>
      </c>
      <c r="D3430" s="88"/>
      <c r="E3430" s="89">
        <v>69776897</v>
      </c>
      <c r="F3430"/>
      <c r="G3430" s="17" t="s">
        <v>6</v>
      </c>
      <c r="H3430" s="132">
        <v>46085</v>
      </c>
      <c r="I3430" s="127">
        <v>0.43055555555555558</v>
      </c>
      <c r="J3430"/>
      <c r="K3430"/>
      <c r="L3430"/>
    </row>
    <row r="3431" spans="1:12">
      <c r="A3431" s="95" t="s">
        <v>2535</v>
      </c>
      <c r="B3431" t="s">
        <v>6446</v>
      </c>
      <c r="C3431" s="87" t="s">
        <v>2582</v>
      </c>
      <c r="D3431" s="88"/>
      <c r="E3431" s="89">
        <v>67078166</v>
      </c>
      <c r="F3431"/>
      <c r="G3431" s="17" t="s">
        <v>1</v>
      </c>
      <c r="H3431" s="132">
        <v>46085</v>
      </c>
      <c r="I3431" s="127">
        <v>0.43194444444444446</v>
      </c>
      <c r="J3431"/>
      <c r="K3431"/>
      <c r="L3431"/>
    </row>
    <row r="3432" spans="1:12">
      <c r="A3432" s="95" t="s">
        <v>2535</v>
      </c>
      <c r="B3432" t="s">
        <v>6446</v>
      </c>
      <c r="C3432" s="87" t="s">
        <v>2583</v>
      </c>
      <c r="D3432" s="88"/>
      <c r="E3432" s="89">
        <v>7201334</v>
      </c>
      <c r="F3432"/>
      <c r="G3432" s="17" t="s">
        <v>3</v>
      </c>
      <c r="H3432" s="132">
        <v>46085</v>
      </c>
      <c r="I3432" s="127">
        <v>0.43263888888888891</v>
      </c>
      <c r="J3432"/>
      <c r="K3432"/>
      <c r="L3432"/>
    </row>
    <row r="3433" spans="1:12">
      <c r="A3433" s="95" t="s">
        <v>2535</v>
      </c>
      <c r="B3433" t="s">
        <v>6446</v>
      </c>
      <c r="C3433" s="87" t="s">
        <v>2584</v>
      </c>
      <c r="D3433" s="88"/>
      <c r="E3433" s="89">
        <v>66243153</v>
      </c>
      <c r="F3433"/>
      <c r="G3433" s="17" t="s">
        <v>3</v>
      </c>
      <c r="H3433" s="132">
        <v>46085</v>
      </c>
      <c r="I3433" s="127">
        <v>0.43402777777777779</v>
      </c>
      <c r="J3433"/>
      <c r="K3433"/>
      <c r="L3433"/>
    </row>
    <row r="3434" spans="1:12">
      <c r="A3434" s="95" t="s">
        <v>2535</v>
      </c>
      <c r="B3434" t="s">
        <v>6446</v>
      </c>
      <c r="C3434" s="87" t="s">
        <v>2585</v>
      </c>
      <c r="D3434" s="88"/>
      <c r="E3434" s="89">
        <v>62909120</v>
      </c>
      <c r="F3434"/>
      <c r="G3434" s="17" t="s">
        <v>9</v>
      </c>
      <c r="H3434" s="132">
        <v>46085</v>
      </c>
      <c r="I3434" s="127">
        <v>0.43472222222222223</v>
      </c>
      <c r="J3434"/>
      <c r="K3434"/>
      <c r="L3434"/>
    </row>
    <row r="3435" spans="1:12">
      <c r="A3435" s="95" t="s">
        <v>2535</v>
      </c>
      <c r="B3435" t="s">
        <v>6446</v>
      </c>
      <c r="C3435" s="87" t="s">
        <v>2586</v>
      </c>
      <c r="D3435" s="88"/>
      <c r="E3435" s="89">
        <v>64312903</v>
      </c>
      <c r="F3435"/>
      <c r="G3435" s="17" t="s">
        <v>3</v>
      </c>
      <c r="H3435" s="132">
        <v>46085</v>
      </c>
      <c r="I3435" s="127">
        <v>0.44444444444444442</v>
      </c>
      <c r="J3435"/>
      <c r="K3435"/>
      <c r="L3435"/>
    </row>
    <row r="3436" spans="1:12">
      <c r="A3436" s="95" t="s">
        <v>2535</v>
      </c>
      <c r="B3436" t="s">
        <v>6446</v>
      </c>
      <c r="C3436" s="87" t="s">
        <v>2587</v>
      </c>
      <c r="D3436" s="88"/>
      <c r="E3436" s="89">
        <v>62656262</v>
      </c>
      <c r="F3436"/>
      <c r="G3436" s="17" t="s">
        <v>1</v>
      </c>
      <c r="H3436" s="132">
        <v>46085</v>
      </c>
      <c r="I3436" s="127">
        <v>0.4465277777777778</v>
      </c>
      <c r="J3436"/>
      <c r="K3436"/>
      <c r="L3436"/>
    </row>
    <row r="3437" spans="1:12">
      <c r="A3437" s="95" t="s">
        <v>2535</v>
      </c>
      <c r="B3437" t="s">
        <v>6446</v>
      </c>
      <c r="C3437" s="87" t="s">
        <v>2588</v>
      </c>
      <c r="D3437" s="88"/>
      <c r="E3437" s="89">
        <v>64979986</v>
      </c>
      <c r="F3437"/>
      <c r="G3437" s="17" t="s">
        <v>1</v>
      </c>
      <c r="H3437" s="132">
        <v>46085</v>
      </c>
      <c r="I3437" s="127">
        <v>0.44722222222222224</v>
      </c>
      <c r="J3437"/>
      <c r="K3437"/>
      <c r="L3437"/>
    </row>
    <row r="3438" spans="1:12">
      <c r="A3438" s="95" t="s">
        <v>2535</v>
      </c>
      <c r="B3438" t="s">
        <v>6446</v>
      </c>
      <c r="C3438" s="87" t="s">
        <v>2589</v>
      </c>
      <c r="D3438" s="88"/>
      <c r="E3438" s="89">
        <v>63707106</v>
      </c>
      <c r="F3438"/>
      <c r="G3438" s="17" t="s">
        <v>2</v>
      </c>
      <c r="H3438" s="132">
        <v>46085</v>
      </c>
      <c r="I3438" s="127">
        <v>0.44861111111111113</v>
      </c>
      <c r="J3438"/>
      <c r="K3438"/>
      <c r="L3438"/>
    </row>
    <row r="3439" spans="1:12">
      <c r="A3439" s="95" t="s">
        <v>2535</v>
      </c>
      <c r="B3439" t="s">
        <v>6446</v>
      </c>
      <c r="C3439" s="87" t="s">
        <v>2590</v>
      </c>
      <c r="D3439" s="88"/>
      <c r="E3439" s="89">
        <v>62664875</v>
      </c>
      <c r="F3439"/>
      <c r="G3439" s="17" t="s">
        <v>9</v>
      </c>
      <c r="H3439" s="132">
        <v>46085</v>
      </c>
      <c r="I3439" s="127">
        <v>0.44930555555555557</v>
      </c>
      <c r="J3439"/>
      <c r="K3439"/>
      <c r="L3439"/>
    </row>
    <row r="3440" spans="1:12">
      <c r="A3440" s="95" t="s">
        <v>2535</v>
      </c>
      <c r="B3440" t="s">
        <v>6446</v>
      </c>
      <c r="C3440" s="87" t="s">
        <v>2591</v>
      </c>
      <c r="D3440" s="88"/>
      <c r="E3440" s="89">
        <v>62389256</v>
      </c>
      <c r="F3440"/>
      <c r="G3440" s="17" t="s">
        <v>1</v>
      </c>
      <c r="H3440" s="132">
        <v>46085</v>
      </c>
      <c r="I3440" s="127">
        <v>0.45</v>
      </c>
      <c r="J3440"/>
      <c r="K3440"/>
      <c r="L3440"/>
    </row>
    <row r="3441" spans="1:12">
      <c r="A3441" s="95" t="s">
        <v>2535</v>
      </c>
      <c r="B3441" t="s">
        <v>6446</v>
      </c>
      <c r="C3441" s="87" t="s">
        <v>2592</v>
      </c>
      <c r="D3441" s="88"/>
      <c r="E3441" s="89">
        <v>6691432</v>
      </c>
      <c r="F3441"/>
      <c r="G3441" s="17" t="s">
        <v>9</v>
      </c>
      <c r="H3441" s="132">
        <v>46085</v>
      </c>
      <c r="I3441" s="127">
        <v>0.45069444444444445</v>
      </c>
      <c r="J3441"/>
      <c r="K3441"/>
      <c r="L3441"/>
    </row>
    <row r="3442" spans="1:12">
      <c r="A3442" s="95" t="s">
        <v>2535</v>
      </c>
      <c r="B3442" t="s">
        <v>6446</v>
      </c>
      <c r="C3442" s="87" t="s">
        <v>2593</v>
      </c>
      <c r="D3442" s="88"/>
      <c r="E3442" s="89">
        <v>65397177</v>
      </c>
      <c r="F3442"/>
      <c r="G3442" s="17" t="s">
        <v>3</v>
      </c>
      <c r="H3442" s="132">
        <v>46085</v>
      </c>
      <c r="I3442" s="127">
        <v>0.45208333333333334</v>
      </c>
      <c r="J3442"/>
      <c r="K3442"/>
      <c r="L3442"/>
    </row>
    <row r="3443" spans="1:12">
      <c r="A3443" s="95" t="s">
        <v>2535</v>
      </c>
      <c r="B3443" t="s">
        <v>6446</v>
      </c>
      <c r="C3443" s="87" t="s">
        <v>2594</v>
      </c>
      <c r="D3443" s="88"/>
      <c r="E3443" s="89">
        <v>69062487</v>
      </c>
      <c r="F3443"/>
      <c r="G3443" s="17" t="s">
        <v>1</v>
      </c>
      <c r="H3443" s="132">
        <v>46085</v>
      </c>
      <c r="I3443" s="127">
        <v>0.45277777777777778</v>
      </c>
      <c r="J3443"/>
      <c r="K3443"/>
      <c r="L3443" t="s">
        <v>6452</v>
      </c>
    </row>
    <row r="3444" spans="1:12">
      <c r="A3444" s="95" t="s">
        <v>2535</v>
      </c>
      <c r="B3444" t="s">
        <v>6446</v>
      </c>
      <c r="C3444" s="87" t="s">
        <v>2595</v>
      </c>
      <c r="D3444" s="88"/>
      <c r="E3444" s="89">
        <v>65599781</v>
      </c>
      <c r="F3444"/>
      <c r="G3444" s="17" t="s">
        <v>4</v>
      </c>
      <c r="H3444" s="132">
        <v>46085</v>
      </c>
      <c r="I3444" s="127">
        <v>0.45416666666666666</v>
      </c>
      <c r="J3444"/>
      <c r="K3444"/>
      <c r="L3444"/>
    </row>
    <row r="3445" spans="1:12">
      <c r="A3445" s="95" t="s">
        <v>2535</v>
      </c>
      <c r="B3445" t="s">
        <v>6446</v>
      </c>
      <c r="C3445" s="87" t="s">
        <v>2596</v>
      </c>
      <c r="D3445" s="88"/>
      <c r="E3445" s="89">
        <v>65089294</v>
      </c>
      <c r="F3445"/>
      <c r="G3445" s="17" t="s">
        <v>1</v>
      </c>
      <c r="H3445" s="132">
        <v>46085</v>
      </c>
      <c r="I3445" s="127">
        <v>0.4548611111111111</v>
      </c>
      <c r="J3445"/>
      <c r="K3445"/>
      <c r="L3445"/>
    </row>
    <row r="3446" spans="1:12">
      <c r="A3446" s="95" t="s">
        <v>2535</v>
      </c>
      <c r="B3446" t="s">
        <v>6446</v>
      </c>
      <c r="C3446" s="87" t="s">
        <v>2597</v>
      </c>
      <c r="D3446" s="88"/>
      <c r="E3446" s="89">
        <v>65750291</v>
      </c>
      <c r="F3446"/>
      <c r="G3446" s="17" t="s">
        <v>2</v>
      </c>
      <c r="H3446" s="132">
        <v>46085</v>
      </c>
      <c r="I3446" s="127">
        <v>0.45555555555555555</v>
      </c>
      <c r="J3446"/>
      <c r="K3446"/>
      <c r="L3446"/>
    </row>
    <row r="3447" spans="1:12">
      <c r="A3447" s="95" t="s">
        <v>2535</v>
      </c>
      <c r="B3447" t="s">
        <v>6446</v>
      </c>
      <c r="C3447" s="87" t="s">
        <v>2598</v>
      </c>
      <c r="D3447" s="88"/>
      <c r="E3447" s="89">
        <v>66805412</v>
      </c>
      <c r="F3447"/>
      <c r="G3447" s="17" t="s">
        <v>3</v>
      </c>
      <c r="H3447" s="132">
        <v>46085</v>
      </c>
      <c r="I3447" s="127">
        <v>0.46319444444444446</v>
      </c>
      <c r="J3447"/>
      <c r="K3447"/>
      <c r="L3447"/>
    </row>
    <row r="3448" spans="1:12">
      <c r="A3448" s="95" t="s">
        <v>2535</v>
      </c>
      <c r="B3448" t="s">
        <v>6446</v>
      </c>
      <c r="C3448" s="87" t="s">
        <v>2599</v>
      </c>
      <c r="D3448" s="88"/>
      <c r="E3448" s="89">
        <v>66703613</v>
      </c>
      <c r="F3448"/>
      <c r="G3448" s="17" t="s">
        <v>9</v>
      </c>
      <c r="H3448" s="132">
        <v>46085</v>
      </c>
      <c r="I3448" s="127">
        <v>0.46388888888888891</v>
      </c>
      <c r="J3448"/>
      <c r="K3448"/>
      <c r="L3448"/>
    </row>
    <row r="3449" spans="1:12">
      <c r="A3449" s="95" t="s">
        <v>2535</v>
      </c>
      <c r="B3449" t="s">
        <v>6446</v>
      </c>
      <c r="C3449" s="87" t="s">
        <v>2600</v>
      </c>
      <c r="D3449" s="88"/>
      <c r="E3449" s="89">
        <v>68915999</v>
      </c>
      <c r="F3449"/>
      <c r="G3449" s="17" t="s">
        <v>6</v>
      </c>
      <c r="H3449" s="132">
        <v>46085</v>
      </c>
      <c r="I3449" s="127">
        <v>0.47499999999999998</v>
      </c>
      <c r="J3449"/>
      <c r="K3449"/>
      <c r="L3449"/>
    </row>
    <row r="3450" spans="1:12">
      <c r="A3450" s="95" t="s">
        <v>2535</v>
      </c>
      <c r="B3450" t="s">
        <v>6446</v>
      </c>
      <c r="C3450" s="87" t="s">
        <v>2601</v>
      </c>
      <c r="D3450" s="88"/>
      <c r="E3450" s="89">
        <v>67437968</v>
      </c>
      <c r="F3450"/>
      <c r="G3450" s="17" t="s">
        <v>1</v>
      </c>
      <c r="H3450" s="132">
        <v>46085</v>
      </c>
      <c r="I3450" s="127">
        <v>0.47638888888888886</v>
      </c>
      <c r="J3450"/>
      <c r="K3450"/>
      <c r="L3450"/>
    </row>
    <row r="3451" spans="1:12">
      <c r="A3451" s="95" t="s">
        <v>2535</v>
      </c>
      <c r="B3451" t="s">
        <v>6446</v>
      </c>
      <c r="C3451" s="87" t="s">
        <v>2602</v>
      </c>
      <c r="D3451" s="88"/>
      <c r="E3451" s="89">
        <v>64025220</v>
      </c>
      <c r="F3451"/>
      <c r="G3451" s="17" t="s">
        <v>2</v>
      </c>
      <c r="H3451" s="132">
        <v>46085</v>
      </c>
      <c r="I3451" s="127">
        <v>0.47847222222222224</v>
      </c>
      <c r="J3451"/>
      <c r="K3451"/>
      <c r="L3451"/>
    </row>
    <row r="3452" spans="1:12">
      <c r="A3452" s="95" t="s">
        <v>2535</v>
      </c>
      <c r="B3452" t="s">
        <v>6446</v>
      </c>
      <c r="C3452" s="87" t="s">
        <v>2603</v>
      </c>
      <c r="D3452" s="88"/>
      <c r="E3452" s="89">
        <v>60158613</v>
      </c>
      <c r="F3452"/>
      <c r="G3452" s="17" t="s">
        <v>6</v>
      </c>
      <c r="H3452" s="132">
        <v>46085</v>
      </c>
      <c r="I3452" s="127">
        <v>0.47986111111111113</v>
      </c>
      <c r="J3452"/>
      <c r="K3452"/>
      <c r="L3452"/>
    </row>
    <row r="3453" spans="1:12">
      <c r="A3453" s="95" t="s">
        <v>2535</v>
      </c>
      <c r="B3453" t="s">
        <v>6446</v>
      </c>
      <c r="C3453" s="87" t="s">
        <v>2604</v>
      </c>
      <c r="D3453" s="88"/>
      <c r="E3453" s="89">
        <v>66472106</v>
      </c>
      <c r="F3453"/>
      <c r="G3453" s="17" t="s">
        <v>1</v>
      </c>
      <c r="H3453" s="132">
        <v>46085</v>
      </c>
      <c r="I3453" s="127">
        <v>0.48055555555555557</v>
      </c>
      <c r="J3453"/>
      <c r="K3453"/>
      <c r="L3453"/>
    </row>
    <row r="3454" spans="1:12">
      <c r="A3454" s="95" t="s">
        <v>2535</v>
      </c>
      <c r="B3454" t="s">
        <v>6446</v>
      </c>
      <c r="C3454" s="87" t="s">
        <v>2605</v>
      </c>
      <c r="D3454" s="88"/>
      <c r="E3454" s="89">
        <v>65465663</v>
      </c>
      <c r="F3454"/>
      <c r="G3454" s="17" t="s">
        <v>2</v>
      </c>
      <c r="H3454" s="132">
        <v>46085</v>
      </c>
      <c r="I3454" s="127">
        <v>0.4826388888888889</v>
      </c>
      <c r="J3454"/>
      <c r="K3454"/>
      <c r="L3454"/>
    </row>
    <row r="3455" spans="1:12">
      <c r="A3455" s="95" t="s">
        <v>2535</v>
      </c>
      <c r="B3455" t="s">
        <v>6446</v>
      </c>
      <c r="C3455" s="87" t="s">
        <v>2606</v>
      </c>
      <c r="D3455" s="88"/>
      <c r="E3455" s="89">
        <v>68967366</v>
      </c>
      <c r="F3455"/>
      <c r="G3455" s="17" t="s">
        <v>1</v>
      </c>
      <c r="H3455" s="132">
        <v>46085</v>
      </c>
      <c r="I3455" s="127">
        <v>4.8611111111111112E-3</v>
      </c>
      <c r="J3455"/>
      <c r="K3455"/>
      <c r="L3455"/>
    </row>
    <row r="3456" spans="1:12">
      <c r="A3456" s="95" t="s">
        <v>2535</v>
      </c>
      <c r="B3456" t="s">
        <v>6446</v>
      </c>
      <c r="C3456" s="87" t="s">
        <v>2607</v>
      </c>
      <c r="D3456" s="88"/>
      <c r="E3456" s="89">
        <v>68361933</v>
      </c>
      <c r="F3456"/>
      <c r="G3456" s="17" t="s">
        <v>3</v>
      </c>
      <c r="H3456" s="132">
        <v>46085</v>
      </c>
      <c r="I3456" s="127">
        <v>0.52083333333333337</v>
      </c>
      <c r="J3456"/>
      <c r="K3456"/>
      <c r="L3456"/>
    </row>
    <row r="3457" spans="1:12">
      <c r="A3457" s="95" t="s">
        <v>2535</v>
      </c>
      <c r="B3457" t="s">
        <v>6446</v>
      </c>
      <c r="C3457" s="87" t="s">
        <v>2608</v>
      </c>
      <c r="D3457" s="88"/>
      <c r="E3457" s="89">
        <v>64965809</v>
      </c>
      <c r="F3457"/>
      <c r="G3457" s="17" t="s">
        <v>1</v>
      </c>
      <c r="H3457" s="132">
        <v>46085</v>
      </c>
      <c r="I3457" s="127">
        <v>0.52152777777777781</v>
      </c>
      <c r="J3457"/>
      <c r="K3457"/>
      <c r="L3457"/>
    </row>
    <row r="3458" spans="1:12">
      <c r="A3458" s="95" t="s">
        <v>2535</v>
      </c>
      <c r="B3458" t="s">
        <v>6446</v>
      </c>
      <c r="C3458" s="87" t="s">
        <v>2609</v>
      </c>
      <c r="D3458" s="88"/>
      <c r="E3458" s="89">
        <v>64128666</v>
      </c>
      <c r="F3458"/>
      <c r="G3458" s="17" t="s">
        <v>2</v>
      </c>
      <c r="H3458" s="132">
        <v>46085</v>
      </c>
      <c r="I3458" s="127">
        <v>0.52222222222222225</v>
      </c>
      <c r="J3458"/>
      <c r="K3458"/>
      <c r="L3458"/>
    </row>
    <row r="3459" spans="1:12">
      <c r="A3459" s="95" t="s">
        <v>2535</v>
      </c>
      <c r="B3459" t="s">
        <v>6446</v>
      </c>
      <c r="C3459" s="87" t="s">
        <v>2610</v>
      </c>
      <c r="D3459" s="88"/>
      <c r="E3459" s="89">
        <v>62542207</v>
      </c>
      <c r="F3459"/>
      <c r="G3459" s="17" t="s">
        <v>4</v>
      </c>
      <c r="H3459" s="132">
        <v>46085</v>
      </c>
      <c r="I3459" s="127">
        <v>0.52361111111111114</v>
      </c>
      <c r="J3459"/>
      <c r="K3459"/>
      <c r="L3459"/>
    </row>
    <row r="3460" spans="1:12">
      <c r="A3460" s="95" t="s">
        <v>2535</v>
      </c>
      <c r="B3460" t="s">
        <v>6446</v>
      </c>
      <c r="C3460" s="87" t="s">
        <v>2611</v>
      </c>
      <c r="D3460" s="88"/>
      <c r="E3460" s="89">
        <v>63550411</v>
      </c>
      <c r="F3460"/>
      <c r="G3460" s="17" t="s">
        <v>3</v>
      </c>
      <c r="H3460" s="132">
        <v>46085</v>
      </c>
      <c r="I3460" s="127">
        <v>0.59375</v>
      </c>
      <c r="J3460"/>
      <c r="K3460"/>
      <c r="L3460"/>
    </row>
    <row r="3461" spans="1:12">
      <c r="A3461" s="95" t="s">
        <v>2535</v>
      </c>
      <c r="B3461" t="s">
        <v>6446</v>
      </c>
      <c r="C3461" s="87" t="s">
        <v>2612</v>
      </c>
      <c r="D3461" s="88"/>
      <c r="E3461" s="89">
        <v>65989330</v>
      </c>
      <c r="F3461"/>
      <c r="G3461" s="17" t="s">
        <v>6</v>
      </c>
      <c r="H3461" s="132">
        <v>46085</v>
      </c>
      <c r="I3461" s="127">
        <v>0.59583333333333333</v>
      </c>
      <c r="J3461"/>
      <c r="K3461"/>
      <c r="L3461"/>
    </row>
    <row r="3462" spans="1:12">
      <c r="A3462" s="95" t="s">
        <v>2535</v>
      </c>
      <c r="B3462" t="s">
        <v>6446</v>
      </c>
      <c r="C3462" s="87" t="s">
        <v>2613</v>
      </c>
      <c r="D3462" s="88"/>
      <c r="E3462" s="89">
        <v>69086846</v>
      </c>
      <c r="F3462"/>
      <c r="G3462" s="17" t="s">
        <v>4</v>
      </c>
      <c r="H3462" s="132">
        <v>46085</v>
      </c>
      <c r="I3462" s="127">
        <v>0.59652777777777777</v>
      </c>
      <c r="J3462"/>
      <c r="K3462"/>
      <c r="L3462"/>
    </row>
    <row r="3463" spans="1:12">
      <c r="A3463" s="95" t="s">
        <v>2535</v>
      </c>
      <c r="B3463" t="s">
        <v>6446</v>
      </c>
      <c r="C3463" s="87" t="s">
        <v>2614</v>
      </c>
      <c r="D3463" s="88"/>
      <c r="E3463" s="89">
        <v>68772903</v>
      </c>
      <c r="F3463"/>
      <c r="G3463" s="17" t="s">
        <v>2</v>
      </c>
      <c r="H3463" s="132">
        <v>46085</v>
      </c>
      <c r="I3463" s="127">
        <v>0.59722222222222221</v>
      </c>
      <c r="J3463"/>
      <c r="K3463"/>
      <c r="L3463"/>
    </row>
    <row r="3464" spans="1:12">
      <c r="A3464" s="95" t="s">
        <v>2535</v>
      </c>
      <c r="B3464" t="s">
        <v>6446</v>
      </c>
      <c r="C3464" s="87" t="s">
        <v>2615</v>
      </c>
      <c r="D3464" s="88"/>
      <c r="E3464" s="89">
        <v>63619146</v>
      </c>
      <c r="F3464"/>
      <c r="G3464" s="17" t="s">
        <v>6</v>
      </c>
      <c r="H3464" s="132">
        <v>46085</v>
      </c>
      <c r="I3464" s="127">
        <v>0.59861111111111109</v>
      </c>
      <c r="J3464"/>
      <c r="K3464"/>
      <c r="L3464"/>
    </row>
    <row r="3465" spans="1:12">
      <c r="A3465" s="95" t="s">
        <v>2535</v>
      </c>
      <c r="B3465" t="s">
        <v>6446</v>
      </c>
      <c r="C3465" s="87" t="s">
        <v>2616</v>
      </c>
      <c r="D3465" s="88"/>
      <c r="E3465" s="89">
        <v>63006365</v>
      </c>
      <c r="F3465"/>
      <c r="G3465" s="17" t="s">
        <v>6</v>
      </c>
      <c r="H3465" s="132">
        <v>46085</v>
      </c>
      <c r="I3465" s="127">
        <v>0.59930555555555554</v>
      </c>
      <c r="J3465"/>
      <c r="K3465"/>
      <c r="L3465"/>
    </row>
    <row r="3466" spans="1:12">
      <c r="A3466" s="95" t="s">
        <v>2535</v>
      </c>
      <c r="B3466" t="s">
        <v>6446</v>
      </c>
      <c r="C3466" s="87" t="s">
        <v>2617</v>
      </c>
      <c r="D3466" s="88"/>
      <c r="E3466" s="89">
        <v>63889734</v>
      </c>
      <c r="F3466"/>
      <c r="G3466" s="17" t="s">
        <v>1</v>
      </c>
      <c r="H3466" s="132">
        <v>46085</v>
      </c>
      <c r="I3466" s="127">
        <v>0.6</v>
      </c>
      <c r="J3466"/>
      <c r="K3466"/>
      <c r="L3466"/>
    </row>
    <row r="3467" spans="1:12">
      <c r="A3467" s="95" t="s">
        <v>2535</v>
      </c>
      <c r="B3467" t="s">
        <v>6446</v>
      </c>
      <c r="C3467" s="87" t="s">
        <v>2618</v>
      </c>
      <c r="D3467" s="88"/>
      <c r="E3467" s="89">
        <v>7202209</v>
      </c>
      <c r="F3467"/>
      <c r="G3467" s="17" t="s">
        <v>9</v>
      </c>
      <c r="H3467" s="132">
        <v>46085</v>
      </c>
      <c r="I3467" s="127" t="s">
        <v>6453</v>
      </c>
      <c r="J3467"/>
      <c r="K3467"/>
      <c r="L3467"/>
    </row>
    <row r="3468" spans="1:12">
      <c r="A3468" s="95" t="s">
        <v>2535</v>
      </c>
      <c r="B3468" t="s">
        <v>6446</v>
      </c>
      <c r="C3468" s="87" t="s">
        <v>2619</v>
      </c>
      <c r="D3468" s="88"/>
      <c r="E3468" s="89">
        <v>69052462</v>
      </c>
      <c r="F3468"/>
      <c r="G3468" s="17" t="s">
        <v>9</v>
      </c>
      <c r="H3468" s="132">
        <v>46085</v>
      </c>
      <c r="I3468" s="127">
        <v>0.60277777777777775</v>
      </c>
      <c r="J3468"/>
      <c r="K3468"/>
      <c r="L3468"/>
    </row>
    <row r="3469" spans="1:12">
      <c r="A3469" s="95" t="s">
        <v>2535</v>
      </c>
      <c r="B3469" t="s">
        <v>6446</v>
      </c>
      <c r="C3469" s="87" t="s">
        <v>2620</v>
      </c>
      <c r="D3469" s="88"/>
      <c r="E3469" s="89">
        <v>66405645</v>
      </c>
      <c r="F3469"/>
      <c r="G3469" s="17" t="s">
        <v>4</v>
      </c>
      <c r="H3469" s="132">
        <v>46085</v>
      </c>
      <c r="I3469" s="127">
        <v>0.60555555555555551</v>
      </c>
      <c r="J3469"/>
      <c r="K3469"/>
      <c r="L3469"/>
    </row>
    <row r="3470" spans="1:12">
      <c r="A3470" s="95" t="s">
        <v>2535</v>
      </c>
      <c r="B3470" t="s">
        <v>6446</v>
      </c>
      <c r="C3470" s="87" t="s">
        <v>2621</v>
      </c>
      <c r="D3470" s="88"/>
      <c r="E3470" s="89">
        <v>62884317</v>
      </c>
      <c r="F3470"/>
      <c r="G3470" s="17" t="s">
        <v>1</v>
      </c>
      <c r="H3470" s="132">
        <v>46085</v>
      </c>
      <c r="I3470" s="127">
        <v>0.60763888888888884</v>
      </c>
      <c r="J3470"/>
      <c r="K3470"/>
      <c r="L3470"/>
    </row>
    <row r="3471" spans="1:12">
      <c r="A3471" s="95" t="s">
        <v>2535</v>
      </c>
      <c r="B3471" t="s">
        <v>6446</v>
      </c>
      <c r="C3471" s="87" t="s">
        <v>2622</v>
      </c>
      <c r="D3471" s="88"/>
      <c r="E3471" s="89">
        <v>69526894</v>
      </c>
      <c r="F3471"/>
      <c r="G3471" s="17" t="s">
        <v>1</v>
      </c>
      <c r="H3471" s="132">
        <v>46085</v>
      </c>
      <c r="I3471" s="127">
        <v>0.60833333333333328</v>
      </c>
      <c r="J3471"/>
      <c r="K3471"/>
      <c r="L3471"/>
    </row>
    <row r="3472" spans="1:12">
      <c r="A3472" s="95" t="s">
        <v>2535</v>
      </c>
      <c r="B3472" t="s">
        <v>6446</v>
      </c>
      <c r="C3472" s="87" t="s">
        <v>2623</v>
      </c>
      <c r="D3472" s="88"/>
      <c r="E3472" s="89">
        <v>68401158</v>
      </c>
      <c r="F3472"/>
      <c r="G3472" s="17" t="s">
        <v>1</v>
      </c>
      <c r="H3472" s="132">
        <v>46085</v>
      </c>
      <c r="I3472" s="127">
        <v>0.61388888888888893</v>
      </c>
      <c r="J3472"/>
      <c r="K3472"/>
      <c r="L3472"/>
    </row>
    <row r="3473" spans="1:12">
      <c r="A3473" s="95" t="s">
        <v>2535</v>
      </c>
      <c r="B3473" t="s">
        <v>6446</v>
      </c>
      <c r="C3473" s="87" t="s">
        <v>2624</v>
      </c>
      <c r="D3473" s="88"/>
      <c r="E3473" s="89">
        <v>69119175</v>
      </c>
      <c r="F3473"/>
      <c r="G3473" s="17" t="s">
        <v>2</v>
      </c>
      <c r="H3473" s="132">
        <v>46085</v>
      </c>
      <c r="I3473" s="127">
        <v>0.62152777777777779</v>
      </c>
      <c r="J3473"/>
      <c r="K3473"/>
      <c r="L3473"/>
    </row>
    <row r="3474" spans="1:12">
      <c r="A3474" s="95" t="s">
        <v>2535</v>
      </c>
      <c r="B3474" t="s">
        <v>6446</v>
      </c>
      <c r="C3474" s="87" t="s">
        <v>2625</v>
      </c>
      <c r="D3474" s="88"/>
      <c r="E3474" s="89">
        <v>7203573</v>
      </c>
      <c r="F3474"/>
      <c r="G3474" s="17" t="s">
        <v>9</v>
      </c>
      <c r="H3474" s="132">
        <v>46085</v>
      </c>
      <c r="I3474" s="127">
        <v>0.62291666666666667</v>
      </c>
      <c r="J3474"/>
      <c r="K3474"/>
      <c r="L3474"/>
    </row>
    <row r="3475" spans="1:12">
      <c r="A3475" s="95" t="s">
        <v>2535</v>
      </c>
      <c r="B3475" t="s">
        <v>6446</v>
      </c>
      <c r="C3475" s="87" t="s">
        <v>2626</v>
      </c>
      <c r="D3475" s="88"/>
      <c r="E3475" s="89">
        <v>69439397</v>
      </c>
      <c r="F3475"/>
      <c r="G3475" s="17" t="s">
        <v>2</v>
      </c>
      <c r="H3475" s="132">
        <v>46085</v>
      </c>
      <c r="I3475" s="127">
        <v>0.62430555555555556</v>
      </c>
      <c r="J3475"/>
      <c r="K3475"/>
      <c r="L3475"/>
    </row>
    <row r="3476" spans="1:12">
      <c r="A3476" s="95" t="s">
        <v>2535</v>
      </c>
      <c r="B3476" t="s">
        <v>6446</v>
      </c>
      <c r="C3476" s="87" t="s">
        <v>2627</v>
      </c>
      <c r="D3476" s="88"/>
      <c r="E3476" s="89">
        <v>60423309</v>
      </c>
      <c r="F3476"/>
      <c r="G3476" s="17" t="s">
        <v>6</v>
      </c>
      <c r="H3476" s="132">
        <v>46085</v>
      </c>
      <c r="I3476" s="127">
        <v>0.62569444444444444</v>
      </c>
      <c r="J3476"/>
      <c r="K3476"/>
      <c r="L3476"/>
    </row>
    <row r="3477" spans="1:12">
      <c r="A3477" s="95" t="s">
        <v>2535</v>
      </c>
      <c r="B3477" t="s">
        <v>6446</v>
      </c>
      <c r="C3477" s="87" t="s">
        <v>2628</v>
      </c>
      <c r="D3477" s="88"/>
      <c r="E3477" s="89">
        <v>61615918</v>
      </c>
      <c r="F3477"/>
      <c r="G3477" s="17" t="s">
        <v>1</v>
      </c>
      <c r="H3477" s="132">
        <v>46085</v>
      </c>
      <c r="I3477" s="127">
        <v>0.62638888888888888</v>
      </c>
      <c r="J3477"/>
      <c r="K3477"/>
      <c r="L3477"/>
    </row>
    <row r="3478" spans="1:12">
      <c r="A3478" s="95" t="s">
        <v>2535</v>
      </c>
      <c r="B3478" t="s">
        <v>6446</v>
      </c>
      <c r="C3478" s="87" t="s">
        <v>2629</v>
      </c>
      <c r="D3478" s="88"/>
      <c r="E3478" s="89">
        <v>62857528</v>
      </c>
      <c r="F3478"/>
      <c r="G3478" s="17" t="s">
        <v>3</v>
      </c>
      <c r="H3478" s="132">
        <v>46085</v>
      </c>
      <c r="I3478" s="127">
        <v>0.62777777777777777</v>
      </c>
      <c r="J3478"/>
      <c r="K3478"/>
      <c r="L3478"/>
    </row>
    <row r="3479" spans="1:12">
      <c r="A3479" s="95" t="s">
        <v>2535</v>
      </c>
      <c r="B3479" t="s">
        <v>6446</v>
      </c>
      <c r="C3479" s="87" t="s">
        <v>2630</v>
      </c>
      <c r="D3479" s="88"/>
      <c r="E3479" s="89">
        <v>64414312</v>
      </c>
      <c r="F3479"/>
      <c r="G3479" s="17" t="s">
        <v>6</v>
      </c>
      <c r="H3479" s="132">
        <v>46085</v>
      </c>
      <c r="I3479" s="127">
        <v>0.62847222222222221</v>
      </c>
      <c r="J3479"/>
      <c r="K3479"/>
      <c r="L3479"/>
    </row>
    <row r="3480" spans="1:12">
      <c r="A3480" s="95" t="s">
        <v>2535</v>
      </c>
      <c r="B3480" t="s">
        <v>6446</v>
      </c>
      <c r="C3480" s="87" t="s">
        <v>2631</v>
      </c>
      <c r="D3480" s="88"/>
      <c r="E3480" s="89">
        <v>68546775</v>
      </c>
      <c r="F3480"/>
      <c r="G3480" s="17" t="s">
        <v>3</v>
      </c>
      <c r="H3480" s="132">
        <v>46085</v>
      </c>
      <c r="I3480" s="127">
        <v>0.62916666666666665</v>
      </c>
      <c r="J3480"/>
      <c r="K3480"/>
      <c r="L3480"/>
    </row>
    <row r="3481" spans="1:12">
      <c r="A3481" s="95" t="s">
        <v>2535</v>
      </c>
      <c r="B3481" t="s">
        <v>6446</v>
      </c>
      <c r="C3481" s="87" t="s">
        <v>2632</v>
      </c>
      <c r="D3481" s="88"/>
      <c r="E3481" s="89">
        <v>66762696</v>
      </c>
      <c r="F3481"/>
      <c r="G3481" s="17" t="s">
        <v>1</v>
      </c>
      <c r="H3481" s="132">
        <v>46085</v>
      </c>
      <c r="I3481" s="127" t="s">
        <v>6454</v>
      </c>
      <c r="J3481"/>
      <c r="K3481"/>
      <c r="L3481"/>
    </row>
    <row r="3482" spans="1:12">
      <c r="A3482" s="95" t="s">
        <v>2535</v>
      </c>
      <c r="B3482" t="s">
        <v>6446</v>
      </c>
      <c r="C3482" s="87" t="s">
        <v>2633</v>
      </c>
      <c r="D3482" s="88"/>
      <c r="E3482" s="89">
        <v>65649809</v>
      </c>
      <c r="F3482"/>
      <c r="G3482" s="17" t="s">
        <v>2</v>
      </c>
      <c r="H3482" s="132">
        <v>46085</v>
      </c>
      <c r="I3482" s="127" t="s">
        <v>6455</v>
      </c>
      <c r="J3482"/>
      <c r="K3482"/>
      <c r="L3482"/>
    </row>
    <row r="3483" spans="1:12">
      <c r="A3483" s="95" t="s">
        <v>2535</v>
      </c>
      <c r="B3483" t="s">
        <v>6446</v>
      </c>
      <c r="C3483" s="87" t="s">
        <v>2634</v>
      </c>
      <c r="D3483" s="88"/>
      <c r="E3483" s="89">
        <v>7708240</v>
      </c>
      <c r="F3483"/>
      <c r="G3483" s="17" t="s">
        <v>9</v>
      </c>
      <c r="H3483" s="132"/>
      <c r="I3483" s="127" t="s">
        <v>6456</v>
      </c>
      <c r="J3483"/>
      <c r="K3483"/>
      <c r="L3483"/>
    </row>
    <row r="3484" spans="1:12">
      <c r="A3484" s="95" t="s">
        <v>2535</v>
      </c>
      <c r="B3484" t="s">
        <v>6446</v>
      </c>
      <c r="C3484" s="87" t="s">
        <v>2635</v>
      </c>
      <c r="D3484" s="88" t="s">
        <v>6457</v>
      </c>
      <c r="E3484" s="89">
        <v>66091836</v>
      </c>
      <c r="F3484"/>
      <c r="G3484" s="17" t="s">
        <v>1</v>
      </c>
      <c r="H3484" s="132">
        <v>46085</v>
      </c>
      <c r="I3484" s="127" t="s">
        <v>6458</v>
      </c>
      <c r="J3484"/>
      <c r="K3484"/>
      <c r="L3484"/>
    </row>
    <row r="3485" spans="1:12">
      <c r="A3485" s="95" t="s">
        <v>2535</v>
      </c>
      <c r="B3485" t="s">
        <v>6446</v>
      </c>
      <c r="C3485" s="87" t="s">
        <v>2636</v>
      </c>
      <c r="D3485" s="88" t="s">
        <v>6459</v>
      </c>
      <c r="E3485" s="89">
        <v>64840909</v>
      </c>
      <c r="F3485"/>
      <c r="G3485" s="17" t="s">
        <v>5</v>
      </c>
      <c r="H3485" s="132">
        <v>46085</v>
      </c>
      <c r="I3485" s="127" t="s">
        <v>6460</v>
      </c>
      <c r="J3485" t="s">
        <v>6461</v>
      </c>
      <c r="K3485"/>
      <c r="L3485"/>
    </row>
    <row r="3486" spans="1:12">
      <c r="A3486" s="95" t="s">
        <v>2535</v>
      </c>
      <c r="B3486" t="s">
        <v>6446</v>
      </c>
      <c r="C3486" s="87" t="s">
        <v>2637</v>
      </c>
      <c r="D3486" s="88"/>
      <c r="E3486" s="89">
        <v>61759116</v>
      </c>
      <c r="F3486"/>
      <c r="G3486" s="17" t="s">
        <v>9</v>
      </c>
      <c r="H3486" s="132">
        <v>46085</v>
      </c>
      <c r="I3486" s="127" t="s">
        <v>6462</v>
      </c>
      <c r="J3486"/>
      <c r="K3486"/>
      <c r="L3486"/>
    </row>
    <row r="3487" spans="1:12">
      <c r="A3487" s="95" t="s">
        <v>2535</v>
      </c>
      <c r="B3487" t="s">
        <v>6446</v>
      </c>
      <c r="C3487" s="87" t="s">
        <v>2638</v>
      </c>
      <c r="D3487" s="88"/>
      <c r="E3487" s="89">
        <v>69684118</v>
      </c>
      <c r="F3487"/>
      <c r="G3487" s="17" t="s">
        <v>2</v>
      </c>
      <c r="H3487" s="132">
        <v>46085</v>
      </c>
      <c r="I3487" s="127" t="s">
        <v>6463</v>
      </c>
      <c r="J3487"/>
      <c r="K3487"/>
      <c r="L3487"/>
    </row>
    <row r="3488" spans="1:12">
      <c r="A3488" s="95" t="s">
        <v>2535</v>
      </c>
      <c r="B3488" t="s">
        <v>6446</v>
      </c>
      <c r="C3488" s="87" t="s">
        <v>2639</v>
      </c>
      <c r="D3488" s="88"/>
      <c r="E3488" s="89">
        <v>66232232</v>
      </c>
      <c r="F3488"/>
      <c r="G3488" s="17" t="s">
        <v>3</v>
      </c>
      <c r="H3488" s="132">
        <v>46085</v>
      </c>
      <c r="I3488" s="127" t="s">
        <v>6464</v>
      </c>
      <c r="J3488"/>
      <c r="K3488"/>
      <c r="L3488"/>
    </row>
    <row r="3489" spans="1:12">
      <c r="A3489" s="95" t="s">
        <v>2535</v>
      </c>
      <c r="B3489" t="s">
        <v>6446</v>
      </c>
      <c r="C3489" s="87" t="s">
        <v>2640</v>
      </c>
      <c r="D3489" s="88"/>
      <c r="E3489" s="89">
        <v>7715179</v>
      </c>
      <c r="F3489"/>
      <c r="G3489" s="17" t="s">
        <v>2</v>
      </c>
      <c r="H3489" s="132">
        <v>46085</v>
      </c>
      <c r="I3489" s="127" t="s">
        <v>6465</v>
      </c>
      <c r="J3489"/>
      <c r="K3489"/>
      <c r="L3489"/>
    </row>
    <row r="3490" spans="1:12">
      <c r="A3490" s="95" t="s">
        <v>2535</v>
      </c>
      <c r="B3490" t="s">
        <v>6446</v>
      </c>
      <c r="C3490" s="87" t="s">
        <v>2641</v>
      </c>
      <c r="D3490" s="88" t="s">
        <v>6466</v>
      </c>
      <c r="E3490" s="89">
        <v>64983554</v>
      </c>
      <c r="F3490"/>
      <c r="G3490" s="17" t="s">
        <v>1</v>
      </c>
      <c r="H3490" s="132">
        <v>46085</v>
      </c>
      <c r="I3490" s="127" t="s">
        <v>6467</v>
      </c>
      <c r="J3490"/>
      <c r="K3490"/>
      <c r="L3490"/>
    </row>
    <row r="3491" spans="1:12">
      <c r="A3491" s="95" t="s">
        <v>2535</v>
      </c>
      <c r="B3491" t="s">
        <v>6446</v>
      </c>
      <c r="C3491" s="87" t="s">
        <v>2642</v>
      </c>
      <c r="D3491" s="88"/>
      <c r="E3491" s="89">
        <v>7730500</v>
      </c>
      <c r="F3491"/>
      <c r="G3491" s="17" t="s">
        <v>9</v>
      </c>
      <c r="H3491" s="132">
        <v>46085</v>
      </c>
      <c r="I3491" s="127" t="s">
        <v>6468</v>
      </c>
      <c r="J3491"/>
      <c r="K3491"/>
      <c r="L3491"/>
    </row>
    <row r="3492" spans="1:12">
      <c r="A3492" s="95" t="s">
        <v>2535</v>
      </c>
      <c r="B3492" t="s">
        <v>6469</v>
      </c>
      <c r="C3492" s="87" t="s">
        <v>2643</v>
      </c>
      <c r="D3492" s="88" t="s">
        <v>6470</v>
      </c>
      <c r="E3492" s="89">
        <v>68096251</v>
      </c>
      <c r="F3492"/>
      <c r="G3492" s="17" t="s">
        <v>1</v>
      </c>
      <c r="H3492" s="132">
        <v>46084</v>
      </c>
      <c r="I3492" s="127" t="s">
        <v>5165</v>
      </c>
      <c r="J3492"/>
      <c r="K3492"/>
      <c r="L3492" t="s">
        <v>6471</v>
      </c>
    </row>
    <row r="3493" spans="1:12">
      <c r="A3493" s="95" t="s">
        <v>2535</v>
      </c>
      <c r="B3493" t="s">
        <v>6469</v>
      </c>
      <c r="C3493" s="87" t="s">
        <v>2644</v>
      </c>
      <c r="D3493" s="88"/>
      <c r="E3493" s="89">
        <v>62257871</v>
      </c>
      <c r="F3493"/>
      <c r="G3493" s="17" t="s">
        <v>3</v>
      </c>
      <c r="H3493" s="132">
        <v>46084</v>
      </c>
      <c r="I3493" s="127" t="s">
        <v>5125</v>
      </c>
      <c r="J3493"/>
      <c r="K3493"/>
      <c r="L3493" t="s">
        <v>6472</v>
      </c>
    </row>
    <row r="3494" spans="1:12">
      <c r="A3494" s="95" t="s">
        <v>2535</v>
      </c>
      <c r="B3494" t="s">
        <v>6469</v>
      </c>
      <c r="C3494" s="87" t="s">
        <v>2645</v>
      </c>
      <c r="D3494" s="88"/>
      <c r="E3494" s="89">
        <v>67972877</v>
      </c>
      <c r="F3494"/>
      <c r="G3494" s="17" t="s">
        <v>6</v>
      </c>
      <c r="H3494" s="132">
        <v>46084</v>
      </c>
      <c r="I3494" s="127" t="s">
        <v>6473</v>
      </c>
      <c r="J3494" s="22">
        <v>46085</v>
      </c>
      <c r="K3494" t="s">
        <v>6206</v>
      </c>
      <c r="L3494"/>
    </row>
    <row r="3495" spans="1:12">
      <c r="A3495" s="95" t="s">
        <v>2535</v>
      </c>
      <c r="B3495" t="s">
        <v>6469</v>
      </c>
      <c r="C3495" s="87" t="s">
        <v>2646</v>
      </c>
      <c r="D3495" s="88"/>
      <c r="E3495" s="89">
        <v>64157151</v>
      </c>
      <c r="F3495"/>
      <c r="G3495" s="17" t="s">
        <v>6</v>
      </c>
      <c r="H3495" s="132">
        <v>46084</v>
      </c>
      <c r="I3495" s="127" t="s">
        <v>6474</v>
      </c>
      <c r="J3495" s="22">
        <v>46085</v>
      </c>
      <c r="K3495" t="s">
        <v>5071</v>
      </c>
      <c r="L3495"/>
    </row>
    <row r="3496" spans="1:12">
      <c r="A3496" s="95" t="s">
        <v>2535</v>
      </c>
      <c r="B3496" t="s">
        <v>6469</v>
      </c>
      <c r="C3496" s="87" t="s">
        <v>2647</v>
      </c>
      <c r="D3496" s="88"/>
      <c r="E3496" s="89">
        <v>65604336</v>
      </c>
      <c r="F3496"/>
      <c r="G3496" s="17" t="s">
        <v>3</v>
      </c>
      <c r="H3496" s="132">
        <v>46084</v>
      </c>
      <c r="I3496" s="127" t="s">
        <v>6475</v>
      </c>
      <c r="J3496" s="22">
        <v>46085</v>
      </c>
      <c r="K3496" t="s">
        <v>6476</v>
      </c>
      <c r="L3496"/>
    </row>
    <row r="3497" spans="1:12">
      <c r="A3497" s="95" t="s">
        <v>2535</v>
      </c>
      <c r="B3497" t="s">
        <v>6469</v>
      </c>
      <c r="C3497" s="87" t="s">
        <v>2648</v>
      </c>
      <c r="D3497" s="88"/>
      <c r="E3497" s="89">
        <v>68332196</v>
      </c>
      <c r="F3497"/>
      <c r="G3497" s="17" t="s">
        <v>2</v>
      </c>
      <c r="H3497" s="132">
        <v>46084</v>
      </c>
      <c r="I3497" s="127" t="s">
        <v>6477</v>
      </c>
      <c r="J3497" s="22">
        <v>46085</v>
      </c>
      <c r="K3497" t="s">
        <v>5072</v>
      </c>
      <c r="L3497"/>
    </row>
    <row r="3498" spans="1:12">
      <c r="A3498" s="95" t="s">
        <v>2535</v>
      </c>
      <c r="B3498" t="s">
        <v>6469</v>
      </c>
      <c r="C3498" s="87" t="s">
        <v>2649</v>
      </c>
      <c r="D3498" s="88"/>
      <c r="E3498" s="89">
        <v>68024745</v>
      </c>
      <c r="F3498"/>
      <c r="G3498" s="17" t="s">
        <v>3</v>
      </c>
      <c r="H3498" s="132">
        <v>46084</v>
      </c>
      <c r="I3498" s="127" t="s">
        <v>6478</v>
      </c>
      <c r="J3498"/>
      <c r="K3498"/>
      <c r="L3498"/>
    </row>
    <row r="3499" spans="1:12">
      <c r="A3499" s="95" t="s">
        <v>2535</v>
      </c>
      <c r="B3499" t="s">
        <v>6469</v>
      </c>
      <c r="C3499" s="87" t="s">
        <v>2650</v>
      </c>
      <c r="D3499" s="88"/>
      <c r="E3499" s="89">
        <v>62814089</v>
      </c>
      <c r="F3499"/>
      <c r="G3499" s="17" t="s">
        <v>3</v>
      </c>
      <c r="H3499" s="132">
        <v>46084</v>
      </c>
      <c r="I3499" s="127" t="s">
        <v>6479</v>
      </c>
      <c r="J3499"/>
      <c r="K3499"/>
      <c r="L3499" t="s">
        <v>3660</v>
      </c>
    </row>
    <row r="3500" spans="1:12">
      <c r="A3500" s="95" t="s">
        <v>2535</v>
      </c>
      <c r="B3500" t="s">
        <v>6469</v>
      </c>
      <c r="C3500" s="87" t="s">
        <v>2651</v>
      </c>
      <c r="D3500" s="88"/>
      <c r="E3500" s="89">
        <v>63042768</v>
      </c>
      <c r="F3500"/>
      <c r="G3500" s="17" t="s">
        <v>9</v>
      </c>
      <c r="H3500" s="132">
        <v>46084</v>
      </c>
      <c r="I3500" s="127" t="s">
        <v>6480</v>
      </c>
      <c r="J3500"/>
      <c r="K3500"/>
      <c r="L3500"/>
    </row>
    <row r="3501" spans="1:12">
      <c r="A3501" s="95" t="s">
        <v>2535</v>
      </c>
      <c r="B3501" t="s">
        <v>6469</v>
      </c>
      <c r="C3501" s="87" t="s">
        <v>2652</v>
      </c>
      <c r="D3501" s="88"/>
      <c r="E3501" s="89">
        <v>68251165</v>
      </c>
      <c r="F3501"/>
      <c r="G3501" s="17" t="s">
        <v>8</v>
      </c>
      <c r="H3501" s="132">
        <v>46084</v>
      </c>
      <c r="I3501" s="127" t="s">
        <v>6481</v>
      </c>
      <c r="J3501" s="22">
        <v>46085</v>
      </c>
      <c r="K3501" t="s">
        <v>6482</v>
      </c>
      <c r="L3501" t="s">
        <v>6483</v>
      </c>
    </row>
    <row r="3502" spans="1:12">
      <c r="A3502" s="95" t="s">
        <v>2535</v>
      </c>
      <c r="B3502" t="s">
        <v>6469</v>
      </c>
      <c r="C3502" s="87" t="s">
        <v>2653</v>
      </c>
      <c r="D3502" s="88"/>
      <c r="E3502" s="89">
        <v>7758845</v>
      </c>
      <c r="F3502"/>
      <c r="G3502" s="17" t="s">
        <v>6</v>
      </c>
      <c r="H3502" s="132">
        <v>46084</v>
      </c>
      <c r="I3502" s="127" t="s">
        <v>6484</v>
      </c>
      <c r="J3502" s="22">
        <v>46085</v>
      </c>
      <c r="K3502" t="s">
        <v>5074</v>
      </c>
      <c r="L3502"/>
    </row>
    <row r="3503" spans="1:12">
      <c r="A3503" s="95" t="s">
        <v>2535</v>
      </c>
      <c r="B3503" t="s">
        <v>6469</v>
      </c>
      <c r="C3503" s="87" t="s">
        <v>2654</v>
      </c>
      <c r="D3503" s="88"/>
      <c r="E3503" s="89">
        <v>66436659</v>
      </c>
      <c r="F3503"/>
      <c r="G3503" s="17" t="s">
        <v>2</v>
      </c>
      <c r="H3503" s="132">
        <v>46084</v>
      </c>
      <c r="I3503" s="127" t="s">
        <v>6485</v>
      </c>
      <c r="J3503"/>
      <c r="K3503"/>
      <c r="L3503"/>
    </row>
    <row r="3504" spans="1:12">
      <c r="A3504" s="95" t="s">
        <v>2535</v>
      </c>
      <c r="B3504" t="s">
        <v>6469</v>
      </c>
      <c r="C3504" s="87" t="s">
        <v>2655</v>
      </c>
      <c r="D3504" s="88"/>
      <c r="E3504" s="89">
        <v>67923347</v>
      </c>
      <c r="F3504"/>
      <c r="G3504" s="17" t="s">
        <v>6</v>
      </c>
      <c r="H3504" s="132">
        <v>46084</v>
      </c>
      <c r="I3504" s="127" t="s">
        <v>6486</v>
      </c>
      <c r="J3504" s="22">
        <v>46085</v>
      </c>
      <c r="K3504" t="s">
        <v>3246</v>
      </c>
      <c r="L3504"/>
    </row>
    <row r="3505" spans="1:12">
      <c r="A3505" s="95" t="s">
        <v>2535</v>
      </c>
      <c r="B3505" t="s">
        <v>6469</v>
      </c>
      <c r="C3505" s="87" t="s">
        <v>2656</v>
      </c>
      <c r="D3505" s="88"/>
      <c r="E3505" s="89">
        <v>68168454</v>
      </c>
      <c r="F3505"/>
      <c r="G3505" s="17" t="s">
        <v>2</v>
      </c>
      <c r="H3505" s="132">
        <v>46084</v>
      </c>
      <c r="I3505" s="127" t="s">
        <v>6487</v>
      </c>
      <c r="J3505"/>
      <c r="K3505"/>
      <c r="L3505"/>
    </row>
    <row r="3506" spans="1:12">
      <c r="A3506" s="95" t="s">
        <v>2535</v>
      </c>
      <c r="B3506" t="s">
        <v>6469</v>
      </c>
      <c r="C3506" s="87" t="s">
        <v>2657</v>
      </c>
      <c r="D3506" s="88"/>
      <c r="E3506" s="89">
        <v>68865930</v>
      </c>
      <c r="F3506"/>
      <c r="G3506" s="17" t="s">
        <v>8</v>
      </c>
      <c r="H3506" s="132">
        <v>46084</v>
      </c>
      <c r="I3506" s="127" t="s">
        <v>6488</v>
      </c>
      <c r="J3506" s="22">
        <v>46085</v>
      </c>
      <c r="K3506" t="s">
        <v>5075</v>
      </c>
      <c r="L3506" t="s">
        <v>6489</v>
      </c>
    </row>
    <row r="3507" spans="1:12">
      <c r="A3507" s="95" t="s">
        <v>2535</v>
      </c>
      <c r="B3507" t="s">
        <v>6469</v>
      </c>
      <c r="C3507" s="87" t="s">
        <v>2658</v>
      </c>
      <c r="D3507" s="88"/>
      <c r="E3507" s="89">
        <v>67245596</v>
      </c>
      <c r="F3507"/>
      <c r="G3507" s="17" t="s">
        <v>3</v>
      </c>
      <c r="H3507" s="132">
        <v>46084</v>
      </c>
      <c r="I3507" s="127" t="s">
        <v>6490</v>
      </c>
      <c r="J3507"/>
      <c r="K3507"/>
      <c r="L3507" t="s">
        <v>3660</v>
      </c>
    </row>
    <row r="3508" spans="1:12">
      <c r="A3508" s="95" t="s">
        <v>2535</v>
      </c>
      <c r="B3508" t="s">
        <v>6469</v>
      </c>
      <c r="C3508" s="87" t="s">
        <v>2659</v>
      </c>
      <c r="D3508" s="88"/>
      <c r="E3508" s="89">
        <v>68756868</v>
      </c>
      <c r="F3508"/>
      <c r="G3508" s="17" t="s">
        <v>2</v>
      </c>
      <c r="H3508" s="132">
        <v>46084</v>
      </c>
      <c r="I3508" s="127" t="s">
        <v>6491</v>
      </c>
      <c r="J3508"/>
      <c r="K3508"/>
      <c r="L3508"/>
    </row>
    <row r="3509" spans="1:12">
      <c r="A3509" s="95" t="s">
        <v>2535</v>
      </c>
      <c r="B3509" t="s">
        <v>6469</v>
      </c>
      <c r="C3509" s="87" t="s">
        <v>2660</v>
      </c>
      <c r="D3509" s="88"/>
      <c r="E3509" s="89">
        <v>66912171</v>
      </c>
      <c r="F3509"/>
      <c r="G3509" s="17" t="s">
        <v>2</v>
      </c>
      <c r="H3509" s="132">
        <v>46084</v>
      </c>
      <c r="I3509" s="127" t="s">
        <v>6492</v>
      </c>
      <c r="J3509"/>
      <c r="K3509"/>
      <c r="L3509"/>
    </row>
    <row r="3510" spans="1:12">
      <c r="A3510" s="95" t="s">
        <v>2535</v>
      </c>
      <c r="B3510" t="s">
        <v>6469</v>
      </c>
      <c r="C3510" s="87" t="s">
        <v>2661</v>
      </c>
      <c r="D3510" s="88"/>
      <c r="E3510" s="89">
        <v>66059097</v>
      </c>
      <c r="F3510"/>
      <c r="G3510" s="17" t="s">
        <v>3</v>
      </c>
      <c r="H3510" s="132">
        <v>46084</v>
      </c>
      <c r="I3510" s="127" t="s">
        <v>5159</v>
      </c>
      <c r="J3510"/>
      <c r="K3510"/>
      <c r="L3510"/>
    </row>
    <row r="3511" spans="1:12">
      <c r="A3511" s="95" t="s">
        <v>2535</v>
      </c>
      <c r="B3511" t="s">
        <v>6469</v>
      </c>
      <c r="C3511" s="87" t="s">
        <v>2662</v>
      </c>
      <c r="D3511" s="88"/>
      <c r="E3511" s="89">
        <v>63206831</v>
      </c>
      <c r="F3511"/>
      <c r="G3511" s="17" t="s">
        <v>8</v>
      </c>
      <c r="H3511" s="132">
        <v>46084</v>
      </c>
      <c r="I3511" s="127" t="s">
        <v>6493</v>
      </c>
      <c r="J3511"/>
      <c r="K3511"/>
      <c r="L3511"/>
    </row>
    <row r="3512" spans="1:12">
      <c r="A3512" s="95" t="s">
        <v>2535</v>
      </c>
      <c r="B3512" t="s">
        <v>6469</v>
      </c>
      <c r="C3512" s="87" t="s">
        <v>2663</v>
      </c>
      <c r="D3512" s="88"/>
      <c r="E3512" s="89">
        <v>68282568</v>
      </c>
      <c r="F3512"/>
      <c r="G3512" s="17" t="s">
        <v>1</v>
      </c>
      <c r="H3512" s="132">
        <v>46084</v>
      </c>
      <c r="I3512" s="127" t="s">
        <v>6494</v>
      </c>
      <c r="J3512"/>
      <c r="K3512"/>
      <c r="L3512" t="s">
        <v>6471</v>
      </c>
    </row>
    <row r="3513" spans="1:12">
      <c r="A3513" s="95" t="s">
        <v>2535</v>
      </c>
      <c r="B3513" t="s">
        <v>6469</v>
      </c>
      <c r="C3513" s="87" t="s">
        <v>2664</v>
      </c>
      <c r="D3513" s="88"/>
      <c r="E3513" s="89">
        <v>66324692</v>
      </c>
      <c r="F3513"/>
      <c r="G3513" s="17" t="s">
        <v>8</v>
      </c>
      <c r="H3513" s="132">
        <v>46084</v>
      </c>
      <c r="I3513" s="127" t="s">
        <v>6495</v>
      </c>
      <c r="J3513"/>
      <c r="K3513"/>
      <c r="L3513"/>
    </row>
    <row r="3514" spans="1:12">
      <c r="A3514" s="95" t="s">
        <v>2535</v>
      </c>
      <c r="B3514" t="s">
        <v>6469</v>
      </c>
      <c r="C3514" s="87" t="s">
        <v>2665</v>
      </c>
      <c r="D3514" s="88"/>
      <c r="E3514" s="89">
        <v>64309142</v>
      </c>
      <c r="F3514"/>
      <c r="G3514" s="17" t="s">
        <v>1</v>
      </c>
      <c r="H3514" s="132">
        <v>46084</v>
      </c>
      <c r="I3514" s="127" t="s">
        <v>6496</v>
      </c>
      <c r="J3514"/>
      <c r="K3514"/>
      <c r="L3514" t="s">
        <v>6497</v>
      </c>
    </row>
    <row r="3515" spans="1:12">
      <c r="A3515" s="95" t="s">
        <v>2535</v>
      </c>
      <c r="B3515" t="s">
        <v>6469</v>
      </c>
      <c r="C3515" s="87" t="s">
        <v>2666</v>
      </c>
      <c r="D3515" s="88"/>
      <c r="E3515" s="89">
        <v>7224490</v>
      </c>
      <c r="F3515"/>
      <c r="G3515" s="17" t="s">
        <v>9</v>
      </c>
      <c r="H3515" s="132">
        <v>46084</v>
      </c>
      <c r="I3515" s="127" t="s">
        <v>6498</v>
      </c>
      <c r="J3515"/>
      <c r="K3515"/>
      <c r="L3515"/>
    </row>
    <row r="3516" spans="1:12">
      <c r="A3516" s="95" t="s">
        <v>2535</v>
      </c>
      <c r="B3516" t="s">
        <v>6469</v>
      </c>
      <c r="C3516" s="87" t="s">
        <v>2667</v>
      </c>
      <c r="D3516" s="88"/>
      <c r="E3516" s="89">
        <v>64612970</v>
      </c>
      <c r="F3516"/>
      <c r="G3516" s="17" t="s">
        <v>3</v>
      </c>
      <c r="H3516" s="132">
        <v>46084</v>
      </c>
      <c r="I3516" s="127" t="s">
        <v>6499</v>
      </c>
      <c r="J3516"/>
      <c r="K3516"/>
      <c r="L3516" t="s">
        <v>6143</v>
      </c>
    </row>
    <row r="3517" spans="1:12">
      <c r="A3517" s="95" t="s">
        <v>2535</v>
      </c>
      <c r="B3517" t="s">
        <v>6469</v>
      </c>
      <c r="C3517" s="87" t="s">
        <v>2668</v>
      </c>
      <c r="D3517" s="88"/>
      <c r="E3517" s="89">
        <v>64077522</v>
      </c>
      <c r="F3517"/>
      <c r="G3517" s="17" t="s">
        <v>4</v>
      </c>
      <c r="H3517" s="132">
        <v>46084</v>
      </c>
      <c r="I3517" s="127" t="s">
        <v>6500</v>
      </c>
      <c r="J3517" s="22">
        <v>46085</v>
      </c>
      <c r="K3517" t="s">
        <v>6501</v>
      </c>
      <c r="L3517" t="s">
        <v>6502</v>
      </c>
    </row>
    <row r="3518" spans="1:12">
      <c r="A3518" s="95" t="s">
        <v>2535</v>
      </c>
      <c r="B3518" t="s">
        <v>6469</v>
      </c>
      <c r="C3518" s="87" t="s">
        <v>2669</v>
      </c>
      <c r="D3518" s="88"/>
      <c r="E3518" s="89">
        <v>69910605</v>
      </c>
      <c r="F3518"/>
      <c r="G3518" s="17" t="s">
        <v>2</v>
      </c>
      <c r="H3518" s="132">
        <v>46084</v>
      </c>
      <c r="I3518" s="127" t="s">
        <v>6503</v>
      </c>
      <c r="J3518"/>
      <c r="K3518"/>
      <c r="L3518"/>
    </row>
    <row r="3519" spans="1:12">
      <c r="A3519" s="95" t="s">
        <v>2535</v>
      </c>
      <c r="B3519" t="s">
        <v>6469</v>
      </c>
      <c r="C3519" s="87" t="s">
        <v>2670</v>
      </c>
      <c r="D3519" s="88"/>
      <c r="E3519" s="89">
        <v>68689564</v>
      </c>
      <c r="F3519"/>
      <c r="G3519" s="17" t="s">
        <v>6</v>
      </c>
      <c r="H3519" s="132">
        <v>46084</v>
      </c>
      <c r="I3519" s="127" t="s">
        <v>6504</v>
      </c>
      <c r="J3519" s="22">
        <v>46085</v>
      </c>
      <c r="K3519" t="s">
        <v>6501</v>
      </c>
      <c r="L3519"/>
    </row>
    <row r="3520" spans="1:12">
      <c r="A3520" s="95" t="s">
        <v>2535</v>
      </c>
      <c r="B3520" t="s">
        <v>6469</v>
      </c>
      <c r="C3520" s="87" t="s">
        <v>2671</v>
      </c>
      <c r="D3520" s="88"/>
      <c r="E3520" s="89">
        <v>63873280</v>
      </c>
      <c r="F3520"/>
      <c r="G3520" s="17" t="s">
        <v>6</v>
      </c>
      <c r="H3520" s="132">
        <v>46084</v>
      </c>
      <c r="I3520" s="127" t="s">
        <v>6505</v>
      </c>
      <c r="J3520" s="22">
        <v>46085</v>
      </c>
      <c r="K3520" t="s">
        <v>6506</v>
      </c>
      <c r="L3520"/>
    </row>
    <row r="3521" spans="1:12">
      <c r="A3521" s="95" t="s">
        <v>2535</v>
      </c>
      <c r="B3521" t="s">
        <v>6469</v>
      </c>
      <c r="C3521" s="87" t="s">
        <v>2672</v>
      </c>
      <c r="D3521" s="88"/>
      <c r="E3521" s="89">
        <v>62323690</v>
      </c>
      <c r="F3521"/>
      <c r="G3521" s="17" t="s">
        <v>8</v>
      </c>
      <c r="H3521" s="132">
        <v>46084</v>
      </c>
      <c r="I3521" s="127" t="s">
        <v>6507</v>
      </c>
      <c r="J3521"/>
      <c r="K3521"/>
      <c r="L3521" t="s">
        <v>6471</v>
      </c>
    </row>
    <row r="3522" spans="1:12">
      <c r="A3522" s="95" t="s">
        <v>2535</v>
      </c>
      <c r="B3522" t="s">
        <v>6469</v>
      </c>
      <c r="C3522" s="87" t="s">
        <v>2673</v>
      </c>
      <c r="D3522" s="88" t="s">
        <v>6508</v>
      </c>
      <c r="E3522" s="89">
        <v>68426148</v>
      </c>
      <c r="F3522"/>
      <c r="G3522" s="17" t="s">
        <v>8</v>
      </c>
      <c r="H3522" s="132">
        <v>46084</v>
      </c>
      <c r="I3522" s="127" t="s">
        <v>6509</v>
      </c>
      <c r="J3522"/>
      <c r="K3522"/>
      <c r="L3522" t="s">
        <v>6471</v>
      </c>
    </row>
    <row r="3523" spans="1:12">
      <c r="A3523" s="95" t="s">
        <v>2535</v>
      </c>
      <c r="B3523" t="s">
        <v>6469</v>
      </c>
      <c r="C3523" s="87" t="s">
        <v>2674</v>
      </c>
      <c r="D3523" s="88"/>
      <c r="E3523" s="89">
        <v>66243696</v>
      </c>
      <c r="F3523"/>
      <c r="G3523" s="17" t="s">
        <v>3</v>
      </c>
      <c r="H3523" s="132">
        <v>46084</v>
      </c>
      <c r="I3523" s="127" t="s">
        <v>6510</v>
      </c>
      <c r="J3523"/>
      <c r="K3523"/>
      <c r="L3523" t="s">
        <v>6511</v>
      </c>
    </row>
    <row r="3524" spans="1:12">
      <c r="A3524" s="95" t="s">
        <v>2535</v>
      </c>
      <c r="B3524" t="s">
        <v>6469</v>
      </c>
      <c r="C3524" s="87" t="s">
        <v>2675</v>
      </c>
      <c r="D3524" s="88"/>
      <c r="E3524" s="89">
        <v>68676948</v>
      </c>
      <c r="F3524"/>
      <c r="G3524" s="17" t="s">
        <v>6</v>
      </c>
      <c r="H3524" s="132">
        <v>46084</v>
      </c>
      <c r="I3524" s="127" t="s">
        <v>6512</v>
      </c>
      <c r="J3524" s="22">
        <v>46085</v>
      </c>
      <c r="K3524" t="s">
        <v>5078</v>
      </c>
      <c r="L3524"/>
    </row>
    <row r="3525" spans="1:12">
      <c r="A3525" s="95" t="s">
        <v>2535</v>
      </c>
      <c r="B3525" t="s">
        <v>6469</v>
      </c>
      <c r="C3525" s="87" t="s">
        <v>2676</v>
      </c>
      <c r="D3525" s="88"/>
      <c r="E3525" s="89">
        <v>65809144</v>
      </c>
      <c r="F3525"/>
      <c r="G3525" s="17" t="s">
        <v>2</v>
      </c>
      <c r="H3525" s="132">
        <v>46084</v>
      </c>
      <c r="I3525" s="127" t="s">
        <v>6513</v>
      </c>
      <c r="J3525"/>
      <c r="K3525"/>
      <c r="L3525"/>
    </row>
    <row r="3526" spans="1:12">
      <c r="A3526" s="95" t="s">
        <v>2535</v>
      </c>
      <c r="B3526" t="s">
        <v>6469</v>
      </c>
      <c r="C3526" s="87" t="s">
        <v>2677</v>
      </c>
      <c r="D3526" s="88"/>
      <c r="E3526" s="89">
        <v>69754512</v>
      </c>
      <c r="F3526"/>
      <c r="G3526" s="17" t="s">
        <v>9</v>
      </c>
      <c r="H3526" s="132">
        <v>46084</v>
      </c>
      <c r="I3526" s="127" t="s">
        <v>6514</v>
      </c>
      <c r="J3526"/>
      <c r="K3526"/>
      <c r="L3526"/>
    </row>
    <row r="3527" spans="1:12">
      <c r="A3527" s="95" t="s">
        <v>2535</v>
      </c>
      <c r="B3527" t="s">
        <v>6469</v>
      </c>
      <c r="C3527" s="87" t="s">
        <v>2678</v>
      </c>
      <c r="D3527" s="88"/>
      <c r="E3527" s="89">
        <v>65837244</v>
      </c>
      <c r="F3527"/>
      <c r="G3527" s="17" t="s">
        <v>6</v>
      </c>
      <c r="H3527" s="132">
        <v>46084</v>
      </c>
      <c r="I3527" s="127" t="s">
        <v>6515</v>
      </c>
      <c r="J3527" s="22">
        <v>46085</v>
      </c>
      <c r="K3527" t="s">
        <v>6516</v>
      </c>
      <c r="L3527"/>
    </row>
    <row r="3528" spans="1:12">
      <c r="A3528" s="95" t="s">
        <v>2535</v>
      </c>
      <c r="B3528" t="s">
        <v>6469</v>
      </c>
      <c r="C3528" s="87" t="s">
        <v>2679</v>
      </c>
      <c r="D3528" s="88"/>
      <c r="E3528" s="89">
        <v>7758960</v>
      </c>
      <c r="F3528"/>
      <c r="G3528" s="17" t="s">
        <v>9</v>
      </c>
      <c r="H3528" s="132">
        <v>46084</v>
      </c>
      <c r="I3528" s="127" t="s">
        <v>5080</v>
      </c>
      <c r="J3528"/>
      <c r="K3528"/>
      <c r="L3528"/>
    </row>
    <row r="3529" spans="1:12">
      <c r="A3529" s="95" t="s">
        <v>2535</v>
      </c>
      <c r="B3529" t="s">
        <v>6469</v>
      </c>
      <c r="C3529" s="87" t="s">
        <v>2680</v>
      </c>
      <c r="D3529" s="88"/>
      <c r="E3529" s="89">
        <v>7703578</v>
      </c>
      <c r="F3529"/>
      <c r="G3529" s="17" t="s">
        <v>9</v>
      </c>
      <c r="H3529" s="132">
        <v>46084</v>
      </c>
      <c r="I3529" s="127" t="s">
        <v>6517</v>
      </c>
      <c r="J3529"/>
      <c r="K3529"/>
      <c r="L3529"/>
    </row>
    <row r="3530" spans="1:12">
      <c r="A3530" s="95" t="s">
        <v>2535</v>
      </c>
      <c r="B3530" t="s">
        <v>6469</v>
      </c>
      <c r="C3530" s="87" t="s">
        <v>2681</v>
      </c>
      <c r="D3530" s="88" t="s">
        <v>6518</v>
      </c>
      <c r="E3530" s="89">
        <v>69519171</v>
      </c>
      <c r="F3530"/>
      <c r="G3530" s="17" t="s">
        <v>1</v>
      </c>
      <c r="H3530" s="132">
        <v>46084</v>
      </c>
      <c r="I3530" s="127" t="s">
        <v>6519</v>
      </c>
      <c r="J3530" s="22">
        <v>46085</v>
      </c>
      <c r="K3530" t="s">
        <v>6520</v>
      </c>
      <c r="L3530" t="s">
        <v>6471</v>
      </c>
    </row>
    <row r="3531" spans="1:12">
      <c r="A3531" s="95" t="s">
        <v>2535</v>
      </c>
      <c r="B3531" t="s">
        <v>6469</v>
      </c>
      <c r="C3531" s="87" t="s">
        <v>2682</v>
      </c>
      <c r="D3531" s="88"/>
      <c r="E3531" s="89">
        <v>64034108</v>
      </c>
      <c r="F3531"/>
      <c r="G3531" s="17" t="s">
        <v>9</v>
      </c>
      <c r="H3531" s="132">
        <v>46084</v>
      </c>
      <c r="I3531" s="127" t="s">
        <v>6521</v>
      </c>
      <c r="J3531"/>
      <c r="K3531"/>
      <c r="L3531"/>
    </row>
    <row r="3532" spans="1:12">
      <c r="A3532" s="95" t="s">
        <v>2535</v>
      </c>
      <c r="B3532" t="s">
        <v>6469</v>
      </c>
      <c r="C3532" s="87" t="s">
        <v>2683</v>
      </c>
      <c r="D3532" s="88"/>
      <c r="E3532" s="89">
        <v>66573405</v>
      </c>
      <c r="F3532"/>
      <c r="G3532" s="17" t="s">
        <v>9</v>
      </c>
      <c r="H3532" s="132">
        <v>46084</v>
      </c>
      <c r="I3532" s="127" t="s">
        <v>6522</v>
      </c>
      <c r="J3532"/>
      <c r="K3532"/>
      <c r="L3532"/>
    </row>
    <row r="3533" spans="1:12">
      <c r="A3533" s="95" t="s">
        <v>2535</v>
      </c>
      <c r="B3533" t="s">
        <v>6469</v>
      </c>
      <c r="C3533" s="87" t="s">
        <v>2684</v>
      </c>
      <c r="D3533" s="88"/>
      <c r="E3533" s="89">
        <v>66352242</v>
      </c>
      <c r="F3533"/>
      <c r="G3533" s="17" t="s">
        <v>6</v>
      </c>
      <c r="H3533" s="132">
        <v>46084</v>
      </c>
      <c r="I3533" s="127" t="s">
        <v>6523</v>
      </c>
      <c r="J3533" s="22">
        <v>46085</v>
      </c>
      <c r="K3533" t="s">
        <v>6524</v>
      </c>
      <c r="L3533"/>
    </row>
    <row r="3534" spans="1:12">
      <c r="A3534" s="95" t="s">
        <v>2535</v>
      </c>
      <c r="B3534" t="s">
        <v>6469</v>
      </c>
      <c r="C3534" s="87" t="s">
        <v>2685</v>
      </c>
      <c r="D3534" s="88"/>
      <c r="E3534" s="89">
        <v>65586804</v>
      </c>
      <c r="F3534"/>
      <c r="G3534" s="17" t="s">
        <v>1</v>
      </c>
      <c r="H3534" s="132">
        <v>46084</v>
      </c>
      <c r="I3534" s="127" t="s">
        <v>6209</v>
      </c>
      <c r="J3534"/>
      <c r="K3534"/>
      <c r="L3534" t="s">
        <v>6525</v>
      </c>
    </row>
    <row r="3535" spans="1:12">
      <c r="A3535" s="95" t="s">
        <v>2535</v>
      </c>
      <c r="B3535" t="s">
        <v>6469</v>
      </c>
      <c r="C3535" s="87" t="s">
        <v>2686</v>
      </c>
      <c r="D3535" s="88"/>
      <c r="E3535" s="89">
        <v>69110082</v>
      </c>
      <c r="F3535"/>
      <c r="G3535" s="17" t="s">
        <v>4</v>
      </c>
      <c r="H3535" s="132">
        <v>46084</v>
      </c>
      <c r="I3535" s="127" t="s">
        <v>6526</v>
      </c>
      <c r="J3535"/>
      <c r="K3535"/>
      <c r="L3535" t="s">
        <v>6502</v>
      </c>
    </row>
    <row r="3536" spans="1:12">
      <c r="A3536" s="95" t="s">
        <v>2535</v>
      </c>
      <c r="B3536" t="s">
        <v>6469</v>
      </c>
      <c r="C3536" s="87" t="s">
        <v>2687</v>
      </c>
      <c r="D3536" s="88"/>
      <c r="E3536" s="89">
        <v>61982498</v>
      </c>
      <c r="F3536"/>
      <c r="G3536" s="17" t="s">
        <v>3</v>
      </c>
      <c r="H3536" s="132">
        <v>46084</v>
      </c>
      <c r="I3536" s="127" t="s">
        <v>6527</v>
      </c>
      <c r="J3536"/>
      <c r="K3536"/>
      <c r="L3536"/>
    </row>
    <row r="3537" spans="1:12">
      <c r="A3537" s="95" t="s">
        <v>2535</v>
      </c>
      <c r="B3537" t="s">
        <v>6469</v>
      </c>
      <c r="C3537" s="87" t="s">
        <v>2688</v>
      </c>
      <c r="D3537" s="88"/>
      <c r="E3537" s="89">
        <v>68850436</v>
      </c>
      <c r="F3537"/>
      <c r="G3537" s="17" t="s">
        <v>2</v>
      </c>
      <c r="H3537" s="132">
        <v>46084</v>
      </c>
      <c r="I3537" s="127" t="s">
        <v>5090</v>
      </c>
      <c r="J3537"/>
      <c r="K3537"/>
      <c r="L3537"/>
    </row>
    <row r="3538" spans="1:12">
      <c r="A3538" s="95" t="s">
        <v>2535</v>
      </c>
      <c r="B3538" t="s">
        <v>6469</v>
      </c>
      <c r="C3538" s="87" t="s">
        <v>2689</v>
      </c>
      <c r="D3538" s="88"/>
      <c r="E3538" s="89">
        <v>65530040</v>
      </c>
      <c r="F3538"/>
      <c r="G3538" s="17" t="s">
        <v>1</v>
      </c>
      <c r="H3538" s="132">
        <v>46084</v>
      </c>
      <c r="I3538" s="127" t="s">
        <v>5091</v>
      </c>
      <c r="J3538"/>
      <c r="K3538"/>
      <c r="L3538" t="s">
        <v>6471</v>
      </c>
    </row>
    <row r="3539" spans="1:12">
      <c r="A3539" s="95" t="s">
        <v>2535</v>
      </c>
      <c r="B3539" t="s">
        <v>6469</v>
      </c>
      <c r="C3539" s="87" t="s">
        <v>2690</v>
      </c>
      <c r="D3539" s="88"/>
      <c r="E3539" s="89">
        <v>65802538</v>
      </c>
      <c r="F3539"/>
      <c r="G3539" s="17" t="s">
        <v>3</v>
      </c>
      <c r="H3539" s="132">
        <v>46084</v>
      </c>
      <c r="I3539" s="127" t="s">
        <v>6528</v>
      </c>
      <c r="J3539" s="22">
        <v>46085</v>
      </c>
      <c r="K3539" t="s">
        <v>6529</v>
      </c>
      <c r="L3539"/>
    </row>
    <row r="3540" spans="1:12">
      <c r="A3540" s="95" t="s">
        <v>2535</v>
      </c>
      <c r="B3540" t="s">
        <v>6469</v>
      </c>
      <c r="C3540" s="87" t="s">
        <v>2691</v>
      </c>
      <c r="D3540" s="88"/>
      <c r="E3540" s="89">
        <v>67205298</v>
      </c>
      <c r="F3540"/>
      <c r="G3540" s="17" t="s">
        <v>6</v>
      </c>
      <c r="H3540" s="132">
        <v>46084</v>
      </c>
      <c r="I3540" s="127" t="s">
        <v>6530</v>
      </c>
      <c r="J3540" s="22">
        <v>46085</v>
      </c>
      <c r="K3540" t="s">
        <v>6531</v>
      </c>
      <c r="L3540"/>
    </row>
    <row r="3541" spans="1:12">
      <c r="A3541" s="95" t="s">
        <v>2535</v>
      </c>
      <c r="B3541" t="s">
        <v>6469</v>
      </c>
      <c r="C3541" s="87" t="s">
        <v>2692</v>
      </c>
      <c r="D3541" s="88"/>
      <c r="E3541" s="89">
        <v>7746924</v>
      </c>
      <c r="F3541"/>
      <c r="G3541" s="17" t="s">
        <v>9</v>
      </c>
      <c r="H3541" s="132">
        <v>46084</v>
      </c>
      <c r="I3541" s="127" t="s">
        <v>5086</v>
      </c>
      <c r="J3541"/>
      <c r="K3541"/>
      <c r="L3541"/>
    </row>
    <row r="3542" spans="1:12">
      <c r="A3542" s="95" t="s">
        <v>2535</v>
      </c>
      <c r="B3542" t="s">
        <v>6469</v>
      </c>
      <c r="C3542" s="87" t="s">
        <v>2693</v>
      </c>
      <c r="D3542" s="88"/>
      <c r="E3542" s="89">
        <v>64924696</v>
      </c>
      <c r="F3542"/>
      <c r="G3542" s="17" t="s">
        <v>1</v>
      </c>
      <c r="H3542" s="132">
        <v>46084</v>
      </c>
      <c r="I3542" s="127" t="s">
        <v>6532</v>
      </c>
      <c r="J3542"/>
      <c r="K3542"/>
      <c r="L3542" t="s">
        <v>6471</v>
      </c>
    </row>
    <row r="3543" spans="1:12">
      <c r="A3543" s="95" t="s">
        <v>2535</v>
      </c>
      <c r="B3543" t="s">
        <v>6469</v>
      </c>
      <c r="C3543" s="87" t="s">
        <v>2694</v>
      </c>
      <c r="D3543" s="88"/>
      <c r="E3543" s="89">
        <v>68642598</v>
      </c>
      <c r="F3543"/>
      <c r="G3543" s="17" t="s">
        <v>3</v>
      </c>
      <c r="H3543" s="132">
        <v>46084</v>
      </c>
      <c r="I3543" s="127" t="s">
        <v>6533</v>
      </c>
      <c r="J3543"/>
      <c r="K3543"/>
      <c r="L3543" t="s">
        <v>6534</v>
      </c>
    </row>
    <row r="3544" spans="1:12">
      <c r="A3544" s="95" t="s">
        <v>2535</v>
      </c>
      <c r="B3544" t="s">
        <v>6469</v>
      </c>
      <c r="C3544" s="87" t="s">
        <v>2695</v>
      </c>
      <c r="D3544" s="88"/>
      <c r="E3544" s="89">
        <v>6907170</v>
      </c>
      <c r="F3544"/>
      <c r="G3544" s="17" t="s">
        <v>4</v>
      </c>
      <c r="H3544" s="132">
        <v>46085</v>
      </c>
      <c r="I3544" s="127" t="s">
        <v>6535</v>
      </c>
      <c r="J3544"/>
      <c r="K3544"/>
      <c r="L3544" t="s">
        <v>5251</v>
      </c>
    </row>
    <row r="3545" spans="1:12">
      <c r="A3545" s="95" t="s">
        <v>2535</v>
      </c>
      <c r="B3545" t="s">
        <v>6469</v>
      </c>
      <c r="C3545" s="87" t="s">
        <v>2696</v>
      </c>
      <c r="D3545" s="88"/>
      <c r="E3545" s="89">
        <v>66019498</v>
      </c>
      <c r="F3545"/>
      <c r="G3545" s="17" t="s">
        <v>6</v>
      </c>
      <c r="H3545" s="132">
        <v>46085</v>
      </c>
      <c r="I3545" s="127" t="s">
        <v>6536</v>
      </c>
      <c r="J3545" s="22">
        <v>46085</v>
      </c>
      <c r="K3545" t="s">
        <v>6517</v>
      </c>
      <c r="L3545"/>
    </row>
    <row r="3546" spans="1:12">
      <c r="A3546" s="95" t="s">
        <v>2535</v>
      </c>
      <c r="B3546" t="s">
        <v>6469</v>
      </c>
      <c r="C3546" s="87" t="s">
        <v>2697</v>
      </c>
      <c r="D3546" s="88"/>
      <c r="E3546" s="89">
        <v>64928082</v>
      </c>
      <c r="F3546"/>
      <c r="G3546" s="17" t="s">
        <v>2</v>
      </c>
      <c r="H3546" s="132">
        <v>46085</v>
      </c>
      <c r="I3546" s="127" t="s">
        <v>6537</v>
      </c>
      <c r="J3546"/>
      <c r="K3546"/>
      <c r="L3546"/>
    </row>
    <row r="3547" spans="1:12">
      <c r="A3547" s="95" t="s">
        <v>2535</v>
      </c>
      <c r="B3547" t="s">
        <v>6469</v>
      </c>
      <c r="C3547" s="87" t="s">
        <v>2698</v>
      </c>
      <c r="D3547" s="88"/>
      <c r="E3547" s="89">
        <v>64098188</v>
      </c>
      <c r="F3547"/>
      <c r="G3547" s="17" t="s">
        <v>3</v>
      </c>
      <c r="H3547" s="132">
        <v>46085</v>
      </c>
      <c r="I3547" s="127" t="s">
        <v>6538</v>
      </c>
      <c r="J3547"/>
      <c r="K3547"/>
      <c r="L3547" t="s">
        <v>6539</v>
      </c>
    </row>
    <row r="3548" spans="1:12">
      <c r="A3548" s="95" t="s">
        <v>2535</v>
      </c>
      <c r="B3548" t="s">
        <v>6469</v>
      </c>
      <c r="C3548" s="87" t="s">
        <v>2699</v>
      </c>
      <c r="D3548" s="88"/>
      <c r="E3548" s="89">
        <v>63457985</v>
      </c>
      <c r="F3548"/>
      <c r="G3548" s="17" t="s">
        <v>1</v>
      </c>
      <c r="H3548" s="132">
        <v>46085</v>
      </c>
      <c r="I3548" s="127" t="s">
        <v>6540</v>
      </c>
      <c r="J3548"/>
      <c r="K3548"/>
      <c r="L3548" t="s">
        <v>6541</v>
      </c>
    </row>
    <row r="3549" spans="1:12">
      <c r="A3549" s="95" t="s">
        <v>2535</v>
      </c>
      <c r="B3549" t="s">
        <v>6469</v>
      </c>
      <c r="C3549" s="87" t="s">
        <v>2700</v>
      </c>
      <c r="D3549" s="88"/>
      <c r="E3549" s="89">
        <v>65963197</v>
      </c>
      <c r="F3549"/>
      <c r="G3549" s="17" t="s">
        <v>1</v>
      </c>
      <c r="H3549" s="132">
        <v>46085</v>
      </c>
      <c r="I3549" s="127" t="s">
        <v>6542</v>
      </c>
      <c r="J3549" s="22">
        <v>46085</v>
      </c>
      <c r="K3549" t="s">
        <v>6528</v>
      </c>
      <c r="L3549"/>
    </row>
    <row r="3550" spans="1:12">
      <c r="A3550" s="95" t="s">
        <v>2535</v>
      </c>
      <c r="B3550" t="s">
        <v>6469</v>
      </c>
      <c r="C3550" s="87" t="s">
        <v>2701</v>
      </c>
      <c r="D3550" s="88"/>
      <c r="E3550" s="89">
        <v>69527459</v>
      </c>
      <c r="F3550"/>
      <c r="G3550" s="17" t="s">
        <v>3</v>
      </c>
      <c r="H3550" s="132">
        <v>46085</v>
      </c>
      <c r="I3550" s="127" t="s">
        <v>6543</v>
      </c>
      <c r="J3550"/>
      <c r="K3550"/>
      <c r="L3550"/>
    </row>
    <row r="3551" spans="1:12">
      <c r="A3551" s="95" t="s">
        <v>2535</v>
      </c>
      <c r="B3551" t="s">
        <v>6469</v>
      </c>
      <c r="C3551" s="87" t="s">
        <v>2702</v>
      </c>
      <c r="D3551" s="88"/>
      <c r="E3551" s="89">
        <v>69043827</v>
      </c>
      <c r="F3551"/>
      <c r="G3551" s="17" t="s">
        <v>3</v>
      </c>
      <c r="H3551" s="132">
        <v>46085</v>
      </c>
      <c r="I3551" s="127" t="s">
        <v>6544</v>
      </c>
      <c r="J3551"/>
      <c r="K3551"/>
      <c r="L3551"/>
    </row>
    <row r="3552" spans="1:12">
      <c r="A3552" s="95" t="s">
        <v>2535</v>
      </c>
      <c r="B3552" t="s">
        <v>6469</v>
      </c>
      <c r="C3552" s="87" t="s">
        <v>2703</v>
      </c>
      <c r="D3552" s="88"/>
      <c r="E3552" s="89">
        <v>69489271</v>
      </c>
      <c r="F3552"/>
      <c r="G3552" s="17" t="s">
        <v>3</v>
      </c>
      <c r="H3552" s="132">
        <v>46085</v>
      </c>
      <c r="I3552" s="127" t="s">
        <v>6545</v>
      </c>
      <c r="J3552" s="22">
        <v>46085</v>
      </c>
      <c r="K3552" t="s">
        <v>5091</v>
      </c>
      <c r="L3552" t="s">
        <v>6546</v>
      </c>
    </row>
    <row r="3553" spans="1:12">
      <c r="A3553" s="95" t="s">
        <v>2535</v>
      </c>
      <c r="B3553" t="s">
        <v>6469</v>
      </c>
      <c r="C3553" s="87" t="s">
        <v>2704</v>
      </c>
      <c r="D3553" s="88"/>
      <c r="E3553" s="89">
        <v>65314236</v>
      </c>
      <c r="F3553"/>
      <c r="G3553" s="17" t="s">
        <v>2</v>
      </c>
      <c r="H3553" s="132">
        <v>46085</v>
      </c>
      <c r="I3553" s="127" t="s">
        <v>6547</v>
      </c>
      <c r="J3553"/>
      <c r="K3553"/>
      <c r="L3553"/>
    </row>
    <row r="3554" spans="1:12">
      <c r="A3554" s="95" t="s">
        <v>2535</v>
      </c>
      <c r="B3554" t="s">
        <v>6469</v>
      </c>
      <c r="C3554" s="87" t="s">
        <v>2705</v>
      </c>
      <c r="D3554" s="88"/>
      <c r="E3554" s="89">
        <v>66264052</v>
      </c>
      <c r="F3554"/>
      <c r="G3554" s="17" t="s">
        <v>8</v>
      </c>
      <c r="H3554" s="132">
        <v>46085</v>
      </c>
      <c r="I3554" s="127" t="s">
        <v>6548</v>
      </c>
      <c r="J3554"/>
      <c r="K3554"/>
      <c r="L3554"/>
    </row>
    <row r="3555" spans="1:12">
      <c r="A3555" s="95" t="s">
        <v>2535</v>
      </c>
      <c r="B3555" t="s">
        <v>6469</v>
      </c>
      <c r="C3555" s="87" t="s">
        <v>2706</v>
      </c>
      <c r="D3555" s="88"/>
      <c r="E3555" s="89">
        <v>66861515</v>
      </c>
      <c r="F3555"/>
      <c r="G3555" s="17" t="s">
        <v>2</v>
      </c>
      <c r="H3555" s="132">
        <v>46085</v>
      </c>
      <c r="I3555" s="127" t="s">
        <v>6549</v>
      </c>
      <c r="J3555"/>
      <c r="K3555"/>
      <c r="L3555"/>
    </row>
    <row r="3556" spans="1:12">
      <c r="A3556" s="95" t="s">
        <v>2535</v>
      </c>
      <c r="B3556" t="s">
        <v>6469</v>
      </c>
      <c r="C3556" s="87" t="s">
        <v>2707</v>
      </c>
      <c r="D3556" s="88"/>
      <c r="E3556" s="89">
        <v>67818129</v>
      </c>
      <c r="F3556"/>
      <c r="G3556" s="17" t="s">
        <v>1</v>
      </c>
      <c r="H3556" s="132">
        <v>46085</v>
      </c>
      <c r="I3556" s="127" t="s">
        <v>6550</v>
      </c>
      <c r="J3556"/>
      <c r="K3556"/>
      <c r="L3556" t="s">
        <v>6497</v>
      </c>
    </row>
    <row r="3557" spans="1:12">
      <c r="A3557" s="95" t="s">
        <v>2535</v>
      </c>
      <c r="B3557" t="s">
        <v>6469</v>
      </c>
      <c r="C3557" s="87" t="s">
        <v>2708</v>
      </c>
      <c r="D3557" s="88"/>
      <c r="E3557" s="89">
        <v>65095888</v>
      </c>
      <c r="F3557"/>
      <c r="G3557" s="17" t="s">
        <v>1</v>
      </c>
      <c r="H3557" s="132">
        <v>46085</v>
      </c>
      <c r="I3557" s="127" t="s">
        <v>6551</v>
      </c>
      <c r="J3557"/>
      <c r="K3557"/>
      <c r="L3557" t="s">
        <v>6497</v>
      </c>
    </row>
    <row r="3558" spans="1:12">
      <c r="A3558" s="95" t="s">
        <v>2535</v>
      </c>
      <c r="B3558" t="s">
        <v>6469</v>
      </c>
      <c r="C3558" s="87" t="s">
        <v>2709</v>
      </c>
      <c r="D3558" s="88"/>
      <c r="E3558" s="89">
        <v>64273817</v>
      </c>
      <c r="F3558"/>
      <c r="G3558" s="17" t="s">
        <v>2</v>
      </c>
      <c r="H3558" s="132">
        <v>46085</v>
      </c>
      <c r="I3558" s="127" t="s">
        <v>6552</v>
      </c>
      <c r="J3558"/>
      <c r="K3558"/>
      <c r="L3558"/>
    </row>
    <row r="3559" spans="1:12">
      <c r="A3559" s="95" t="s">
        <v>2535</v>
      </c>
      <c r="B3559" t="s">
        <v>6469</v>
      </c>
      <c r="C3559" s="87" t="s">
        <v>2710</v>
      </c>
      <c r="D3559" s="88"/>
      <c r="E3559" s="89">
        <v>69663373</v>
      </c>
      <c r="F3559"/>
      <c r="G3559" s="17" t="s">
        <v>1</v>
      </c>
      <c r="H3559" s="132">
        <v>46085</v>
      </c>
      <c r="I3559" s="127" t="s">
        <v>6553</v>
      </c>
      <c r="J3559"/>
      <c r="K3559"/>
      <c r="L3559" t="s">
        <v>6471</v>
      </c>
    </row>
    <row r="3560" spans="1:12">
      <c r="A3560" s="95" t="s">
        <v>2535</v>
      </c>
      <c r="B3560" t="s">
        <v>6469</v>
      </c>
      <c r="C3560" s="87" t="s">
        <v>2711</v>
      </c>
      <c r="D3560" s="88"/>
      <c r="E3560" s="89">
        <v>66632421</v>
      </c>
      <c r="F3560"/>
      <c r="G3560" s="17" t="s">
        <v>1</v>
      </c>
      <c r="H3560" s="132">
        <v>46085</v>
      </c>
      <c r="I3560" s="127" t="s">
        <v>6554</v>
      </c>
      <c r="J3560"/>
      <c r="K3560"/>
      <c r="L3560" t="s">
        <v>6471</v>
      </c>
    </row>
    <row r="3561" spans="1:12">
      <c r="A3561" s="95" t="s">
        <v>2535</v>
      </c>
      <c r="B3561" t="s">
        <v>6469</v>
      </c>
      <c r="C3561" s="87" t="s">
        <v>2712</v>
      </c>
      <c r="D3561" s="88" t="s">
        <v>6555</v>
      </c>
      <c r="E3561" s="89">
        <v>65115038</v>
      </c>
      <c r="F3561"/>
      <c r="G3561" s="17" t="s">
        <v>1</v>
      </c>
      <c r="H3561" s="132">
        <v>46085</v>
      </c>
      <c r="I3561" s="127" t="s">
        <v>5061</v>
      </c>
      <c r="J3561"/>
      <c r="K3561"/>
      <c r="L3561" t="s">
        <v>6556</v>
      </c>
    </row>
    <row r="3562" spans="1:12">
      <c r="A3562" s="95" t="s">
        <v>2535</v>
      </c>
      <c r="B3562" t="s">
        <v>6469</v>
      </c>
      <c r="C3562" s="87" t="s">
        <v>2713</v>
      </c>
      <c r="D3562" s="88" t="s">
        <v>6557</v>
      </c>
      <c r="E3562" s="89">
        <v>66449056</v>
      </c>
      <c r="F3562"/>
      <c r="G3562" s="17" t="s">
        <v>1</v>
      </c>
      <c r="H3562" s="132">
        <v>46085</v>
      </c>
      <c r="I3562" s="127" t="s">
        <v>6558</v>
      </c>
      <c r="J3562"/>
      <c r="K3562"/>
      <c r="L3562" t="s">
        <v>6471</v>
      </c>
    </row>
    <row r="3563" spans="1:12">
      <c r="A3563" s="95" t="s">
        <v>2535</v>
      </c>
      <c r="B3563" t="s">
        <v>6469</v>
      </c>
      <c r="C3563" s="87" t="s">
        <v>2714</v>
      </c>
      <c r="D3563" s="88"/>
      <c r="E3563" s="89">
        <v>65348826</v>
      </c>
      <c r="F3563"/>
      <c r="G3563" s="17" t="s">
        <v>2</v>
      </c>
      <c r="H3563" s="132">
        <v>46085</v>
      </c>
      <c r="I3563" s="127" t="s">
        <v>5063</v>
      </c>
      <c r="J3563"/>
      <c r="K3563"/>
      <c r="L3563"/>
    </row>
    <row r="3564" spans="1:12">
      <c r="A3564" s="95" t="s">
        <v>2535</v>
      </c>
      <c r="B3564" t="s">
        <v>6469</v>
      </c>
      <c r="C3564" s="87" t="s">
        <v>2715</v>
      </c>
      <c r="D3564" s="88"/>
      <c r="E3564" s="89">
        <v>65037127</v>
      </c>
      <c r="F3564"/>
      <c r="G3564" s="17" t="s">
        <v>3</v>
      </c>
      <c r="H3564" s="132">
        <v>46085</v>
      </c>
      <c r="I3564" s="127" t="s">
        <v>6409</v>
      </c>
      <c r="J3564"/>
      <c r="K3564"/>
      <c r="L3564"/>
    </row>
    <row r="3565" spans="1:12">
      <c r="A3565" s="95" t="s">
        <v>2535</v>
      </c>
      <c r="B3565" t="s">
        <v>6469</v>
      </c>
      <c r="C3565" s="87" t="s">
        <v>2716</v>
      </c>
      <c r="D3565" s="88"/>
      <c r="E3565" s="89">
        <v>66927116</v>
      </c>
      <c r="F3565"/>
      <c r="G3565" s="17" t="s">
        <v>3</v>
      </c>
      <c r="H3565" s="132">
        <v>46085</v>
      </c>
      <c r="I3565" s="127" t="s">
        <v>5067</v>
      </c>
      <c r="J3565"/>
      <c r="K3565"/>
      <c r="L3565" t="s">
        <v>3660</v>
      </c>
    </row>
    <row r="3566" spans="1:12">
      <c r="A3566" s="95" t="s">
        <v>2535</v>
      </c>
      <c r="B3566" t="s">
        <v>6469</v>
      </c>
      <c r="C3566" s="87" t="s">
        <v>2717</v>
      </c>
      <c r="D3566" s="88"/>
      <c r="E3566" s="89">
        <v>61842452</v>
      </c>
      <c r="F3566"/>
      <c r="G3566" s="17" t="s">
        <v>8</v>
      </c>
      <c r="H3566" s="132">
        <v>46085</v>
      </c>
      <c r="I3566" s="127" t="s">
        <v>6559</v>
      </c>
      <c r="J3566"/>
      <c r="K3566"/>
      <c r="L3566" t="s">
        <v>6560</v>
      </c>
    </row>
    <row r="3567" spans="1:12">
      <c r="A3567" s="95" t="s">
        <v>2535</v>
      </c>
      <c r="B3567" t="s">
        <v>6469</v>
      </c>
      <c r="C3567" s="87" t="s">
        <v>2718</v>
      </c>
      <c r="D3567" s="88"/>
      <c r="E3567" s="89">
        <v>64499723</v>
      </c>
      <c r="F3567"/>
      <c r="G3567" s="17" t="s">
        <v>3</v>
      </c>
      <c r="H3567" s="132">
        <v>46085</v>
      </c>
      <c r="I3567" s="127" t="s">
        <v>6561</v>
      </c>
      <c r="J3567"/>
      <c r="K3567"/>
      <c r="L3567"/>
    </row>
    <row r="3568" spans="1:12">
      <c r="A3568" s="95" t="s">
        <v>2535</v>
      </c>
      <c r="B3568" t="s">
        <v>6469</v>
      </c>
      <c r="C3568" s="87" t="s">
        <v>2719</v>
      </c>
      <c r="D3568" s="88"/>
      <c r="E3568" s="89">
        <v>66950940</v>
      </c>
      <c r="F3568"/>
      <c r="G3568" s="17" t="s">
        <v>6</v>
      </c>
      <c r="H3568" s="132">
        <v>46085</v>
      </c>
      <c r="I3568" s="127" t="s">
        <v>6562</v>
      </c>
      <c r="J3568" s="22">
        <v>46085</v>
      </c>
      <c r="K3568" t="s">
        <v>6212</v>
      </c>
      <c r="L3568"/>
    </row>
    <row r="3569" spans="1:12">
      <c r="A3569" s="95" t="s">
        <v>2535</v>
      </c>
      <c r="B3569" t="s">
        <v>6469</v>
      </c>
      <c r="C3569" s="87" t="s">
        <v>2720</v>
      </c>
      <c r="D3569" s="88"/>
      <c r="E3569" s="89">
        <v>62399983</v>
      </c>
      <c r="F3569"/>
      <c r="G3569" s="17" t="s">
        <v>3</v>
      </c>
      <c r="H3569" s="132">
        <v>46085</v>
      </c>
      <c r="I3569" s="127" t="s">
        <v>5095</v>
      </c>
      <c r="J3569"/>
      <c r="K3569"/>
      <c r="L3569"/>
    </row>
    <row r="3570" spans="1:12">
      <c r="A3570" s="95" t="s">
        <v>2535</v>
      </c>
      <c r="B3570" t="s">
        <v>6469</v>
      </c>
      <c r="C3570" s="87" t="s">
        <v>2721</v>
      </c>
      <c r="D3570" s="88" t="s">
        <v>6563</v>
      </c>
      <c r="E3570" s="89">
        <v>68044045</v>
      </c>
      <c r="F3570"/>
      <c r="G3570" s="17" t="s">
        <v>8</v>
      </c>
      <c r="H3570" s="132">
        <v>46085</v>
      </c>
      <c r="I3570" s="127" t="s">
        <v>6564</v>
      </c>
      <c r="J3570"/>
      <c r="K3570"/>
      <c r="L3570" t="s">
        <v>6565</v>
      </c>
    </row>
    <row r="3571" spans="1:12">
      <c r="A3571" s="95" t="s">
        <v>2535</v>
      </c>
      <c r="B3571" t="s">
        <v>6469</v>
      </c>
      <c r="C3571" s="87" t="s">
        <v>2722</v>
      </c>
      <c r="D3571" s="88"/>
      <c r="E3571" s="89">
        <v>60300449</v>
      </c>
      <c r="F3571"/>
      <c r="G3571" s="17" t="s">
        <v>4</v>
      </c>
      <c r="H3571" s="132">
        <v>46085</v>
      </c>
      <c r="I3571" s="127" t="s">
        <v>6566</v>
      </c>
      <c r="J3571"/>
      <c r="K3571"/>
      <c r="L3571" t="s">
        <v>6567</v>
      </c>
    </row>
    <row r="3572" spans="1:12">
      <c r="A3572" s="95" t="s">
        <v>2535</v>
      </c>
      <c r="B3572" t="s">
        <v>6469</v>
      </c>
      <c r="C3572" s="87" t="s">
        <v>2723</v>
      </c>
      <c r="D3572" s="88"/>
      <c r="E3572" s="89">
        <v>66189840</v>
      </c>
      <c r="F3572"/>
      <c r="G3572" s="17" t="s">
        <v>2</v>
      </c>
      <c r="H3572" s="132">
        <v>46085</v>
      </c>
      <c r="I3572" s="127" t="s">
        <v>6568</v>
      </c>
      <c r="J3572"/>
      <c r="K3572"/>
      <c r="L3572"/>
    </row>
    <row r="3573" spans="1:12">
      <c r="A3573" s="95" t="s">
        <v>2535</v>
      </c>
      <c r="B3573" t="s">
        <v>6469</v>
      </c>
      <c r="C3573" s="87" t="s">
        <v>2724</v>
      </c>
      <c r="D3573" s="88"/>
      <c r="E3573" s="89" t="s">
        <v>6569</v>
      </c>
      <c r="F3573"/>
      <c r="G3573" s="17" t="s">
        <v>8</v>
      </c>
      <c r="H3573" s="132">
        <v>46085</v>
      </c>
      <c r="I3573" s="127" t="s">
        <v>6570</v>
      </c>
      <c r="J3573"/>
      <c r="K3573"/>
      <c r="L3573" t="s">
        <v>6571</v>
      </c>
    </row>
    <row r="3574" spans="1:12">
      <c r="A3574" s="95" t="s">
        <v>2535</v>
      </c>
      <c r="B3574" t="s">
        <v>6469</v>
      </c>
      <c r="C3574" s="87" t="s">
        <v>2725</v>
      </c>
      <c r="D3574" s="88" t="s">
        <v>6572</v>
      </c>
      <c r="E3574" s="89">
        <v>61508119</v>
      </c>
      <c r="F3574" s="99" t="s">
        <v>6573</v>
      </c>
      <c r="G3574" s="17" t="s">
        <v>1</v>
      </c>
      <c r="H3574" s="132">
        <v>46085</v>
      </c>
      <c r="I3574" s="127" t="s">
        <v>6574</v>
      </c>
      <c r="J3574"/>
      <c r="K3574"/>
      <c r="L3574" t="s">
        <v>6575</v>
      </c>
    </row>
    <row r="3575" spans="1:12">
      <c r="A3575" s="95" t="s">
        <v>2535</v>
      </c>
      <c r="B3575" t="s">
        <v>6469</v>
      </c>
      <c r="C3575" s="87" t="s">
        <v>2726</v>
      </c>
      <c r="D3575" s="88"/>
      <c r="E3575" s="89">
        <v>60426003</v>
      </c>
      <c r="F3575"/>
      <c r="G3575" s="17" t="s">
        <v>1</v>
      </c>
      <c r="H3575" s="132">
        <v>46085</v>
      </c>
      <c r="I3575" s="127" t="s">
        <v>5199</v>
      </c>
      <c r="J3575"/>
      <c r="K3575"/>
      <c r="L3575" t="s">
        <v>6525</v>
      </c>
    </row>
    <row r="3576" spans="1:12">
      <c r="A3576" s="95" t="s">
        <v>2535</v>
      </c>
      <c r="B3576" t="s">
        <v>6469</v>
      </c>
      <c r="C3576" s="87" t="s">
        <v>2727</v>
      </c>
      <c r="D3576" s="88"/>
      <c r="E3576" s="89">
        <v>61134120</v>
      </c>
      <c r="F3576"/>
      <c r="G3576" s="17" t="s">
        <v>2</v>
      </c>
      <c r="H3576" s="132">
        <v>46085</v>
      </c>
      <c r="I3576" s="127" t="s">
        <v>6576</v>
      </c>
      <c r="J3576"/>
      <c r="K3576"/>
      <c r="L3576"/>
    </row>
    <row r="3577" spans="1:12">
      <c r="A3577" s="95" t="s">
        <v>2535</v>
      </c>
      <c r="B3577" t="s">
        <v>6469</v>
      </c>
      <c r="C3577" s="87" t="s">
        <v>2728</v>
      </c>
      <c r="D3577" s="88"/>
      <c r="E3577" s="89">
        <v>64606379</v>
      </c>
      <c r="F3577"/>
      <c r="G3577" s="17" t="s">
        <v>2</v>
      </c>
      <c r="H3577" s="132">
        <v>46085</v>
      </c>
      <c r="I3577" s="127" t="s">
        <v>5193</v>
      </c>
      <c r="J3577"/>
      <c r="K3577"/>
      <c r="L3577"/>
    </row>
    <row r="3578" spans="1:12">
      <c r="A3578" s="95" t="s">
        <v>2535</v>
      </c>
      <c r="B3578" t="s">
        <v>6469</v>
      </c>
      <c r="C3578" s="87" t="s">
        <v>2729</v>
      </c>
      <c r="D3578" s="88"/>
      <c r="E3578" s="89">
        <v>66262359</v>
      </c>
      <c r="F3578"/>
      <c r="G3578" s="17" t="s">
        <v>2</v>
      </c>
      <c r="H3578" s="132">
        <v>46085</v>
      </c>
      <c r="I3578" s="127" t="s">
        <v>5188</v>
      </c>
      <c r="J3578"/>
      <c r="K3578"/>
      <c r="L3578"/>
    </row>
    <row r="3579" spans="1:12">
      <c r="A3579" s="95" t="s">
        <v>2535</v>
      </c>
      <c r="B3579" t="s">
        <v>6469</v>
      </c>
      <c r="C3579" s="87" t="s">
        <v>2730</v>
      </c>
      <c r="D3579" s="88"/>
      <c r="E3579" s="89">
        <v>66265106</v>
      </c>
      <c r="F3579"/>
      <c r="G3579" s="17" t="s">
        <v>2</v>
      </c>
      <c r="H3579" s="132">
        <v>46085</v>
      </c>
      <c r="I3579" s="127" t="s">
        <v>5185</v>
      </c>
      <c r="J3579"/>
      <c r="K3579"/>
      <c r="L3579"/>
    </row>
    <row r="3580" spans="1:12">
      <c r="A3580" s="95" t="s">
        <v>2535</v>
      </c>
      <c r="B3580" t="s">
        <v>6469</v>
      </c>
      <c r="C3580" s="87" t="s">
        <v>2731</v>
      </c>
      <c r="D3580" s="88"/>
      <c r="E3580" s="89">
        <v>67617926</v>
      </c>
      <c r="F3580"/>
      <c r="G3580" s="17" t="s">
        <v>1</v>
      </c>
      <c r="H3580" s="132">
        <v>46085</v>
      </c>
      <c r="I3580" s="127" t="s">
        <v>6577</v>
      </c>
      <c r="J3580"/>
      <c r="K3580"/>
      <c r="L3580" t="s">
        <v>6471</v>
      </c>
    </row>
    <row r="3581" spans="1:12">
      <c r="A3581" s="95" t="s">
        <v>2535</v>
      </c>
      <c r="B3581" t="s">
        <v>6469</v>
      </c>
      <c r="C3581" s="87" t="s">
        <v>2732</v>
      </c>
      <c r="D3581" s="88"/>
      <c r="E3581" s="89">
        <v>64442415</v>
      </c>
      <c r="F3581"/>
      <c r="G3581" s="17" t="s">
        <v>2</v>
      </c>
      <c r="H3581" s="132">
        <v>46085</v>
      </c>
      <c r="I3581" s="127" t="s">
        <v>6578</v>
      </c>
      <c r="J3581"/>
      <c r="K3581"/>
      <c r="L3581"/>
    </row>
    <row r="3582" spans="1:12">
      <c r="A3582" s="95" t="s">
        <v>2535</v>
      </c>
      <c r="B3582" t="s">
        <v>6469</v>
      </c>
      <c r="C3582" s="87" t="s">
        <v>2733</v>
      </c>
      <c r="D3582" s="88"/>
      <c r="E3582" s="89">
        <v>7703011</v>
      </c>
      <c r="F3582"/>
      <c r="G3582" s="17" t="s">
        <v>4</v>
      </c>
      <c r="H3582" s="132">
        <v>46085</v>
      </c>
      <c r="I3582" s="127" t="s">
        <v>6579</v>
      </c>
      <c r="J3582"/>
      <c r="K3582"/>
      <c r="L3582" t="s">
        <v>5055</v>
      </c>
    </row>
    <row r="3583" spans="1:12">
      <c r="A3583" s="95" t="s">
        <v>2535</v>
      </c>
      <c r="B3583" t="s">
        <v>6469</v>
      </c>
      <c r="C3583" s="87" t="s">
        <v>2734</v>
      </c>
      <c r="D3583" s="88"/>
      <c r="E3583" s="89">
        <v>66563941</v>
      </c>
      <c r="F3583"/>
      <c r="G3583" s="17" t="s">
        <v>3</v>
      </c>
      <c r="H3583" s="132">
        <v>46085</v>
      </c>
      <c r="I3583" s="127" t="s">
        <v>6580</v>
      </c>
      <c r="J3583"/>
      <c r="K3583"/>
      <c r="L3583" t="s">
        <v>6472</v>
      </c>
    </row>
    <row r="3584" spans="1:12">
      <c r="A3584" s="95" t="s">
        <v>2535</v>
      </c>
      <c r="B3584" t="s">
        <v>6469</v>
      </c>
      <c r="C3584" s="87" t="s">
        <v>2735</v>
      </c>
      <c r="D3584" s="88"/>
      <c r="E3584" s="89">
        <v>67660867</v>
      </c>
      <c r="F3584"/>
      <c r="G3584" s="17" t="s">
        <v>6</v>
      </c>
      <c r="H3584" s="132">
        <v>46085</v>
      </c>
      <c r="I3584" s="127" t="s">
        <v>6475</v>
      </c>
      <c r="J3584" s="22">
        <v>46086</v>
      </c>
      <c r="K3584" t="s">
        <v>6581</v>
      </c>
      <c r="L3584"/>
    </row>
    <row r="3585" spans="1:12">
      <c r="A3585" s="95" t="s">
        <v>2535</v>
      </c>
      <c r="B3585" t="s">
        <v>6469</v>
      </c>
      <c r="C3585" s="87" t="s">
        <v>2736</v>
      </c>
      <c r="D3585" s="88"/>
      <c r="E3585" s="89">
        <v>66262035</v>
      </c>
      <c r="F3585" s="99" t="s">
        <v>6582</v>
      </c>
      <c r="G3585" s="17" t="s">
        <v>1</v>
      </c>
      <c r="H3585" s="132">
        <v>46085</v>
      </c>
      <c r="I3585" s="127" t="s">
        <v>6583</v>
      </c>
      <c r="J3585"/>
      <c r="K3585"/>
      <c r="L3585" t="s">
        <v>6584</v>
      </c>
    </row>
    <row r="3586" spans="1:12">
      <c r="A3586" s="95" t="s">
        <v>2535</v>
      </c>
      <c r="B3586" t="s">
        <v>6469</v>
      </c>
      <c r="C3586" s="87" t="s">
        <v>2737</v>
      </c>
      <c r="D3586" s="88"/>
      <c r="E3586" s="89">
        <v>64689653</v>
      </c>
      <c r="F3586"/>
      <c r="G3586" s="17" t="s">
        <v>8</v>
      </c>
      <c r="H3586" s="132">
        <v>46085</v>
      </c>
      <c r="I3586" s="127" t="s">
        <v>6479</v>
      </c>
      <c r="J3586"/>
      <c r="K3586"/>
      <c r="L3586"/>
    </row>
    <row r="3587" spans="1:12">
      <c r="A3587" s="95" t="s">
        <v>2535</v>
      </c>
      <c r="B3587" t="s">
        <v>6469</v>
      </c>
      <c r="C3587" s="87" t="s">
        <v>2738</v>
      </c>
      <c r="D3587" s="88" t="s">
        <v>6585</v>
      </c>
      <c r="E3587" s="89">
        <v>63989985</v>
      </c>
      <c r="F3587"/>
      <c r="G3587" s="17" t="s">
        <v>1</v>
      </c>
      <c r="H3587" s="132">
        <v>46085</v>
      </c>
      <c r="I3587" s="127" t="s">
        <v>5144</v>
      </c>
      <c r="J3587" s="22">
        <v>46086</v>
      </c>
      <c r="K3587" t="s">
        <v>6586</v>
      </c>
      <c r="L3587"/>
    </row>
    <row r="3588" spans="1:12">
      <c r="A3588" s="95" t="s">
        <v>2535</v>
      </c>
      <c r="B3588" t="s">
        <v>6469</v>
      </c>
      <c r="C3588" s="87" t="s">
        <v>2739</v>
      </c>
      <c r="D3588" s="88"/>
      <c r="E3588" s="89">
        <v>61668344</v>
      </c>
      <c r="F3588"/>
      <c r="G3588" s="17" t="s">
        <v>2</v>
      </c>
      <c r="H3588" s="132">
        <v>46085</v>
      </c>
      <c r="I3588" s="127" t="s">
        <v>6587</v>
      </c>
      <c r="J3588"/>
      <c r="K3588"/>
      <c r="L3588"/>
    </row>
    <row r="3589" spans="1:12">
      <c r="A3589" s="95" t="s">
        <v>2535</v>
      </c>
      <c r="B3589" t="s">
        <v>6469</v>
      </c>
      <c r="C3589" s="87" t="s">
        <v>2740</v>
      </c>
      <c r="D3589" s="88"/>
      <c r="E3589" s="89">
        <v>7303996</v>
      </c>
      <c r="F3589"/>
      <c r="G3589" s="17" t="s">
        <v>3</v>
      </c>
      <c r="H3589" s="132">
        <v>46085</v>
      </c>
      <c r="I3589" s="127" t="s">
        <v>6588</v>
      </c>
      <c r="J3589"/>
      <c r="K3589"/>
      <c r="L3589"/>
    </row>
    <row r="3590" spans="1:12">
      <c r="A3590" s="95" t="s">
        <v>2535</v>
      </c>
      <c r="B3590" t="s">
        <v>6469</v>
      </c>
      <c r="C3590" s="87" t="s">
        <v>2741</v>
      </c>
      <c r="D3590" s="88" t="s">
        <v>6589</v>
      </c>
      <c r="E3590" s="89">
        <v>67894590</v>
      </c>
      <c r="F3590"/>
      <c r="G3590" s="17" t="s">
        <v>1</v>
      </c>
      <c r="H3590" s="132">
        <v>46085</v>
      </c>
      <c r="I3590" s="127" t="s">
        <v>6590</v>
      </c>
      <c r="J3590"/>
      <c r="K3590"/>
      <c r="L3590" t="s">
        <v>6591</v>
      </c>
    </row>
    <row r="3591" spans="1:12">
      <c r="A3591" s="95" t="s">
        <v>2535</v>
      </c>
      <c r="B3591" t="s">
        <v>6469</v>
      </c>
      <c r="C3591" s="87" t="s">
        <v>2742</v>
      </c>
      <c r="D3591" s="88"/>
      <c r="E3591" s="89">
        <v>65834517</v>
      </c>
      <c r="F3591"/>
      <c r="G3591" s="17" t="s">
        <v>3</v>
      </c>
      <c r="H3591" s="132">
        <v>46085</v>
      </c>
      <c r="I3591" s="127" t="s">
        <v>6485</v>
      </c>
      <c r="J3591"/>
      <c r="K3591"/>
      <c r="L3591" t="s">
        <v>6592</v>
      </c>
    </row>
    <row r="3592" spans="1:12">
      <c r="A3592" s="95" t="s">
        <v>2535</v>
      </c>
      <c r="B3592" t="s">
        <v>6469</v>
      </c>
      <c r="C3592" s="87" t="s">
        <v>2743</v>
      </c>
      <c r="D3592" s="88"/>
      <c r="E3592" s="89">
        <v>62805309</v>
      </c>
      <c r="F3592"/>
      <c r="G3592" s="17" t="s">
        <v>2</v>
      </c>
      <c r="H3592" s="132">
        <v>46085</v>
      </c>
      <c r="I3592" s="127" t="s">
        <v>6593</v>
      </c>
      <c r="J3592"/>
      <c r="K3592"/>
      <c r="L3592"/>
    </row>
    <row r="3593" spans="1:12">
      <c r="A3593" s="95" t="s">
        <v>2535</v>
      </c>
      <c r="B3593" t="s">
        <v>6469</v>
      </c>
      <c r="C3593" s="87" t="s">
        <v>2744</v>
      </c>
      <c r="D3593" s="88"/>
      <c r="E3593" s="89">
        <v>69454011</v>
      </c>
      <c r="F3593"/>
      <c r="G3593" s="17" t="s">
        <v>4</v>
      </c>
      <c r="H3593" s="132">
        <v>46085</v>
      </c>
      <c r="I3593" s="127" t="s">
        <v>6594</v>
      </c>
      <c r="J3593"/>
      <c r="K3593"/>
      <c r="L3593" t="s">
        <v>5055</v>
      </c>
    </row>
    <row r="3594" spans="1:12">
      <c r="A3594" s="95" t="s">
        <v>2535</v>
      </c>
      <c r="B3594" t="s">
        <v>6469</v>
      </c>
      <c r="C3594" s="87" t="s">
        <v>2745</v>
      </c>
      <c r="D3594" s="88"/>
      <c r="E3594" s="89">
        <v>62927711</v>
      </c>
      <c r="F3594"/>
      <c r="G3594" s="17" t="s">
        <v>2</v>
      </c>
      <c r="H3594" s="132">
        <v>46085</v>
      </c>
      <c r="I3594" s="127" t="s">
        <v>6595</v>
      </c>
      <c r="J3594"/>
      <c r="K3594"/>
      <c r="L3594"/>
    </row>
    <row r="3595" spans="1:12">
      <c r="A3595" s="95" t="s">
        <v>2535</v>
      </c>
      <c r="B3595" t="s">
        <v>6469</v>
      </c>
      <c r="C3595" s="87" t="s">
        <v>2746</v>
      </c>
      <c r="D3595" s="88"/>
      <c r="E3595" s="89">
        <v>66234860</v>
      </c>
      <c r="F3595"/>
      <c r="G3595" s="17" t="s">
        <v>3</v>
      </c>
      <c r="H3595" s="132">
        <v>46085</v>
      </c>
      <c r="I3595" s="127" t="s">
        <v>5070</v>
      </c>
      <c r="J3595"/>
      <c r="K3595"/>
      <c r="L3595"/>
    </row>
    <row r="3596" spans="1:12">
      <c r="A3596" s="95" t="s">
        <v>2535</v>
      </c>
      <c r="B3596" t="s">
        <v>6469</v>
      </c>
      <c r="C3596" s="87" t="s">
        <v>2747</v>
      </c>
      <c r="D3596" s="88"/>
      <c r="E3596" s="89">
        <v>65079662</v>
      </c>
      <c r="F3596"/>
      <c r="G3596" s="17" t="s">
        <v>9</v>
      </c>
      <c r="H3596" s="132">
        <v>46085</v>
      </c>
      <c r="I3596" s="127" t="s">
        <v>6596</v>
      </c>
      <c r="J3596"/>
      <c r="K3596"/>
      <c r="L3596"/>
    </row>
    <row r="3597" spans="1:12">
      <c r="A3597" s="95" t="s">
        <v>2535</v>
      </c>
      <c r="B3597" t="s">
        <v>6469</v>
      </c>
      <c r="C3597" s="87" t="s">
        <v>2748</v>
      </c>
      <c r="D3597" s="88"/>
      <c r="E3597" s="89">
        <v>7729231</v>
      </c>
      <c r="F3597"/>
      <c r="G3597" s="17" t="s">
        <v>9</v>
      </c>
      <c r="H3597" s="132">
        <v>46085</v>
      </c>
      <c r="I3597" s="127" t="s">
        <v>6597</v>
      </c>
      <c r="J3597"/>
      <c r="K3597"/>
      <c r="L3597"/>
    </row>
    <row r="3598" spans="1:12">
      <c r="A3598" s="95" t="s">
        <v>2535</v>
      </c>
      <c r="B3598" t="s">
        <v>6469</v>
      </c>
      <c r="C3598" s="87" t="s">
        <v>2749</v>
      </c>
      <c r="D3598" s="88"/>
      <c r="E3598" s="89">
        <v>67935104</v>
      </c>
      <c r="F3598"/>
      <c r="G3598" s="17" t="s">
        <v>3</v>
      </c>
      <c r="H3598" s="132">
        <v>46085</v>
      </c>
      <c r="I3598" s="127" t="s">
        <v>6598</v>
      </c>
      <c r="J3598"/>
      <c r="K3598"/>
      <c r="L3598"/>
    </row>
    <row r="3599" spans="1:12">
      <c r="A3599" s="95" t="s">
        <v>2535</v>
      </c>
      <c r="B3599" t="s">
        <v>6599</v>
      </c>
      <c r="C3599" s="87" t="s">
        <v>2750</v>
      </c>
      <c r="D3599" s="88"/>
      <c r="E3599" s="89">
        <v>68550989</v>
      </c>
      <c r="F3599"/>
      <c r="G3599" s="17" t="s">
        <v>1</v>
      </c>
      <c r="H3599" s="132">
        <v>46084</v>
      </c>
      <c r="I3599" s="127" t="s">
        <v>6600</v>
      </c>
      <c r="J3599"/>
      <c r="K3599"/>
      <c r="L3599"/>
    </row>
    <row r="3600" spans="1:12">
      <c r="A3600" s="95" t="s">
        <v>2535</v>
      </c>
      <c r="B3600" t="s">
        <v>6599</v>
      </c>
      <c r="C3600" s="87" t="s">
        <v>2751</v>
      </c>
      <c r="D3600" s="88"/>
      <c r="E3600" s="89">
        <v>66869567</v>
      </c>
      <c r="F3600"/>
      <c r="G3600" s="17" t="s">
        <v>1</v>
      </c>
      <c r="H3600" s="132">
        <v>46084</v>
      </c>
      <c r="I3600" s="127" t="s">
        <v>4480</v>
      </c>
      <c r="J3600"/>
      <c r="K3600"/>
      <c r="L3600"/>
    </row>
    <row r="3601" spans="1:12">
      <c r="A3601" s="95" t="s">
        <v>2535</v>
      </c>
      <c r="B3601" t="s">
        <v>6599</v>
      </c>
      <c r="C3601" s="87" t="s">
        <v>2752</v>
      </c>
      <c r="D3601" s="88"/>
      <c r="E3601" s="89">
        <v>64315204</v>
      </c>
      <c r="F3601"/>
      <c r="G3601" s="17" t="s">
        <v>6</v>
      </c>
      <c r="H3601" s="132">
        <v>46084</v>
      </c>
      <c r="J3601"/>
      <c r="K3601"/>
      <c r="L3601"/>
    </row>
    <row r="3602" spans="1:12">
      <c r="A3602" s="95" t="s">
        <v>2535</v>
      </c>
      <c r="B3602" t="s">
        <v>6599</v>
      </c>
      <c r="C3602" s="87" t="s">
        <v>2753</v>
      </c>
      <c r="D3602" s="88"/>
      <c r="E3602" s="89">
        <v>62106130</v>
      </c>
      <c r="F3602"/>
      <c r="G3602" s="17" t="s">
        <v>6</v>
      </c>
      <c r="H3602" s="132">
        <v>46084</v>
      </c>
      <c r="J3602"/>
      <c r="K3602"/>
      <c r="L3602"/>
    </row>
    <row r="3603" spans="1:12">
      <c r="A3603" s="95" t="s">
        <v>2535</v>
      </c>
      <c r="B3603" t="s">
        <v>6599</v>
      </c>
      <c r="C3603" s="87" t="s">
        <v>2754</v>
      </c>
      <c r="D3603" s="88"/>
      <c r="E3603" s="89">
        <v>67654437</v>
      </c>
      <c r="F3603"/>
      <c r="G3603" s="17" t="s">
        <v>2</v>
      </c>
      <c r="H3603" s="132">
        <v>46084</v>
      </c>
      <c r="J3603"/>
      <c r="K3603"/>
      <c r="L3603"/>
    </row>
    <row r="3604" spans="1:12">
      <c r="A3604" s="95" t="s">
        <v>2535</v>
      </c>
      <c r="B3604" t="s">
        <v>6599</v>
      </c>
      <c r="C3604" s="87" t="s">
        <v>2755</v>
      </c>
      <c r="D3604" s="88"/>
      <c r="E3604" s="89">
        <v>7747957</v>
      </c>
      <c r="F3604"/>
      <c r="G3604" s="17" t="s">
        <v>1</v>
      </c>
      <c r="H3604" s="132">
        <v>46084</v>
      </c>
      <c r="I3604" s="127" t="s">
        <v>4477</v>
      </c>
      <c r="J3604"/>
      <c r="K3604"/>
      <c r="L3604"/>
    </row>
    <row r="3605" spans="1:12">
      <c r="A3605" s="95" t="s">
        <v>2535</v>
      </c>
      <c r="B3605" t="s">
        <v>6599</v>
      </c>
      <c r="C3605" s="87" t="s">
        <v>2756</v>
      </c>
      <c r="D3605" s="88"/>
      <c r="E3605" s="89">
        <v>62683474</v>
      </c>
      <c r="F3605"/>
      <c r="G3605" s="17" t="s">
        <v>2</v>
      </c>
      <c r="H3605" s="132">
        <v>46084</v>
      </c>
      <c r="I3605" s="127" t="s">
        <v>6601</v>
      </c>
      <c r="J3605"/>
      <c r="K3605"/>
      <c r="L3605"/>
    </row>
    <row r="3606" spans="1:12">
      <c r="A3606" s="95" t="s">
        <v>2535</v>
      </c>
      <c r="B3606" t="s">
        <v>6599</v>
      </c>
      <c r="C3606" s="87" t="s">
        <v>2757</v>
      </c>
      <c r="D3606" s="88"/>
      <c r="E3606" s="89">
        <v>65648259</v>
      </c>
      <c r="F3606"/>
      <c r="G3606" s="17" t="s">
        <v>1</v>
      </c>
      <c r="H3606" s="132">
        <v>46084</v>
      </c>
      <c r="I3606" s="127" t="s">
        <v>6602</v>
      </c>
      <c r="J3606"/>
      <c r="K3606"/>
      <c r="L3606"/>
    </row>
    <row r="3607" spans="1:12">
      <c r="A3607" s="95" t="s">
        <v>2535</v>
      </c>
      <c r="B3607" t="s">
        <v>6599</v>
      </c>
      <c r="C3607" s="87" t="s">
        <v>2758</v>
      </c>
      <c r="D3607" s="88"/>
      <c r="E3607" s="89">
        <v>7748591</v>
      </c>
      <c r="F3607"/>
      <c r="G3607" s="17" t="s">
        <v>3</v>
      </c>
      <c r="H3607" s="132">
        <v>46084</v>
      </c>
      <c r="I3607" s="127" t="s">
        <v>6603</v>
      </c>
      <c r="J3607"/>
      <c r="K3607"/>
      <c r="L3607"/>
    </row>
    <row r="3608" spans="1:12">
      <c r="A3608" s="95" t="s">
        <v>2535</v>
      </c>
      <c r="B3608" t="s">
        <v>6599</v>
      </c>
      <c r="C3608" s="87" t="s">
        <v>2759</v>
      </c>
      <c r="D3608" s="88"/>
      <c r="E3608" s="89">
        <v>64155476</v>
      </c>
      <c r="F3608"/>
      <c r="G3608" s="17" t="s">
        <v>1</v>
      </c>
      <c r="H3608" s="132"/>
      <c r="I3608" s="127" t="s">
        <v>6604</v>
      </c>
      <c r="J3608"/>
      <c r="K3608"/>
      <c r="L3608"/>
    </row>
    <row r="3609" spans="1:12">
      <c r="A3609" s="95" t="s">
        <v>2535</v>
      </c>
      <c r="B3609" t="s">
        <v>6599</v>
      </c>
      <c r="C3609" s="87" t="s">
        <v>2760</v>
      </c>
      <c r="D3609" s="88"/>
      <c r="E3609" s="89">
        <v>65579823</v>
      </c>
      <c r="F3609"/>
      <c r="G3609" s="17" t="s">
        <v>1</v>
      </c>
      <c r="H3609" s="132"/>
      <c r="I3609" s="127" t="s">
        <v>4434</v>
      </c>
      <c r="J3609"/>
      <c r="K3609"/>
      <c r="L3609"/>
    </row>
    <row r="3610" spans="1:12">
      <c r="A3610" s="95" t="s">
        <v>2535</v>
      </c>
      <c r="B3610" t="s">
        <v>6599</v>
      </c>
      <c r="C3610" s="87" t="s">
        <v>2761</v>
      </c>
      <c r="D3610" s="88"/>
      <c r="E3610" s="89">
        <v>64511407</v>
      </c>
      <c r="F3610"/>
      <c r="G3610" s="17" t="s">
        <v>6</v>
      </c>
      <c r="H3610" s="132"/>
      <c r="I3610" s="127" t="s">
        <v>3413</v>
      </c>
      <c r="J3610"/>
      <c r="K3610"/>
      <c r="L3610"/>
    </row>
    <row r="3611" spans="1:12">
      <c r="A3611" s="95" t="s">
        <v>2535</v>
      </c>
      <c r="B3611" t="s">
        <v>6599</v>
      </c>
      <c r="C3611" s="87" t="s">
        <v>2762</v>
      </c>
      <c r="D3611" s="88"/>
      <c r="E3611" s="89">
        <v>61111078</v>
      </c>
      <c r="F3611"/>
      <c r="G3611" s="17" t="s">
        <v>2</v>
      </c>
      <c r="H3611" s="132"/>
      <c r="J3611"/>
      <c r="K3611"/>
      <c r="L3611"/>
    </row>
    <row r="3612" spans="1:12">
      <c r="A3612" s="95" t="s">
        <v>2535</v>
      </c>
      <c r="B3612" t="s">
        <v>6599</v>
      </c>
      <c r="C3612" s="87" t="s">
        <v>2763</v>
      </c>
      <c r="D3612" s="88"/>
      <c r="E3612" s="89">
        <v>64629908</v>
      </c>
      <c r="F3612"/>
      <c r="G3612" s="17" t="s">
        <v>1</v>
      </c>
      <c r="H3612" s="132"/>
      <c r="J3612"/>
      <c r="K3612"/>
      <c r="L3612"/>
    </row>
    <row r="3613" spans="1:12">
      <c r="A3613" s="95" t="s">
        <v>2535</v>
      </c>
      <c r="B3613" t="s">
        <v>6599</v>
      </c>
      <c r="C3613" s="87" t="s">
        <v>2764</v>
      </c>
      <c r="D3613" s="88"/>
      <c r="E3613" s="89">
        <v>64697233</v>
      </c>
      <c r="F3613"/>
      <c r="G3613" s="17" t="s">
        <v>1</v>
      </c>
      <c r="H3613" s="132"/>
      <c r="I3613" s="127" t="s">
        <v>3265</v>
      </c>
      <c r="J3613"/>
      <c r="K3613"/>
      <c r="L3613"/>
    </row>
    <row r="3614" spans="1:12">
      <c r="A3614" s="95" t="s">
        <v>2535</v>
      </c>
      <c r="B3614" t="s">
        <v>6599</v>
      </c>
      <c r="C3614" s="87" t="s">
        <v>2765</v>
      </c>
      <c r="D3614" s="88"/>
      <c r="E3614" s="89">
        <v>62231028</v>
      </c>
      <c r="F3614"/>
      <c r="G3614" s="17" t="s">
        <v>6</v>
      </c>
      <c r="H3614" s="132"/>
      <c r="J3614"/>
      <c r="K3614"/>
      <c r="L3614"/>
    </row>
    <row r="3615" spans="1:12">
      <c r="A3615" s="95" t="s">
        <v>2535</v>
      </c>
      <c r="B3615" t="s">
        <v>6599</v>
      </c>
      <c r="C3615" s="87" t="s">
        <v>2766</v>
      </c>
      <c r="D3615" s="88"/>
      <c r="E3615" s="89">
        <v>62951814</v>
      </c>
      <c r="F3615"/>
      <c r="G3615" s="17" t="s">
        <v>1</v>
      </c>
      <c r="H3615" s="132"/>
      <c r="I3615" s="127" t="s">
        <v>3267</v>
      </c>
      <c r="J3615"/>
      <c r="K3615"/>
      <c r="L3615"/>
    </row>
    <row r="3616" spans="1:12">
      <c r="A3616" s="95" t="s">
        <v>2535</v>
      </c>
      <c r="B3616" t="s">
        <v>6599</v>
      </c>
      <c r="C3616" s="87" t="s">
        <v>2767</v>
      </c>
      <c r="D3616" s="88"/>
      <c r="E3616" s="89">
        <v>68924792</v>
      </c>
      <c r="F3616"/>
      <c r="G3616" s="17" t="s">
        <v>6</v>
      </c>
      <c r="H3616" s="132"/>
      <c r="J3616"/>
      <c r="K3616"/>
      <c r="L3616"/>
    </row>
    <row r="3617" spans="1:12">
      <c r="A3617" s="95" t="s">
        <v>2535</v>
      </c>
      <c r="B3617" t="s">
        <v>6599</v>
      </c>
      <c r="C3617" s="87" t="s">
        <v>2768</v>
      </c>
      <c r="D3617" s="88"/>
      <c r="E3617" s="89">
        <v>69214054</v>
      </c>
      <c r="F3617"/>
      <c r="G3617" s="17" t="s">
        <v>2</v>
      </c>
      <c r="H3617" s="132"/>
      <c r="J3617"/>
      <c r="K3617"/>
      <c r="L3617"/>
    </row>
    <row r="3618" spans="1:12">
      <c r="A3618" s="95" t="s">
        <v>2535</v>
      </c>
      <c r="B3618" t="s">
        <v>6599</v>
      </c>
      <c r="C3618" s="87" t="s">
        <v>2769</v>
      </c>
      <c r="D3618" s="88"/>
      <c r="E3618" s="89">
        <v>62234037</v>
      </c>
      <c r="F3618"/>
      <c r="G3618" s="17" t="s">
        <v>6</v>
      </c>
      <c r="H3618" s="132"/>
      <c r="J3618"/>
      <c r="K3618"/>
      <c r="L3618"/>
    </row>
    <row r="3619" spans="1:12">
      <c r="A3619" s="95" t="s">
        <v>2535</v>
      </c>
      <c r="B3619" t="s">
        <v>6599</v>
      </c>
      <c r="C3619" s="87" t="s">
        <v>2770</v>
      </c>
      <c r="D3619" s="88"/>
      <c r="E3619" s="89">
        <v>66016934</v>
      </c>
      <c r="F3619"/>
      <c r="G3619" s="17" t="s">
        <v>1</v>
      </c>
      <c r="H3619" s="132"/>
      <c r="I3619" s="127" t="s">
        <v>3269</v>
      </c>
      <c r="J3619"/>
      <c r="K3619"/>
      <c r="L3619"/>
    </row>
    <row r="3620" spans="1:12">
      <c r="A3620" s="95" t="s">
        <v>2535</v>
      </c>
      <c r="B3620" t="s">
        <v>6599</v>
      </c>
      <c r="C3620" s="87" t="s">
        <v>2771</v>
      </c>
      <c r="D3620" s="88"/>
      <c r="E3620" s="89">
        <v>68357313</v>
      </c>
      <c r="F3620"/>
      <c r="G3620" s="17" t="s">
        <v>1</v>
      </c>
      <c r="H3620" s="132"/>
      <c r="I3620" s="127" t="s">
        <v>5910</v>
      </c>
      <c r="J3620"/>
      <c r="K3620"/>
      <c r="L3620"/>
    </row>
    <row r="3621" spans="1:12">
      <c r="A3621" s="95" t="s">
        <v>2535</v>
      </c>
      <c r="B3621" t="s">
        <v>6599</v>
      </c>
      <c r="C3621" s="87" t="s">
        <v>2772</v>
      </c>
      <c r="D3621" s="88"/>
      <c r="E3621" s="89">
        <v>62375285</v>
      </c>
      <c r="F3621"/>
      <c r="G3621" s="17" t="s">
        <v>1</v>
      </c>
      <c r="H3621" s="132"/>
      <c r="I3621" s="127" t="s">
        <v>6605</v>
      </c>
      <c r="J3621"/>
      <c r="K3621"/>
      <c r="L3621"/>
    </row>
    <row r="3622" spans="1:12">
      <c r="A3622" s="95" t="s">
        <v>2535</v>
      </c>
      <c r="B3622" t="s">
        <v>6599</v>
      </c>
      <c r="C3622" s="87" t="s">
        <v>2773</v>
      </c>
      <c r="D3622" s="88"/>
      <c r="E3622" s="89">
        <v>66375065</v>
      </c>
      <c r="F3622"/>
      <c r="G3622" s="17" t="s">
        <v>2</v>
      </c>
      <c r="H3622" s="132"/>
      <c r="J3622"/>
      <c r="K3622"/>
      <c r="L3622"/>
    </row>
    <row r="3623" spans="1:12">
      <c r="A3623" s="95" t="s">
        <v>2535</v>
      </c>
      <c r="B3623" t="s">
        <v>6599</v>
      </c>
      <c r="C3623" s="87" t="s">
        <v>2774</v>
      </c>
      <c r="D3623" s="88"/>
      <c r="E3623" s="89">
        <v>63794660</v>
      </c>
      <c r="F3623"/>
      <c r="G3623" s="17" t="s">
        <v>2</v>
      </c>
      <c r="H3623" s="132"/>
      <c r="I3623" s="127" t="s">
        <v>5912</v>
      </c>
      <c r="J3623"/>
      <c r="K3623"/>
      <c r="L3623"/>
    </row>
    <row r="3624" spans="1:12">
      <c r="A3624" s="95" t="s">
        <v>2535</v>
      </c>
      <c r="B3624" t="s">
        <v>6599</v>
      </c>
      <c r="C3624" s="87" t="s">
        <v>2775</v>
      </c>
      <c r="D3624" s="88"/>
      <c r="E3624" s="89">
        <v>64127909</v>
      </c>
      <c r="F3624"/>
      <c r="G3624" s="17" t="s">
        <v>1</v>
      </c>
      <c r="H3624" s="132"/>
      <c r="I3624" s="127" t="s">
        <v>5913</v>
      </c>
      <c r="J3624"/>
      <c r="K3624"/>
      <c r="L3624"/>
    </row>
    <row r="3625" spans="1:12">
      <c r="A3625" s="95" t="s">
        <v>2535</v>
      </c>
      <c r="B3625" t="s">
        <v>6599</v>
      </c>
      <c r="C3625" s="87" t="s">
        <v>2776</v>
      </c>
      <c r="D3625" s="88"/>
      <c r="E3625" s="89">
        <v>63981508</v>
      </c>
      <c r="F3625" s="99" t="s">
        <v>6606</v>
      </c>
      <c r="G3625" s="17" t="s">
        <v>7</v>
      </c>
      <c r="H3625" s="132"/>
      <c r="I3625" s="127" t="s">
        <v>5913</v>
      </c>
      <c r="J3625"/>
      <c r="K3625"/>
      <c r="L3625"/>
    </row>
    <row r="3626" spans="1:12">
      <c r="A3626" s="95" t="s">
        <v>2535</v>
      </c>
      <c r="B3626" t="s">
        <v>6599</v>
      </c>
      <c r="C3626" s="87" t="s">
        <v>2777</v>
      </c>
      <c r="D3626" s="88"/>
      <c r="E3626" s="89">
        <v>66857281</v>
      </c>
      <c r="F3626"/>
      <c r="G3626" s="17" t="s">
        <v>3</v>
      </c>
      <c r="H3626" s="132">
        <v>46085</v>
      </c>
      <c r="I3626" s="127" t="s">
        <v>6607</v>
      </c>
      <c r="J3626"/>
      <c r="K3626"/>
      <c r="L3626"/>
    </row>
    <row r="3627" spans="1:12">
      <c r="A3627" s="95" t="s">
        <v>2535</v>
      </c>
      <c r="B3627" t="s">
        <v>6599</v>
      </c>
      <c r="C3627" s="87" t="s">
        <v>2778</v>
      </c>
      <c r="D3627" s="88"/>
      <c r="E3627" s="89">
        <v>62459858</v>
      </c>
      <c r="F3627"/>
      <c r="G3627" s="17" t="s">
        <v>4</v>
      </c>
      <c r="H3627" s="132">
        <v>46085</v>
      </c>
      <c r="I3627" s="127" t="s">
        <v>3307</v>
      </c>
      <c r="J3627"/>
      <c r="K3627"/>
      <c r="L3627"/>
    </row>
    <row r="3628" spans="1:12">
      <c r="A3628" s="95" t="s">
        <v>2535</v>
      </c>
      <c r="B3628" t="s">
        <v>6599</v>
      </c>
      <c r="C3628" s="87" t="s">
        <v>2779</v>
      </c>
      <c r="D3628" s="88"/>
      <c r="E3628" s="89">
        <v>64364319</v>
      </c>
      <c r="F3628"/>
      <c r="G3628" s="17" t="s">
        <v>6</v>
      </c>
      <c r="H3628" s="132">
        <v>46085</v>
      </c>
      <c r="I3628" s="127" t="s">
        <v>3308</v>
      </c>
      <c r="J3628"/>
      <c r="K3628"/>
      <c r="L3628"/>
    </row>
    <row r="3629" spans="1:12">
      <c r="A3629" s="95" t="s">
        <v>2535</v>
      </c>
      <c r="B3629" t="s">
        <v>6599</v>
      </c>
      <c r="C3629" s="87" t="s">
        <v>2780</v>
      </c>
      <c r="D3629" s="88"/>
      <c r="E3629" s="89">
        <v>67961730</v>
      </c>
      <c r="F3629"/>
      <c r="G3629" s="17" t="s">
        <v>1</v>
      </c>
      <c r="H3629" s="132">
        <v>46085</v>
      </c>
      <c r="I3629" s="127" t="s">
        <v>3309</v>
      </c>
      <c r="J3629"/>
      <c r="K3629"/>
      <c r="L3629"/>
    </row>
    <row r="3630" spans="1:12">
      <c r="A3630" s="95" t="s">
        <v>2535</v>
      </c>
      <c r="B3630" t="s">
        <v>6599</v>
      </c>
      <c r="C3630" s="87" t="s">
        <v>2781</v>
      </c>
      <c r="D3630" s="88"/>
      <c r="E3630" s="89">
        <v>7201630</v>
      </c>
      <c r="F3630"/>
      <c r="G3630" s="17" t="s">
        <v>6</v>
      </c>
      <c r="H3630" s="132">
        <v>46085</v>
      </c>
      <c r="I3630" s="127" t="s">
        <v>3311</v>
      </c>
      <c r="J3630"/>
      <c r="K3630"/>
      <c r="L3630"/>
    </row>
    <row r="3631" spans="1:12">
      <c r="A3631" s="95" t="s">
        <v>2535</v>
      </c>
      <c r="B3631" t="s">
        <v>6599</v>
      </c>
      <c r="C3631" s="87" t="s">
        <v>2782</v>
      </c>
      <c r="D3631" s="88"/>
      <c r="E3631" s="89">
        <v>68974736</v>
      </c>
      <c r="F3631"/>
      <c r="G3631" s="17" t="s">
        <v>6</v>
      </c>
      <c r="H3631" s="132">
        <v>46085</v>
      </c>
      <c r="I3631" s="127" t="s">
        <v>6608</v>
      </c>
      <c r="J3631"/>
      <c r="K3631"/>
      <c r="L3631"/>
    </row>
    <row r="3632" spans="1:12">
      <c r="A3632" s="95" t="s">
        <v>2535</v>
      </c>
      <c r="B3632" t="s">
        <v>6599</v>
      </c>
      <c r="C3632" s="87" t="s">
        <v>2783</v>
      </c>
      <c r="D3632" s="88"/>
      <c r="E3632" s="89">
        <v>62394657</v>
      </c>
      <c r="F3632"/>
      <c r="G3632" s="17" t="s">
        <v>6</v>
      </c>
      <c r="H3632" s="132">
        <v>46085</v>
      </c>
      <c r="J3632"/>
      <c r="K3632"/>
      <c r="L3632"/>
    </row>
    <row r="3633" spans="1:12">
      <c r="A3633" s="95" t="s">
        <v>2535</v>
      </c>
      <c r="B3633" t="s">
        <v>6599</v>
      </c>
      <c r="C3633" s="87" t="s">
        <v>2784</v>
      </c>
      <c r="D3633" s="88"/>
      <c r="E3633" s="89">
        <v>65773992</v>
      </c>
      <c r="F3633"/>
      <c r="G3633" s="17" t="s">
        <v>1</v>
      </c>
      <c r="H3633" s="132">
        <v>46085</v>
      </c>
      <c r="I3633" s="127" t="s">
        <v>6609</v>
      </c>
      <c r="J3633"/>
      <c r="K3633"/>
      <c r="L3633"/>
    </row>
    <row r="3634" spans="1:12">
      <c r="A3634" s="95" t="s">
        <v>2535</v>
      </c>
      <c r="B3634" t="s">
        <v>6599</v>
      </c>
      <c r="C3634" s="87" t="s">
        <v>2785</v>
      </c>
      <c r="D3634" s="88"/>
      <c r="E3634" s="89">
        <v>67272971</v>
      </c>
      <c r="F3634"/>
      <c r="G3634" s="17" t="s">
        <v>1</v>
      </c>
      <c r="H3634" s="132">
        <v>46085</v>
      </c>
      <c r="I3634" s="127" t="s">
        <v>3465</v>
      </c>
      <c r="J3634"/>
      <c r="K3634"/>
      <c r="L3634"/>
    </row>
    <row r="3635" spans="1:12">
      <c r="A3635" s="95" t="s">
        <v>2535</v>
      </c>
      <c r="B3635" t="s">
        <v>6599</v>
      </c>
      <c r="C3635" s="87" t="s">
        <v>2786</v>
      </c>
      <c r="D3635" s="88"/>
      <c r="E3635" s="89">
        <v>67973490</v>
      </c>
      <c r="F3635"/>
      <c r="G3635" s="17" t="s">
        <v>1</v>
      </c>
      <c r="H3635" s="132">
        <v>46085</v>
      </c>
      <c r="I3635" s="127" t="s">
        <v>4582</v>
      </c>
      <c r="J3635"/>
      <c r="K3635"/>
      <c r="L3635"/>
    </row>
    <row r="3636" spans="1:12">
      <c r="A3636" s="95" t="s">
        <v>2535</v>
      </c>
      <c r="B3636" t="s">
        <v>6599</v>
      </c>
      <c r="C3636" s="87" t="s">
        <v>2787</v>
      </c>
      <c r="D3636" s="88"/>
      <c r="E3636" s="89">
        <v>69385899</v>
      </c>
      <c r="F3636"/>
      <c r="G3636" s="17" t="s">
        <v>2</v>
      </c>
      <c r="H3636" s="132">
        <v>46085</v>
      </c>
      <c r="J3636"/>
      <c r="K3636"/>
      <c r="L3636"/>
    </row>
    <row r="3637" spans="1:12">
      <c r="A3637" s="95" t="s">
        <v>2535</v>
      </c>
      <c r="B3637" t="s">
        <v>6599</v>
      </c>
      <c r="C3637" s="87" t="s">
        <v>2788</v>
      </c>
      <c r="D3637" s="88"/>
      <c r="E3637" s="89">
        <v>65208182</v>
      </c>
      <c r="F3637"/>
      <c r="G3637" s="17" t="s">
        <v>6</v>
      </c>
      <c r="H3637" s="132">
        <v>46085</v>
      </c>
      <c r="I3637" s="127" t="s">
        <v>4349</v>
      </c>
      <c r="J3637"/>
      <c r="K3637"/>
      <c r="L3637"/>
    </row>
    <row r="3638" spans="1:12">
      <c r="A3638" s="95" t="s">
        <v>2535</v>
      </c>
      <c r="B3638" t="s">
        <v>6599</v>
      </c>
      <c r="C3638" s="87" t="s">
        <v>2789</v>
      </c>
      <c r="D3638" s="88"/>
      <c r="E3638" s="89">
        <v>63552945</v>
      </c>
      <c r="F3638"/>
      <c r="G3638" s="17" t="s">
        <v>6</v>
      </c>
      <c r="H3638" s="132">
        <v>46085</v>
      </c>
      <c r="J3638"/>
      <c r="K3638"/>
      <c r="L3638"/>
    </row>
    <row r="3639" spans="1:12">
      <c r="A3639" s="95" t="s">
        <v>2535</v>
      </c>
      <c r="B3639" t="s">
        <v>6599</v>
      </c>
      <c r="C3639" s="87" t="s">
        <v>2790</v>
      </c>
      <c r="D3639" s="88"/>
      <c r="E3639" s="89">
        <v>66279685</v>
      </c>
      <c r="F3639"/>
      <c r="G3639" s="17" t="s">
        <v>1</v>
      </c>
      <c r="H3639" s="132">
        <v>46085</v>
      </c>
      <c r="I3639" s="127" t="s">
        <v>6610</v>
      </c>
      <c r="J3639"/>
      <c r="K3639"/>
      <c r="L3639"/>
    </row>
    <row r="3640" spans="1:12">
      <c r="A3640" s="95" t="s">
        <v>2535</v>
      </c>
      <c r="B3640" t="s">
        <v>6599</v>
      </c>
      <c r="C3640" s="87" t="s">
        <v>2791</v>
      </c>
      <c r="D3640" s="88"/>
      <c r="E3640" s="89">
        <v>64574553</v>
      </c>
      <c r="F3640"/>
      <c r="G3640" s="17" t="s">
        <v>3</v>
      </c>
      <c r="H3640" s="132">
        <v>46085</v>
      </c>
      <c r="I3640" s="127" t="s">
        <v>4358</v>
      </c>
      <c r="J3640"/>
      <c r="K3640"/>
      <c r="L3640"/>
    </row>
    <row r="3641" spans="1:12">
      <c r="A3641" s="95" t="s">
        <v>2535</v>
      </c>
      <c r="B3641" t="s">
        <v>6599</v>
      </c>
      <c r="C3641" s="87" t="s">
        <v>2792</v>
      </c>
      <c r="D3641" s="88"/>
      <c r="E3641" s="89">
        <v>62261433</v>
      </c>
      <c r="F3641"/>
      <c r="G3641" s="17" t="s">
        <v>2</v>
      </c>
      <c r="H3641" s="132">
        <v>46085</v>
      </c>
      <c r="J3641"/>
      <c r="K3641"/>
      <c r="L3641"/>
    </row>
    <row r="3642" spans="1:12">
      <c r="A3642" s="95" t="s">
        <v>2535</v>
      </c>
      <c r="B3642" t="s">
        <v>6599</v>
      </c>
      <c r="C3642" s="87" t="s">
        <v>2793</v>
      </c>
      <c r="D3642" s="88"/>
      <c r="E3642" s="89">
        <v>68138275</v>
      </c>
      <c r="F3642"/>
      <c r="G3642" s="17" t="s">
        <v>1</v>
      </c>
      <c r="H3642" s="132">
        <v>46085</v>
      </c>
      <c r="I3642" s="127" t="s">
        <v>5926</v>
      </c>
      <c r="J3642"/>
      <c r="K3642"/>
      <c r="L3642"/>
    </row>
    <row r="3643" spans="1:12">
      <c r="A3643" s="95" t="s">
        <v>2535</v>
      </c>
      <c r="B3643" t="s">
        <v>6599</v>
      </c>
      <c r="C3643" s="87" t="s">
        <v>2794</v>
      </c>
      <c r="D3643" s="88"/>
      <c r="E3643" s="89">
        <v>65234849</v>
      </c>
      <c r="F3643"/>
      <c r="G3643" s="17" t="s">
        <v>2</v>
      </c>
      <c r="H3643" s="132">
        <v>46085</v>
      </c>
      <c r="J3643"/>
      <c r="K3643"/>
      <c r="L3643"/>
    </row>
    <row r="3644" spans="1:12">
      <c r="A3644" s="95" t="s">
        <v>2535</v>
      </c>
      <c r="B3644" t="s">
        <v>6599</v>
      </c>
      <c r="C3644" s="87" t="s">
        <v>2795</v>
      </c>
      <c r="D3644" s="88"/>
      <c r="E3644" s="89">
        <v>66424198</v>
      </c>
      <c r="F3644"/>
      <c r="G3644" s="17" t="s">
        <v>1</v>
      </c>
      <c r="H3644" s="132">
        <v>46085</v>
      </c>
      <c r="J3644"/>
      <c r="K3644"/>
      <c r="L3644"/>
    </row>
    <row r="3645" spans="1:12">
      <c r="A3645" s="95" t="s">
        <v>2535</v>
      </c>
      <c r="B3645" t="s">
        <v>6599</v>
      </c>
      <c r="C3645" s="87" t="s">
        <v>2796</v>
      </c>
      <c r="D3645" s="88"/>
      <c r="E3645" s="89">
        <v>64892130</v>
      </c>
      <c r="F3645"/>
      <c r="G3645" s="17" t="s">
        <v>6</v>
      </c>
      <c r="H3645" s="132">
        <v>46085</v>
      </c>
      <c r="I3645" s="127" t="s">
        <v>4572</v>
      </c>
      <c r="J3645"/>
      <c r="K3645"/>
      <c r="L3645"/>
    </row>
    <row r="3646" spans="1:12">
      <c r="A3646" s="95" t="s">
        <v>2535</v>
      </c>
      <c r="B3646" t="s">
        <v>6599</v>
      </c>
      <c r="C3646" s="87" t="s">
        <v>2797</v>
      </c>
      <c r="D3646" s="88"/>
      <c r="E3646" s="89">
        <v>63986568</v>
      </c>
      <c r="F3646"/>
      <c r="G3646" s="17" t="s">
        <v>1</v>
      </c>
      <c r="H3646" s="132">
        <v>46085</v>
      </c>
      <c r="I3646" s="127" t="s">
        <v>3345</v>
      </c>
      <c r="J3646"/>
      <c r="K3646"/>
      <c r="L3646"/>
    </row>
    <row r="3647" spans="1:12">
      <c r="A3647" s="95" t="s">
        <v>2535</v>
      </c>
      <c r="B3647" t="s">
        <v>6599</v>
      </c>
      <c r="C3647" s="87" t="s">
        <v>2798</v>
      </c>
      <c r="D3647" s="88"/>
      <c r="E3647" s="89">
        <v>69551118</v>
      </c>
      <c r="F3647"/>
      <c r="G3647" s="17" t="s">
        <v>6</v>
      </c>
      <c r="H3647" s="132">
        <v>46085</v>
      </c>
      <c r="J3647"/>
      <c r="K3647"/>
      <c r="L3647"/>
    </row>
    <row r="3648" spans="1:12">
      <c r="A3648" s="95" t="s">
        <v>2535</v>
      </c>
      <c r="B3648" t="s">
        <v>6599</v>
      </c>
      <c r="C3648" s="87" t="s">
        <v>2799</v>
      </c>
      <c r="D3648" s="88"/>
      <c r="E3648" s="89">
        <v>65770496</v>
      </c>
      <c r="F3648"/>
      <c r="G3648" s="17" t="s">
        <v>2</v>
      </c>
      <c r="H3648" s="132">
        <v>46085</v>
      </c>
      <c r="J3648"/>
      <c r="K3648"/>
      <c r="L3648"/>
    </row>
    <row r="3649" spans="1:12">
      <c r="A3649" s="95" t="s">
        <v>2535</v>
      </c>
      <c r="B3649" t="s">
        <v>6599</v>
      </c>
      <c r="C3649" s="87" t="s">
        <v>2800</v>
      </c>
      <c r="D3649" s="88"/>
      <c r="E3649" s="89">
        <v>63544580</v>
      </c>
      <c r="F3649"/>
      <c r="G3649" s="17" t="s">
        <v>1</v>
      </c>
      <c r="H3649" s="132">
        <v>46085</v>
      </c>
      <c r="J3649"/>
      <c r="K3649"/>
      <c r="L3649"/>
    </row>
    <row r="3650" spans="1:12">
      <c r="A3650" s="95" t="s">
        <v>2535</v>
      </c>
      <c r="B3650" t="s">
        <v>6599</v>
      </c>
      <c r="C3650" s="87" t="s">
        <v>2801</v>
      </c>
      <c r="D3650" s="88"/>
      <c r="E3650" s="89">
        <v>64352014</v>
      </c>
      <c r="F3650"/>
      <c r="G3650" s="17" t="s">
        <v>1</v>
      </c>
      <c r="H3650" s="132">
        <v>46085</v>
      </c>
      <c r="I3650" s="127" t="s">
        <v>3348</v>
      </c>
      <c r="J3650"/>
      <c r="K3650"/>
      <c r="L3650"/>
    </row>
    <row r="3651" spans="1:12">
      <c r="A3651" s="95" t="s">
        <v>2535</v>
      </c>
      <c r="B3651" t="s">
        <v>6599</v>
      </c>
      <c r="C3651" s="87" t="s">
        <v>2802</v>
      </c>
      <c r="D3651" s="88"/>
      <c r="E3651" s="89">
        <v>64030514</v>
      </c>
      <c r="F3651"/>
      <c r="G3651" s="17" t="s">
        <v>4</v>
      </c>
      <c r="H3651" s="132">
        <v>46085</v>
      </c>
      <c r="J3651"/>
      <c r="K3651"/>
      <c r="L3651"/>
    </row>
    <row r="3652" spans="1:12">
      <c r="A3652" s="95" t="s">
        <v>2535</v>
      </c>
      <c r="B3652" t="s">
        <v>6599</v>
      </c>
      <c r="C3652" s="87" t="s">
        <v>2803</v>
      </c>
      <c r="D3652" s="88"/>
      <c r="E3652" s="89">
        <v>65065651</v>
      </c>
      <c r="F3652"/>
      <c r="G3652" s="17" t="s">
        <v>1</v>
      </c>
      <c r="H3652" s="132">
        <v>46085</v>
      </c>
      <c r="I3652" s="127" t="s">
        <v>3351</v>
      </c>
      <c r="J3652"/>
      <c r="K3652"/>
      <c r="L3652"/>
    </row>
    <row r="3653" spans="1:12">
      <c r="A3653" s="95" t="s">
        <v>2535</v>
      </c>
      <c r="B3653" t="s">
        <v>6599</v>
      </c>
      <c r="C3653" s="87" t="s">
        <v>2804</v>
      </c>
      <c r="D3653" s="88"/>
      <c r="E3653" s="89">
        <v>64061719</v>
      </c>
      <c r="F3653"/>
      <c r="G3653" s="17" t="s">
        <v>6</v>
      </c>
      <c r="H3653" s="132"/>
      <c r="J3653"/>
      <c r="K3653"/>
      <c r="L3653"/>
    </row>
    <row r="3654" spans="1:12">
      <c r="A3654" s="95" t="s">
        <v>2535</v>
      </c>
      <c r="B3654" t="s">
        <v>6599</v>
      </c>
      <c r="C3654" s="87" t="s">
        <v>2805</v>
      </c>
      <c r="D3654" s="88"/>
      <c r="E3654" s="89">
        <v>2901467</v>
      </c>
      <c r="F3654"/>
      <c r="G3654" s="17" t="s">
        <v>6</v>
      </c>
      <c r="H3654" s="132"/>
      <c r="J3654"/>
      <c r="K3654"/>
      <c r="L3654"/>
    </row>
    <row r="3655" spans="1:12">
      <c r="A3655" s="95" t="s">
        <v>2535</v>
      </c>
      <c r="B3655" t="s">
        <v>6599</v>
      </c>
      <c r="C3655" s="87" t="s">
        <v>2806</v>
      </c>
      <c r="D3655" s="88"/>
      <c r="E3655" s="89">
        <v>67718604</v>
      </c>
      <c r="F3655"/>
      <c r="G3655" s="17" t="s">
        <v>4</v>
      </c>
      <c r="H3655" s="132"/>
      <c r="J3655"/>
      <c r="K3655"/>
      <c r="L3655"/>
    </row>
    <row r="3656" spans="1:12">
      <c r="A3656" s="95" t="s">
        <v>2535</v>
      </c>
      <c r="B3656" t="s">
        <v>6599</v>
      </c>
      <c r="C3656" s="87" t="s">
        <v>2807</v>
      </c>
      <c r="D3656" s="88"/>
      <c r="E3656" s="89">
        <v>7754848</v>
      </c>
      <c r="F3656" s="99" t="s">
        <v>6611</v>
      </c>
      <c r="G3656" s="17" t="s">
        <v>7</v>
      </c>
      <c r="H3656" s="132"/>
      <c r="I3656" s="127" t="s">
        <v>3363</v>
      </c>
      <c r="J3656"/>
      <c r="K3656"/>
      <c r="L3656"/>
    </row>
    <row r="3657" spans="1:12">
      <c r="A3657" s="95" t="s">
        <v>2535</v>
      </c>
      <c r="B3657" t="s">
        <v>6599</v>
      </c>
      <c r="C3657" s="87" t="s">
        <v>2808</v>
      </c>
      <c r="D3657" s="88"/>
      <c r="E3657" s="89">
        <v>7888075</v>
      </c>
      <c r="F3657"/>
      <c r="G3657" s="17" t="s">
        <v>1</v>
      </c>
      <c r="H3657" s="132"/>
      <c r="J3657"/>
      <c r="K3657"/>
      <c r="L3657"/>
    </row>
    <row r="3658" spans="1:12">
      <c r="A3658" s="95" t="s">
        <v>2535</v>
      </c>
      <c r="B3658" t="s">
        <v>6599</v>
      </c>
      <c r="C3658" s="87" t="s">
        <v>2809</v>
      </c>
      <c r="D3658" s="88"/>
      <c r="E3658" s="89">
        <v>62417421</v>
      </c>
      <c r="F3658"/>
      <c r="G3658" s="17" t="s">
        <v>6</v>
      </c>
      <c r="H3658" s="132"/>
      <c r="J3658"/>
      <c r="K3658"/>
      <c r="L3658"/>
    </row>
    <row r="3659" spans="1:12">
      <c r="A3659" s="95" t="s">
        <v>2535</v>
      </c>
      <c r="B3659" t="s">
        <v>6599</v>
      </c>
      <c r="C3659" s="87" t="s">
        <v>2810</v>
      </c>
      <c r="D3659" s="88"/>
      <c r="E3659" s="89">
        <v>66957665</v>
      </c>
      <c r="F3659"/>
      <c r="G3659" s="17" t="s">
        <v>1</v>
      </c>
      <c r="H3659" s="132"/>
      <c r="J3659"/>
      <c r="K3659"/>
      <c r="L3659"/>
    </row>
    <row r="3660" spans="1:12">
      <c r="A3660" s="95" t="s">
        <v>2535</v>
      </c>
      <c r="B3660" t="s">
        <v>6599</v>
      </c>
      <c r="C3660" s="87" t="s">
        <v>2811</v>
      </c>
      <c r="D3660" s="88"/>
      <c r="E3660" s="89">
        <v>62928239</v>
      </c>
      <c r="F3660"/>
      <c r="G3660" s="17" t="s">
        <v>1</v>
      </c>
      <c r="H3660" s="132"/>
      <c r="J3660"/>
      <c r="K3660"/>
      <c r="L3660"/>
    </row>
    <row r="3661" spans="1:12">
      <c r="A3661" s="95" t="s">
        <v>2535</v>
      </c>
      <c r="B3661" t="s">
        <v>6599</v>
      </c>
      <c r="C3661" s="87" t="s">
        <v>2812</v>
      </c>
      <c r="D3661" s="88"/>
      <c r="E3661" s="89">
        <v>65355640</v>
      </c>
      <c r="F3661"/>
      <c r="G3661" s="17" t="s">
        <v>1</v>
      </c>
      <c r="H3661" s="132"/>
      <c r="J3661"/>
      <c r="K3661"/>
      <c r="L3661"/>
    </row>
    <row r="3662" spans="1:12">
      <c r="A3662" s="95" t="s">
        <v>2535</v>
      </c>
      <c r="B3662" t="s">
        <v>6599</v>
      </c>
      <c r="C3662" s="87" t="s">
        <v>2813</v>
      </c>
      <c r="D3662" s="88"/>
      <c r="E3662" s="89">
        <v>66121661</v>
      </c>
      <c r="F3662"/>
      <c r="G3662" s="17" t="s">
        <v>6</v>
      </c>
      <c r="H3662" s="132"/>
      <c r="I3662" s="127" t="s">
        <v>6612</v>
      </c>
      <c r="J3662"/>
      <c r="K3662"/>
      <c r="L3662"/>
    </row>
    <row r="3663" spans="1:12">
      <c r="A3663" s="95" t="s">
        <v>2535</v>
      </c>
      <c r="B3663" t="s">
        <v>6599</v>
      </c>
      <c r="C3663" s="87" t="s">
        <v>2814</v>
      </c>
      <c r="D3663" s="88"/>
      <c r="E3663" s="89">
        <v>69773977</v>
      </c>
      <c r="F3663"/>
      <c r="G3663" s="17" t="s">
        <v>6</v>
      </c>
      <c r="H3663" s="132"/>
      <c r="J3663"/>
      <c r="K3663"/>
      <c r="L3663"/>
    </row>
    <row r="3664" spans="1:12">
      <c r="A3664" s="95" t="s">
        <v>2535</v>
      </c>
      <c r="B3664" t="s">
        <v>6599</v>
      </c>
      <c r="C3664" s="87" t="s">
        <v>2815</v>
      </c>
      <c r="D3664" s="88"/>
      <c r="E3664" s="89">
        <v>67053419</v>
      </c>
      <c r="F3664"/>
      <c r="G3664" s="17" t="s">
        <v>6</v>
      </c>
      <c r="H3664" s="132"/>
      <c r="J3664"/>
      <c r="K3664"/>
      <c r="L3664"/>
    </row>
    <row r="3665" spans="1:12">
      <c r="A3665" s="95" t="s">
        <v>2535</v>
      </c>
      <c r="B3665" t="s">
        <v>6599</v>
      </c>
      <c r="C3665" s="87" t="s">
        <v>2816</v>
      </c>
      <c r="D3665" s="88"/>
      <c r="E3665" s="89">
        <v>67429836</v>
      </c>
      <c r="F3665"/>
      <c r="G3665" s="17" t="s">
        <v>2</v>
      </c>
      <c r="H3665" s="132"/>
      <c r="J3665"/>
      <c r="K3665"/>
      <c r="L3665"/>
    </row>
    <row r="3666" spans="1:12" ht="21" customHeight="1">
      <c r="A3666" s="95" t="s">
        <v>2535</v>
      </c>
      <c r="B3666" t="s">
        <v>6599</v>
      </c>
      <c r="C3666" s="87" t="s">
        <v>2817</v>
      </c>
      <c r="D3666" s="88"/>
      <c r="E3666" s="89">
        <v>65575636</v>
      </c>
      <c r="F3666"/>
      <c r="G3666" s="17" t="s">
        <v>2</v>
      </c>
      <c r="H3666" s="132"/>
      <c r="J3666"/>
      <c r="K3666"/>
      <c r="L3666"/>
    </row>
    <row r="3667" spans="1:12">
      <c r="A3667" s="95" t="s">
        <v>2535</v>
      </c>
      <c r="B3667" t="s">
        <v>6599</v>
      </c>
      <c r="C3667" s="87" t="s">
        <v>2818</v>
      </c>
      <c r="D3667" s="88"/>
      <c r="E3667" s="89">
        <v>69891742</v>
      </c>
      <c r="F3667"/>
      <c r="G3667" s="17" t="s">
        <v>2</v>
      </c>
      <c r="H3667" s="132"/>
      <c r="J3667"/>
      <c r="K3667"/>
      <c r="L3667"/>
    </row>
    <row r="3668" spans="1:12">
      <c r="A3668" s="95" t="s">
        <v>2535</v>
      </c>
      <c r="B3668" t="s">
        <v>6599</v>
      </c>
      <c r="C3668" s="87" t="s">
        <v>2819</v>
      </c>
      <c r="D3668" s="88"/>
      <c r="E3668" s="89">
        <v>7211254</v>
      </c>
      <c r="F3668"/>
      <c r="G3668" s="17" t="s">
        <v>1</v>
      </c>
      <c r="H3668" s="132"/>
      <c r="J3668"/>
      <c r="K3668"/>
      <c r="L3668"/>
    </row>
    <row r="3669" spans="1:12">
      <c r="A3669" s="95" t="s">
        <v>2535</v>
      </c>
      <c r="B3669" t="s">
        <v>6599</v>
      </c>
      <c r="C3669" s="87" t="s">
        <v>2820</v>
      </c>
      <c r="D3669" s="88"/>
      <c r="E3669" s="89">
        <v>66357489</v>
      </c>
      <c r="F3669"/>
      <c r="G3669" s="17" t="s">
        <v>3</v>
      </c>
      <c r="H3669" s="132"/>
      <c r="J3669"/>
      <c r="K3669"/>
      <c r="L3669"/>
    </row>
    <row r="3670" spans="1:12">
      <c r="A3670" s="95" t="s">
        <v>2535</v>
      </c>
      <c r="B3670" t="s">
        <v>6599</v>
      </c>
      <c r="C3670" s="87" t="s">
        <v>2821</v>
      </c>
      <c r="D3670" s="88"/>
      <c r="E3670" s="89">
        <v>65934969</v>
      </c>
      <c r="F3670"/>
      <c r="G3670" s="17" t="s">
        <v>1</v>
      </c>
      <c r="H3670" s="132"/>
      <c r="J3670"/>
      <c r="K3670"/>
      <c r="L3670"/>
    </row>
    <row r="3671" spans="1:12">
      <c r="A3671" s="95" t="s">
        <v>2535</v>
      </c>
      <c r="B3671" t="s">
        <v>6599</v>
      </c>
      <c r="C3671" s="87" t="s">
        <v>2822</v>
      </c>
      <c r="D3671" s="88"/>
      <c r="E3671" s="89">
        <v>67084522</v>
      </c>
      <c r="F3671"/>
      <c r="G3671" s="17" t="s">
        <v>1</v>
      </c>
      <c r="H3671" s="132"/>
      <c r="J3671"/>
      <c r="K3671"/>
      <c r="L3671"/>
    </row>
    <row r="3672" spans="1:12">
      <c r="A3672" s="95" t="s">
        <v>2535</v>
      </c>
      <c r="B3672" t="s">
        <v>6599</v>
      </c>
      <c r="C3672" s="87" t="s">
        <v>2823</v>
      </c>
      <c r="D3672" s="88"/>
      <c r="E3672" s="89">
        <v>68123269</v>
      </c>
      <c r="F3672"/>
      <c r="G3672" s="17" t="s">
        <v>1</v>
      </c>
      <c r="H3672" s="132"/>
      <c r="J3672"/>
      <c r="K3672"/>
      <c r="L3672"/>
    </row>
    <row r="3673" spans="1:12">
      <c r="A3673" s="95" t="s">
        <v>2535</v>
      </c>
      <c r="B3673" t="s">
        <v>6599</v>
      </c>
      <c r="C3673" s="87" t="s">
        <v>2824</v>
      </c>
      <c r="D3673" s="88"/>
      <c r="E3673" s="89">
        <v>68010070</v>
      </c>
      <c r="F3673"/>
      <c r="G3673" s="17" t="s">
        <v>6</v>
      </c>
      <c r="H3673" s="132"/>
      <c r="I3673" s="127" t="s">
        <v>3387</v>
      </c>
      <c r="J3673"/>
      <c r="K3673"/>
      <c r="L3673"/>
    </row>
    <row r="3674" spans="1:12" ht="15" customHeight="1">
      <c r="A3674" s="95" t="s">
        <v>2535</v>
      </c>
      <c r="B3674" t="s">
        <v>6599</v>
      </c>
      <c r="C3674" s="87" t="s">
        <v>2825</v>
      </c>
      <c r="D3674" s="88"/>
      <c r="E3674" s="89">
        <v>64179170</v>
      </c>
      <c r="F3674"/>
      <c r="G3674" s="17" t="s">
        <v>1</v>
      </c>
      <c r="H3674" s="132"/>
      <c r="I3674" s="127" t="s">
        <v>6613</v>
      </c>
      <c r="J3674"/>
      <c r="K3674"/>
      <c r="L3674"/>
    </row>
    <row r="3675" spans="1:12">
      <c r="A3675" s="95" t="s">
        <v>2535</v>
      </c>
      <c r="B3675" t="s">
        <v>6599</v>
      </c>
      <c r="C3675" s="87" t="s">
        <v>2826</v>
      </c>
      <c r="D3675" s="88"/>
      <c r="E3675" s="89">
        <v>64465125</v>
      </c>
      <c r="F3675"/>
      <c r="G3675" s="17" t="s">
        <v>1</v>
      </c>
      <c r="H3675" s="132"/>
      <c r="J3675"/>
      <c r="K3675"/>
      <c r="L3675"/>
    </row>
    <row r="3676" spans="1:12">
      <c r="A3676" s="95" t="s">
        <v>2535</v>
      </c>
      <c r="B3676" t="s">
        <v>6599</v>
      </c>
      <c r="C3676" s="87" t="s">
        <v>2827</v>
      </c>
      <c r="D3676" s="88"/>
      <c r="E3676" s="89">
        <v>68641658</v>
      </c>
      <c r="F3676"/>
      <c r="G3676" s="17" t="s">
        <v>1</v>
      </c>
      <c r="H3676" s="132"/>
      <c r="I3676" s="127" t="s">
        <v>6614</v>
      </c>
      <c r="J3676"/>
      <c r="K3676"/>
      <c r="L3676"/>
    </row>
    <row r="3677" spans="1:12">
      <c r="A3677" s="95" t="s">
        <v>2535</v>
      </c>
      <c r="B3677" t="s">
        <v>6599</v>
      </c>
      <c r="C3677" s="87" t="s">
        <v>2828</v>
      </c>
      <c r="D3677" s="88"/>
      <c r="E3677" s="89">
        <v>64352891</v>
      </c>
      <c r="F3677"/>
      <c r="G3677" s="17" t="s">
        <v>1</v>
      </c>
      <c r="H3677" s="132"/>
      <c r="J3677"/>
      <c r="K3677"/>
      <c r="L3677"/>
    </row>
    <row r="3678" spans="1:12">
      <c r="A3678" s="95" t="s">
        <v>2535</v>
      </c>
      <c r="B3678" t="s">
        <v>6599</v>
      </c>
      <c r="C3678" s="87" t="s">
        <v>2829</v>
      </c>
      <c r="D3678" s="88"/>
      <c r="E3678" s="89">
        <v>65020904</v>
      </c>
      <c r="F3678"/>
      <c r="G3678" s="17" t="s">
        <v>6</v>
      </c>
      <c r="H3678" s="132"/>
      <c r="J3678"/>
      <c r="K3678"/>
      <c r="L3678"/>
    </row>
    <row r="3679" spans="1:12">
      <c r="A3679" s="95" t="s">
        <v>2535</v>
      </c>
      <c r="B3679" t="s">
        <v>6599</v>
      </c>
      <c r="C3679" s="87" t="s">
        <v>2830</v>
      </c>
      <c r="D3679" s="88"/>
      <c r="E3679" s="89">
        <v>64123850</v>
      </c>
      <c r="F3679"/>
      <c r="G3679" s="17" t="s">
        <v>2</v>
      </c>
      <c r="H3679" s="132"/>
      <c r="J3679"/>
      <c r="K3679"/>
      <c r="L3679"/>
    </row>
    <row r="3680" spans="1:12">
      <c r="A3680" s="95" t="s">
        <v>2535</v>
      </c>
      <c r="B3680" t="s">
        <v>6599</v>
      </c>
      <c r="C3680" s="87" t="s">
        <v>2831</v>
      </c>
      <c r="D3680" s="88"/>
      <c r="E3680" s="89">
        <v>66519657</v>
      </c>
      <c r="F3680"/>
      <c r="G3680" s="17" t="s">
        <v>2</v>
      </c>
      <c r="H3680" s="132"/>
      <c r="J3680"/>
      <c r="K3680"/>
      <c r="L3680"/>
    </row>
    <row r="3681" spans="1:12">
      <c r="A3681" s="95" t="s">
        <v>2535</v>
      </c>
      <c r="B3681" t="s">
        <v>6599</v>
      </c>
      <c r="C3681" s="87" t="s">
        <v>2001</v>
      </c>
      <c r="D3681" s="88"/>
      <c r="E3681" s="89">
        <v>68346395</v>
      </c>
      <c r="F3681"/>
      <c r="G3681" s="17" t="s">
        <v>2</v>
      </c>
      <c r="H3681" s="132"/>
      <c r="J3681"/>
      <c r="K3681"/>
      <c r="L3681"/>
    </row>
    <row r="3682" spans="1:12">
      <c r="A3682" s="95" t="s">
        <v>2535</v>
      </c>
      <c r="B3682" t="s">
        <v>6599</v>
      </c>
      <c r="C3682" s="87" t="s">
        <v>2832</v>
      </c>
      <c r="D3682" s="88"/>
      <c r="E3682" s="89">
        <v>7745995</v>
      </c>
      <c r="F3682"/>
      <c r="G3682" s="17" t="s">
        <v>2</v>
      </c>
      <c r="H3682" s="132"/>
      <c r="J3682"/>
      <c r="K3682"/>
      <c r="L3682"/>
    </row>
    <row r="3683" spans="1:12">
      <c r="A3683" s="95" t="s">
        <v>2535</v>
      </c>
      <c r="B3683" t="s">
        <v>6599</v>
      </c>
      <c r="C3683" s="87" t="s">
        <v>2833</v>
      </c>
      <c r="D3683" s="88"/>
      <c r="E3683" s="89">
        <v>69557695</v>
      </c>
      <c r="F3683"/>
      <c r="G3683" s="17" t="s">
        <v>2</v>
      </c>
      <c r="H3683" s="132"/>
      <c r="J3683"/>
      <c r="K3683"/>
      <c r="L3683"/>
    </row>
    <row r="3684" spans="1:12">
      <c r="A3684" s="95" t="s">
        <v>2535</v>
      </c>
      <c r="B3684" t="s">
        <v>6599</v>
      </c>
      <c r="C3684" s="87" t="s">
        <v>2834</v>
      </c>
      <c r="D3684" s="88"/>
      <c r="E3684" s="89">
        <v>69132974</v>
      </c>
      <c r="F3684"/>
      <c r="G3684" s="17" t="s">
        <v>2</v>
      </c>
      <c r="H3684" s="132"/>
      <c r="J3684"/>
      <c r="K3684"/>
      <c r="L3684"/>
    </row>
    <row r="3685" spans="1:12">
      <c r="A3685" s="95" t="s">
        <v>2535</v>
      </c>
      <c r="B3685" t="s">
        <v>6599</v>
      </c>
      <c r="C3685" s="87" t="s">
        <v>2835</v>
      </c>
      <c r="D3685" s="88"/>
      <c r="E3685" s="89">
        <v>7715360</v>
      </c>
      <c r="F3685"/>
      <c r="G3685" s="17" t="s">
        <v>6</v>
      </c>
      <c r="H3685" s="132"/>
      <c r="J3685"/>
      <c r="K3685"/>
      <c r="L3685"/>
    </row>
    <row r="3686" spans="1:12">
      <c r="A3686" s="95" t="s">
        <v>2535</v>
      </c>
      <c r="B3686" t="s">
        <v>6599</v>
      </c>
      <c r="C3686" s="87" t="s">
        <v>2836</v>
      </c>
      <c r="D3686" s="88"/>
      <c r="E3686" s="89">
        <v>64830776</v>
      </c>
      <c r="F3686"/>
      <c r="G3686" s="17" t="s">
        <v>6</v>
      </c>
      <c r="H3686" s="132"/>
      <c r="J3686"/>
      <c r="K3686"/>
      <c r="L3686"/>
    </row>
    <row r="3687" spans="1:12">
      <c r="A3687" s="95" t="s">
        <v>2535</v>
      </c>
      <c r="B3687" t="s">
        <v>6599</v>
      </c>
      <c r="C3687" s="87" t="s">
        <v>2837</v>
      </c>
      <c r="D3687" s="88"/>
      <c r="E3687" s="89">
        <v>69663594</v>
      </c>
      <c r="F3687"/>
      <c r="G3687" s="17" t="s">
        <v>4</v>
      </c>
      <c r="H3687" s="132"/>
      <c r="J3687"/>
      <c r="K3687"/>
      <c r="L3687"/>
    </row>
    <row r="3688" spans="1:12">
      <c r="A3688" s="95" t="s">
        <v>2535</v>
      </c>
      <c r="B3688" t="s">
        <v>6599</v>
      </c>
      <c r="C3688" s="87" t="s">
        <v>2838</v>
      </c>
      <c r="D3688" s="88"/>
      <c r="E3688" s="89">
        <v>65520365</v>
      </c>
      <c r="F3688"/>
      <c r="G3688" s="17" t="s">
        <v>1</v>
      </c>
      <c r="H3688" s="132"/>
      <c r="J3688"/>
      <c r="K3688"/>
      <c r="L3688"/>
    </row>
    <row r="3689" spans="1:12">
      <c r="A3689" s="95" t="s">
        <v>2535</v>
      </c>
      <c r="B3689" t="s">
        <v>6599</v>
      </c>
      <c r="C3689" s="87" t="s">
        <v>2839</v>
      </c>
      <c r="D3689" s="88"/>
      <c r="E3689" s="89">
        <v>64785597</v>
      </c>
      <c r="F3689"/>
      <c r="G3689" s="17" t="s">
        <v>6</v>
      </c>
      <c r="H3689" s="132"/>
      <c r="J3689"/>
      <c r="K3689"/>
      <c r="L3689"/>
    </row>
    <row r="3690" spans="1:12">
      <c r="A3690" s="95" t="s">
        <v>2535</v>
      </c>
      <c r="B3690" t="s">
        <v>6599</v>
      </c>
      <c r="C3690" s="87" t="s">
        <v>2840</v>
      </c>
      <c r="D3690" s="88"/>
      <c r="E3690" s="89">
        <v>7309491</v>
      </c>
      <c r="F3690"/>
      <c r="G3690" s="17" t="s">
        <v>6</v>
      </c>
      <c r="H3690" s="132">
        <v>46085</v>
      </c>
      <c r="I3690" s="127" t="s">
        <v>6615</v>
      </c>
      <c r="J3690"/>
      <c r="K3690"/>
      <c r="L3690"/>
    </row>
    <row r="3691" spans="1:12">
      <c r="A3691" s="95" t="s">
        <v>2535</v>
      </c>
      <c r="B3691" t="s">
        <v>6599</v>
      </c>
      <c r="C3691" s="87" t="s">
        <v>2841</v>
      </c>
      <c r="D3691" s="88"/>
      <c r="E3691" s="89">
        <v>64623580</v>
      </c>
      <c r="F3691"/>
      <c r="G3691" s="17" t="s">
        <v>3</v>
      </c>
      <c r="H3691" s="132">
        <v>46085</v>
      </c>
      <c r="I3691" s="127" t="s">
        <v>3411</v>
      </c>
      <c r="J3691"/>
      <c r="K3691"/>
      <c r="L3691"/>
    </row>
    <row r="3692" spans="1:12">
      <c r="A3692" s="95" t="s">
        <v>2535</v>
      </c>
      <c r="B3692" t="s">
        <v>6599</v>
      </c>
      <c r="C3692" s="87" t="s">
        <v>2842</v>
      </c>
      <c r="D3692" s="88"/>
      <c r="E3692" s="89">
        <v>67723909</v>
      </c>
      <c r="F3692"/>
      <c r="G3692" s="17" t="s">
        <v>2</v>
      </c>
      <c r="H3692" s="132">
        <v>46085</v>
      </c>
      <c r="I3692" s="127" t="s">
        <v>6616</v>
      </c>
      <c r="J3692"/>
      <c r="K3692"/>
      <c r="L3692"/>
    </row>
    <row r="3693" spans="1:12">
      <c r="A3693" s="95" t="s">
        <v>2535</v>
      </c>
      <c r="B3693" t="s">
        <v>6599</v>
      </c>
      <c r="C3693" s="87" t="s">
        <v>2843</v>
      </c>
      <c r="D3693" s="88"/>
      <c r="E3693" s="89">
        <v>67974624</v>
      </c>
      <c r="F3693"/>
      <c r="G3693" s="17" t="s">
        <v>2</v>
      </c>
      <c r="H3693" s="132"/>
      <c r="J3693"/>
      <c r="K3693"/>
      <c r="L3693"/>
    </row>
    <row r="3694" spans="1:12">
      <c r="A3694" s="95" t="s">
        <v>2535</v>
      </c>
      <c r="B3694" t="s">
        <v>6599</v>
      </c>
      <c r="C3694" s="87" t="s">
        <v>2844</v>
      </c>
      <c r="D3694" s="88"/>
      <c r="E3694" s="89">
        <v>64197957</v>
      </c>
      <c r="F3694"/>
      <c r="G3694" s="17" t="s">
        <v>6</v>
      </c>
      <c r="H3694" s="132"/>
      <c r="I3694" s="127" t="s">
        <v>3253</v>
      </c>
      <c r="J3694"/>
      <c r="K3694"/>
      <c r="L3694"/>
    </row>
    <row r="3695" spans="1:12">
      <c r="A3695" s="95" t="s">
        <v>2535</v>
      </c>
      <c r="B3695" t="s">
        <v>6599</v>
      </c>
      <c r="C3695" s="87" t="s">
        <v>2845</v>
      </c>
      <c r="D3695" s="88"/>
      <c r="E3695" s="89">
        <v>62103137</v>
      </c>
      <c r="F3695"/>
      <c r="G3695" s="17" t="s">
        <v>2</v>
      </c>
      <c r="H3695" s="132"/>
      <c r="J3695"/>
      <c r="K3695"/>
      <c r="L3695"/>
    </row>
    <row r="3696" spans="1:12">
      <c r="A3696" s="95" t="s">
        <v>2535</v>
      </c>
      <c r="B3696" t="s">
        <v>6599</v>
      </c>
      <c r="C3696" s="87" t="s">
        <v>2846</v>
      </c>
      <c r="D3696" s="88"/>
      <c r="E3696" s="89">
        <v>7309251</v>
      </c>
      <c r="F3696"/>
      <c r="G3696" s="17" t="s">
        <v>1</v>
      </c>
      <c r="H3696" s="132"/>
      <c r="I3696" s="127" t="s">
        <v>3575</v>
      </c>
      <c r="J3696"/>
      <c r="K3696"/>
      <c r="L3696"/>
    </row>
    <row r="3697" spans="1:12">
      <c r="A3697" s="95" t="s">
        <v>2535</v>
      </c>
      <c r="B3697" t="s">
        <v>6599</v>
      </c>
      <c r="C3697" s="87" t="s">
        <v>2847</v>
      </c>
      <c r="D3697" s="88"/>
      <c r="E3697" s="89">
        <v>63220555</v>
      </c>
      <c r="F3697"/>
      <c r="G3697" s="17" t="s">
        <v>2</v>
      </c>
      <c r="H3697" s="132"/>
      <c r="J3697"/>
      <c r="K3697"/>
      <c r="L3697"/>
    </row>
    <row r="3698" spans="1:12">
      <c r="A3698" s="95" t="s">
        <v>2535</v>
      </c>
      <c r="B3698" t="s">
        <v>6599</v>
      </c>
      <c r="C3698" s="87" t="s">
        <v>2848</v>
      </c>
      <c r="D3698" s="88"/>
      <c r="E3698" s="89">
        <v>64611475</v>
      </c>
      <c r="F3698"/>
      <c r="G3698" s="17" t="s">
        <v>2</v>
      </c>
      <c r="H3698" s="132"/>
      <c r="J3698"/>
      <c r="K3698"/>
      <c r="L3698"/>
    </row>
    <row r="3699" spans="1:12">
      <c r="A3699" s="95" t="s">
        <v>2535</v>
      </c>
      <c r="B3699" t="s">
        <v>6599</v>
      </c>
      <c r="C3699" s="87" t="s">
        <v>2849</v>
      </c>
      <c r="D3699" s="88"/>
      <c r="E3699" s="89">
        <v>67978272</v>
      </c>
      <c r="F3699"/>
      <c r="G3699" s="17" t="s">
        <v>6</v>
      </c>
      <c r="H3699" s="132"/>
      <c r="J3699"/>
      <c r="K3699"/>
      <c r="L3699"/>
    </row>
    <row r="3700" spans="1:12">
      <c r="A3700" s="95" t="s">
        <v>2535</v>
      </c>
      <c r="B3700" t="s">
        <v>6599</v>
      </c>
      <c r="C3700" s="87" t="s">
        <v>2850</v>
      </c>
      <c r="D3700" s="88"/>
      <c r="E3700" s="89">
        <v>67079382</v>
      </c>
      <c r="F3700"/>
      <c r="G3700" s="17" t="s">
        <v>1</v>
      </c>
      <c r="H3700" s="132"/>
      <c r="I3700" s="127" t="s">
        <v>3421</v>
      </c>
      <c r="J3700"/>
      <c r="K3700"/>
      <c r="L3700"/>
    </row>
    <row r="3701" spans="1:12">
      <c r="A3701" s="95" t="s">
        <v>2535</v>
      </c>
      <c r="B3701" t="s">
        <v>6599</v>
      </c>
      <c r="C3701" s="87" t="s">
        <v>2851</v>
      </c>
      <c r="D3701" s="88"/>
      <c r="E3701" s="89">
        <v>60673323</v>
      </c>
      <c r="F3701"/>
      <c r="G3701" s="17" t="s">
        <v>1</v>
      </c>
      <c r="H3701" s="132"/>
      <c r="I3701" s="127" t="s">
        <v>3263</v>
      </c>
      <c r="J3701"/>
      <c r="K3701"/>
      <c r="L3701"/>
    </row>
    <row r="3702" spans="1:12">
      <c r="A3702" s="95" t="s">
        <v>2535</v>
      </c>
      <c r="B3702" t="s">
        <v>6599</v>
      </c>
      <c r="C3702" s="87" t="s">
        <v>2852</v>
      </c>
      <c r="D3702" s="88"/>
      <c r="E3702" s="89">
        <v>64259183</v>
      </c>
      <c r="F3702"/>
      <c r="G3702" s="17" t="s">
        <v>2</v>
      </c>
      <c r="H3702" s="132"/>
      <c r="J3702"/>
      <c r="K3702"/>
      <c r="L3702"/>
    </row>
    <row r="3703" spans="1:12">
      <c r="A3703" s="95" t="s">
        <v>2535</v>
      </c>
      <c r="B3703" t="s">
        <v>6599</v>
      </c>
      <c r="C3703" s="87" t="s">
        <v>2853</v>
      </c>
      <c r="D3703" s="88"/>
      <c r="E3703" s="89">
        <v>63567757</v>
      </c>
      <c r="F3703"/>
      <c r="G3703" s="17" t="s">
        <v>1</v>
      </c>
      <c r="H3703" s="132"/>
      <c r="I3703" s="127" t="s">
        <v>3265</v>
      </c>
      <c r="J3703"/>
      <c r="K3703"/>
      <c r="L3703"/>
    </row>
    <row r="3704" spans="1:12">
      <c r="A3704" s="95" t="s">
        <v>2535</v>
      </c>
      <c r="B3704" t="s">
        <v>6599</v>
      </c>
      <c r="C3704" s="87" t="s">
        <v>2854</v>
      </c>
      <c r="D3704" s="88"/>
      <c r="E3704" s="89">
        <v>63304420</v>
      </c>
      <c r="F3704"/>
      <c r="G3704" s="17" t="s">
        <v>1</v>
      </c>
      <c r="H3704" s="132"/>
      <c r="I3704" s="127" t="s">
        <v>3266</v>
      </c>
      <c r="J3704"/>
      <c r="K3704"/>
      <c r="L3704"/>
    </row>
    <row r="3705" spans="1:12">
      <c r="A3705" s="95" t="s">
        <v>2535</v>
      </c>
      <c r="B3705" t="s">
        <v>6599</v>
      </c>
      <c r="C3705" s="87" t="s">
        <v>2855</v>
      </c>
      <c r="D3705" s="88"/>
      <c r="E3705" s="89">
        <v>62283862</v>
      </c>
      <c r="F3705"/>
      <c r="G3705" s="17" t="s">
        <v>2</v>
      </c>
      <c r="H3705" s="132"/>
      <c r="I3705" s="127" t="s">
        <v>3267</v>
      </c>
      <c r="J3705"/>
      <c r="K3705"/>
      <c r="L3705"/>
    </row>
    <row r="3706" spans="1:12">
      <c r="A3706" s="95" t="s">
        <v>2535</v>
      </c>
      <c r="B3706" t="s">
        <v>6617</v>
      </c>
      <c r="C3706" s="87" t="s">
        <v>2856</v>
      </c>
      <c r="D3706" s="88"/>
      <c r="E3706" s="89">
        <v>66665426</v>
      </c>
      <c r="F3706"/>
      <c r="G3706" s="17" t="s">
        <v>1</v>
      </c>
      <c r="H3706" s="132">
        <v>46084</v>
      </c>
      <c r="I3706" s="127" t="s">
        <v>6618</v>
      </c>
      <c r="J3706"/>
      <c r="K3706"/>
      <c r="L3706"/>
    </row>
    <row r="3707" spans="1:12">
      <c r="A3707" s="95" t="s">
        <v>2535</v>
      </c>
      <c r="B3707" t="s">
        <v>6617</v>
      </c>
      <c r="C3707" s="87" t="s">
        <v>2857</v>
      </c>
      <c r="D3707" s="88"/>
      <c r="E3707" s="89">
        <v>68519236</v>
      </c>
      <c r="F3707"/>
      <c r="G3707" s="17" t="s">
        <v>6</v>
      </c>
      <c r="H3707" s="132">
        <v>46084</v>
      </c>
      <c r="I3707" s="127" t="s">
        <v>6619</v>
      </c>
      <c r="J3707"/>
      <c r="K3707"/>
      <c r="L3707"/>
    </row>
    <row r="3708" spans="1:12">
      <c r="A3708" s="95" t="s">
        <v>2535</v>
      </c>
      <c r="B3708" t="s">
        <v>6617</v>
      </c>
      <c r="C3708" s="87" t="s">
        <v>2858</v>
      </c>
      <c r="D3708" s="88"/>
      <c r="E3708" s="89">
        <v>67119132</v>
      </c>
      <c r="F3708"/>
      <c r="G3708" s="17" t="s">
        <v>1</v>
      </c>
      <c r="H3708" s="132">
        <v>46084</v>
      </c>
      <c r="I3708" s="127" t="s">
        <v>6620</v>
      </c>
      <c r="J3708" s="4"/>
      <c r="K3708"/>
      <c r="L3708"/>
    </row>
    <row r="3709" spans="1:12">
      <c r="A3709" s="95" t="s">
        <v>2535</v>
      </c>
      <c r="B3709" t="s">
        <v>6617</v>
      </c>
      <c r="C3709" s="87" t="s">
        <v>2859</v>
      </c>
      <c r="D3709" s="88"/>
      <c r="E3709" s="89">
        <v>68256475</v>
      </c>
      <c r="F3709"/>
      <c r="G3709" s="17" t="s">
        <v>2</v>
      </c>
      <c r="H3709" s="132">
        <v>46084</v>
      </c>
      <c r="I3709" s="127" t="s">
        <v>6621</v>
      </c>
      <c r="J3709"/>
      <c r="K3709"/>
      <c r="L3709"/>
    </row>
    <row r="3710" spans="1:12">
      <c r="A3710" s="95" t="s">
        <v>2535</v>
      </c>
      <c r="B3710" t="s">
        <v>6617</v>
      </c>
      <c r="C3710" s="87" t="s">
        <v>2860</v>
      </c>
      <c r="D3710" s="88"/>
      <c r="E3710" s="89">
        <v>60524400</v>
      </c>
      <c r="F3710"/>
      <c r="G3710" s="17" t="s">
        <v>4</v>
      </c>
      <c r="H3710" s="132">
        <v>46084</v>
      </c>
      <c r="I3710" s="127" t="s">
        <v>6622</v>
      </c>
      <c r="J3710"/>
      <c r="K3710"/>
      <c r="L3710" t="s">
        <v>3042</v>
      </c>
    </row>
    <row r="3711" spans="1:12">
      <c r="A3711" s="95" t="s">
        <v>2535</v>
      </c>
      <c r="B3711" t="s">
        <v>6617</v>
      </c>
      <c r="C3711" s="87" t="s">
        <v>2861</v>
      </c>
      <c r="D3711" s="88"/>
      <c r="E3711" s="89">
        <v>68462422</v>
      </c>
      <c r="F3711"/>
      <c r="G3711" s="17" t="s">
        <v>8</v>
      </c>
      <c r="H3711" s="132">
        <v>46084</v>
      </c>
      <c r="I3711" s="127" t="s">
        <v>6623</v>
      </c>
      <c r="J3711"/>
      <c r="K3711"/>
      <c r="L3711"/>
    </row>
    <row r="3712" spans="1:12">
      <c r="A3712" s="95" t="s">
        <v>2535</v>
      </c>
      <c r="B3712" t="s">
        <v>6617</v>
      </c>
      <c r="C3712" s="87" t="s">
        <v>2862</v>
      </c>
      <c r="D3712" s="88"/>
      <c r="E3712" s="89">
        <v>64190849</v>
      </c>
      <c r="F3712"/>
      <c r="G3712" s="17" t="s">
        <v>9</v>
      </c>
      <c r="H3712" s="132">
        <v>46084</v>
      </c>
      <c r="I3712" s="127" t="s">
        <v>6624</v>
      </c>
      <c r="J3712"/>
      <c r="K3712"/>
      <c r="L3712"/>
    </row>
    <row r="3713" spans="1:12">
      <c r="A3713" s="95" t="s">
        <v>2535</v>
      </c>
      <c r="B3713" t="s">
        <v>6617</v>
      </c>
      <c r="C3713" s="87" t="s">
        <v>2863</v>
      </c>
      <c r="D3713" s="88"/>
      <c r="E3713" s="89">
        <v>67135633</v>
      </c>
      <c r="F3713"/>
      <c r="G3713" s="17" t="s">
        <v>9</v>
      </c>
      <c r="H3713" s="132">
        <v>46084</v>
      </c>
      <c r="I3713" s="127" t="s">
        <v>6625</v>
      </c>
      <c r="J3713"/>
      <c r="K3713"/>
      <c r="L3713"/>
    </row>
    <row r="3714" spans="1:12">
      <c r="A3714" s="95" t="s">
        <v>2535</v>
      </c>
      <c r="B3714" t="s">
        <v>6617</v>
      </c>
      <c r="C3714" s="87" t="s">
        <v>2864</v>
      </c>
      <c r="D3714" s="88"/>
      <c r="E3714" s="89">
        <v>69050654</v>
      </c>
      <c r="F3714"/>
      <c r="G3714" s="17" t="s">
        <v>1</v>
      </c>
      <c r="H3714" s="132">
        <v>46084</v>
      </c>
      <c r="I3714" s="127" t="s">
        <v>6626</v>
      </c>
      <c r="J3714"/>
      <c r="K3714"/>
      <c r="L3714"/>
    </row>
    <row r="3715" spans="1:12">
      <c r="A3715" s="95" t="s">
        <v>2535</v>
      </c>
      <c r="B3715" t="s">
        <v>6617</v>
      </c>
      <c r="C3715" s="87" t="s">
        <v>2865</v>
      </c>
      <c r="D3715" s="88"/>
      <c r="E3715" s="89">
        <v>68682267</v>
      </c>
      <c r="F3715"/>
      <c r="G3715" s="17" t="s">
        <v>2</v>
      </c>
      <c r="H3715" s="132">
        <v>46084</v>
      </c>
      <c r="I3715" s="127" t="s">
        <v>6627</v>
      </c>
      <c r="J3715"/>
      <c r="K3715"/>
      <c r="L3715"/>
    </row>
    <row r="3716" spans="1:12">
      <c r="A3716" s="95" t="s">
        <v>2535</v>
      </c>
      <c r="B3716" t="s">
        <v>6617</v>
      </c>
      <c r="C3716" s="87" t="s">
        <v>2866</v>
      </c>
      <c r="D3716" s="88"/>
      <c r="E3716" s="89">
        <v>66261822</v>
      </c>
      <c r="F3716"/>
      <c r="G3716" s="17" t="s">
        <v>1</v>
      </c>
      <c r="H3716" s="132">
        <v>46084</v>
      </c>
      <c r="I3716" s="127" t="s">
        <v>6628</v>
      </c>
      <c r="J3716" s="22">
        <v>46086</v>
      </c>
      <c r="K3716" t="s">
        <v>6629</v>
      </c>
      <c r="L3716"/>
    </row>
    <row r="3717" spans="1:12">
      <c r="A3717" s="95" t="s">
        <v>2535</v>
      </c>
      <c r="B3717" t="s">
        <v>6617</v>
      </c>
      <c r="C3717" s="87" t="s">
        <v>2867</v>
      </c>
      <c r="D3717" s="88"/>
      <c r="E3717" s="89">
        <v>67418388</v>
      </c>
      <c r="F3717"/>
      <c r="G3717" s="17" t="s">
        <v>1</v>
      </c>
      <c r="H3717" s="132">
        <v>46084</v>
      </c>
      <c r="I3717" s="127" t="s">
        <v>6630</v>
      </c>
      <c r="J3717"/>
      <c r="K3717"/>
      <c r="L3717"/>
    </row>
    <row r="3718" spans="1:12">
      <c r="A3718" s="95" t="s">
        <v>2535</v>
      </c>
      <c r="B3718" t="s">
        <v>6617</v>
      </c>
      <c r="C3718" s="87" t="s">
        <v>2868</v>
      </c>
      <c r="D3718" s="88"/>
      <c r="E3718" s="89">
        <v>69644488</v>
      </c>
      <c r="F3718"/>
      <c r="G3718" s="17" t="s">
        <v>3</v>
      </c>
      <c r="H3718" s="132">
        <v>46084</v>
      </c>
      <c r="I3718" s="127" t="s">
        <v>6631</v>
      </c>
      <c r="J3718" s="22">
        <v>46086</v>
      </c>
      <c r="K3718" t="s">
        <v>6632</v>
      </c>
      <c r="L3718"/>
    </row>
    <row r="3719" spans="1:12">
      <c r="A3719" s="95" t="s">
        <v>2535</v>
      </c>
      <c r="B3719" t="s">
        <v>6617</v>
      </c>
      <c r="C3719" s="87" t="s">
        <v>2869</v>
      </c>
      <c r="D3719" s="88"/>
      <c r="E3719" s="89">
        <v>66270030</v>
      </c>
      <c r="F3719"/>
      <c r="G3719" s="17" t="s">
        <v>9</v>
      </c>
      <c r="H3719" s="132">
        <v>46084</v>
      </c>
      <c r="I3719" s="127" t="s">
        <v>6633</v>
      </c>
      <c r="J3719"/>
      <c r="K3719"/>
      <c r="L3719"/>
    </row>
    <row r="3720" spans="1:12">
      <c r="A3720" s="95" t="s">
        <v>2535</v>
      </c>
      <c r="B3720" t="s">
        <v>6617</v>
      </c>
      <c r="C3720" s="87" t="s">
        <v>2870</v>
      </c>
      <c r="D3720" s="88"/>
      <c r="E3720" s="89">
        <v>64187118</v>
      </c>
      <c r="F3720"/>
      <c r="G3720" s="17" t="s">
        <v>3</v>
      </c>
      <c r="H3720" s="132">
        <v>46084</v>
      </c>
      <c r="I3720" s="127" t="s">
        <v>6634</v>
      </c>
      <c r="J3720"/>
      <c r="K3720"/>
      <c r="L3720"/>
    </row>
    <row r="3721" spans="1:12">
      <c r="A3721" s="95" t="s">
        <v>2535</v>
      </c>
      <c r="B3721" t="s">
        <v>6617</v>
      </c>
      <c r="C3721" s="87" t="s">
        <v>2871</v>
      </c>
      <c r="D3721" s="88"/>
      <c r="E3721" s="89">
        <v>68335394</v>
      </c>
      <c r="F3721"/>
      <c r="G3721" s="17" t="s">
        <v>4</v>
      </c>
      <c r="H3721" s="132">
        <v>46084</v>
      </c>
      <c r="I3721" s="127" t="s">
        <v>6635</v>
      </c>
      <c r="J3721"/>
      <c r="K3721"/>
      <c r="L3721"/>
    </row>
    <row r="3722" spans="1:12">
      <c r="A3722" s="95" t="s">
        <v>2535</v>
      </c>
      <c r="B3722" t="s">
        <v>6617</v>
      </c>
      <c r="C3722" s="87" t="s">
        <v>2872</v>
      </c>
      <c r="D3722" s="88"/>
      <c r="E3722" s="89">
        <v>66864620</v>
      </c>
      <c r="F3722"/>
      <c r="G3722" s="17" t="s">
        <v>2</v>
      </c>
      <c r="H3722" s="132">
        <v>46084</v>
      </c>
      <c r="I3722" s="127" t="s">
        <v>6636</v>
      </c>
      <c r="J3722"/>
      <c r="K3722"/>
      <c r="L3722"/>
    </row>
    <row r="3723" spans="1:12">
      <c r="A3723" s="95" t="s">
        <v>2535</v>
      </c>
      <c r="B3723" t="s">
        <v>6617</v>
      </c>
      <c r="C3723" s="87" t="s">
        <v>2873</v>
      </c>
      <c r="D3723" s="88"/>
      <c r="E3723" s="89">
        <v>62728765</v>
      </c>
      <c r="F3723"/>
      <c r="G3723" s="17" t="s">
        <v>6</v>
      </c>
      <c r="H3723" s="132">
        <v>46084</v>
      </c>
      <c r="I3723" s="127" t="s">
        <v>6637</v>
      </c>
      <c r="J3723" s="22">
        <v>46086</v>
      </c>
      <c r="K3723" t="s">
        <v>6638</v>
      </c>
      <c r="L3723"/>
    </row>
    <row r="3724" spans="1:12">
      <c r="A3724" s="95" t="s">
        <v>2535</v>
      </c>
      <c r="B3724" t="s">
        <v>6617</v>
      </c>
      <c r="C3724" s="87" t="s">
        <v>2874</v>
      </c>
      <c r="D3724" s="88"/>
      <c r="E3724" s="89">
        <v>7748678</v>
      </c>
      <c r="F3724"/>
      <c r="G3724" s="17" t="s">
        <v>3</v>
      </c>
      <c r="H3724" s="132">
        <v>46084</v>
      </c>
      <c r="I3724" s="127" t="s">
        <v>6639</v>
      </c>
      <c r="J3724"/>
      <c r="K3724"/>
      <c r="L3724"/>
    </row>
    <row r="3725" spans="1:12">
      <c r="A3725" s="95" t="s">
        <v>2535</v>
      </c>
      <c r="B3725" t="s">
        <v>6617</v>
      </c>
      <c r="C3725" s="87" t="s">
        <v>2875</v>
      </c>
      <c r="D3725" s="88"/>
      <c r="E3725" s="89">
        <v>66264213</v>
      </c>
      <c r="F3725"/>
      <c r="G3725" s="17" t="s">
        <v>1</v>
      </c>
      <c r="H3725" s="132">
        <v>46084</v>
      </c>
      <c r="I3725" s="127" t="s">
        <v>6640</v>
      </c>
      <c r="J3725"/>
      <c r="K3725"/>
      <c r="L3725"/>
    </row>
    <row r="3726" spans="1:12">
      <c r="A3726" s="95" t="s">
        <v>2535</v>
      </c>
      <c r="B3726" t="s">
        <v>6617</v>
      </c>
      <c r="C3726" s="87" t="s">
        <v>2876</v>
      </c>
      <c r="D3726" s="88"/>
      <c r="E3726" s="89">
        <v>64952219</v>
      </c>
      <c r="F3726"/>
      <c r="G3726" s="17" t="s">
        <v>3</v>
      </c>
      <c r="H3726" s="132">
        <v>46084</v>
      </c>
      <c r="I3726" s="127" t="s">
        <v>6641</v>
      </c>
      <c r="J3726" s="22">
        <v>46086</v>
      </c>
      <c r="K3726" t="s">
        <v>6642</v>
      </c>
      <c r="L3726"/>
    </row>
    <row r="3727" spans="1:12">
      <c r="A3727" s="95" t="s">
        <v>2535</v>
      </c>
      <c r="B3727" t="s">
        <v>6617</v>
      </c>
      <c r="C3727" s="87" t="s">
        <v>2877</v>
      </c>
      <c r="D3727" s="88"/>
      <c r="E3727" s="89">
        <v>68585763</v>
      </c>
      <c r="F3727"/>
      <c r="G3727" s="17" t="s">
        <v>1</v>
      </c>
      <c r="H3727" s="132">
        <v>46084</v>
      </c>
      <c r="I3727" s="127" t="s">
        <v>6643</v>
      </c>
      <c r="J3727"/>
      <c r="K3727"/>
      <c r="L3727"/>
    </row>
    <row r="3728" spans="1:12">
      <c r="A3728" s="95" t="s">
        <v>2535</v>
      </c>
      <c r="B3728" t="s">
        <v>6617</v>
      </c>
      <c r="C3728" s="87" t="s">
        <v>2878</v>
      </c>
      <c r="D3728" s="88"/>
      <c r="E3728" s="89">
        <v>67321160</v>
      </c>
      <c r="F3728"/>
      <c r="G3728" s="17" t="s">
        <v>3</v>
      </c>
      <c r="H3728" s="132">
        <v>46084</v>
      </c>
      <c r="I3728" s="127" t="s">
        <v>6644</v>
      </c>
      <c r="J3728"/>
      <c r="K3728"/>
      <c r="L3728"/>
    </row>
    <row r="3729" spans="1:12">
      <c r="A3729" s="95" t="s">
        <v>2535</v>
      </c>
      <c r="B3729" t="s">
        <v>6617</v>
      </c>
      <c r="C3729" s="87" t="s">
        <v>2879</v>
      </c>
      <c r="D3729" s="88"/>
      <c r="E3729" s="89">
        <v>65730266</v>
      </c>
      <c r="F3729"/>
      <c r="G3729" s="17" t="s">
        <v>1</v>
      </c>
      <c r="H3729" s="132">
        <v>46084</v>
      </c>
      <c r="I3729" s="127" t="s">
        <v>6645</v>
      </c>
      <c r="J3729"/>
      <c r="K3729"/>
      <c r="L3729"/>
    </row>
    <row r="3730" spans="1:12">
      <c r="A3730" s="95" t="s">
        <v>2535</v>
      </c>
      <c r="B3730" t="s">
        <v>6617</v>
      </c>
      <c r="C3730" s="87" t="s">
        <v>2880</v>
      </c>
      <c r="D3730" s="88"/>
      <c r="E3730" s="89">
        <v>66918840</v>
      </c>
      <c r="F3730"/>
      <c r="G3730" s="17" t="s">
        <v>3</v>
      </c>
      <c r="H3730" s="132">
        <v>46084</v>
      </c>
      <c r="I3730" s="127" t="s">
        <v>6646</v>
      </c>
      <c r="J3730"/>
      <c r="K3730"/>
      <c r="L3730"/>
    </row>
    <row r="3731" spans="1:12">
      <c r="A3731" s="95" t="s">
        <v>2535</v>
      </c>
      <c r="B3731" t="s">
        <v>6617</v>
      </c>
      <c r="C3731" s="87" t="s">
        <v>2881</v>
      </c>
      <c r="D3731" s="88"/>
      <c r="E3731" s="89">
        <v>69933513</v>
      </c>
      <c r="F3731"/>
      <c r="G3731" s="17" t="s">
        <v>1</v>
      </c>
      <c r="H3731" s="132">
        <v>46084</v>
      </c>
      <c r="I3731" s="127" t="s">
        <v>6647</v>
      </c>
      <c r="J3731" s="22">
        <v>46086</v>
      </c>
      <c r="K3731" t="s">
        <v>6648</v>
      </c>
      <c r="L3731"/>
    </row>
    <row r="3732" spans="1:12">
      <c r="A3732" s="95" t="s">
        <v>2535</v>
      </c>
      <c r="B3732" t="s">
        <v>6617</v>
      </c>
      <c r="C3732" s="87" t="s">
        <v>2882</v>
      </c>
      <c r="D3732" s="88"/>
      <c r="E3732" s="89">
        <v>64474797</v>
      </c>
      <c r="F3732"/>
      <c r="G3732" s="17" t="s">
        <v>1</v>
      </c>
      <c r="H3732" s="132">
        <v>46084</v>
      </c>
      <c r="I3732" s="127" t="s">
        <v>6649</v>
      </c>
      <c r="J3732"/>
      <c r="K3732"/>
      <c r="L3732"/>
    </row>
    <row r="3733" spans="1:12">
      <c r="A3733" s="95" t="s">
        <v>2535</v>
      </c>
      <c r="B3733" t="s">
        <v>6617</v>
      </c>
      <c r="C3733" s="87" t="s">
        <v>2883</v>
      </c>
      <c r="D3733" s="88"/>
      <c r="E3733" s="89">
        <v>63383030</v>
      </c>
      <c r="F3733"/>
      <c r="G3733" s="17" t="s">
        <v>6</v>
      </c>
      <c r="H3733" s="132">
        <v>46084</v>
      </c>
      <c r="I3733" s="127" t="s">
        <v>6650</v>
      </c>
      <c r="J3733" s="22">
        <v>46086</v>
      </c>
      <c r="K3733" t="s">
        <v>6651</v>
      </c>
      <c r="L3733"/>
    </row>
    <row r="3734" spans="1:12">
      <c r="A3734" s="95" t="s">
        <v>2535</v>
      </c>
      <c r="B3734" t="s">
        <v>6617</v>
      </c>
      <c r="C3734" s="87" t="s">
        <v>2884</v>
      </c>
      <c r="D3734" s="88"/>
      <c r="E3734" s="89">
        <v>66252119</v>
      </c>
      <c r="F3734"/>
      <c r="G3734" s="17" t="s">
        <v>3</v>
      </c>
      <c r="H3734" s="132">
        <v>46084</v>
      </c>
      <c r="I3734" s="127" t="s">
        <v>6652</v>
      </c>
      <c r="J3734"/>
      <c r="K3734"/>
      <c r="L3734"/>
    </row>
    <row r="3735" spans="1:12">
      <c r="A3735" s="95" t="s">
        <v>2535</v>
      </c>
      <c r="B3735" t="s">
        <v>6617</v>
      </c>
      <c r="C3735" s="87" t="s">
        <v>2885</v>
      </c>
      <c r="D3735" s="88"/>
      <c r="E3735" s="89">
        <v>69513006</v>
      </c>
      <c r="F3735"/>
      <c r="G3735" s="17" t="s">
        <v>2</v>
      </c>
      <c r="H3735" s="132">
        <v>46084</v>
      </c>
      <c r="I3735" s="127" t="s">
        <v>6653</v>
      </c>
      <c r="J3735"/>
      <c r="K3735"/>
      <c r="L3735"/>
    </row>
    <row r="3736" spans="1:12">
      <c r="A3736" s="95" t="s">
        <v>2535</v>
      </c>
      <c r="B3736" t="s">
        <v>6617</v>
      </c>
      <c r="C3736" s="87" t="s">
        <v>2886</v>
      </c>
      <c r="D3736" s="88"/>
      <c r="E3736" s="89">
        <v>67084363</v>
      </c>
      <c r="F3736"/>
      <c r="G3736" s="17" t="s">
        <v>1</v>
      </c>
      <c r="H3736" s="132">
        <v>46084</v>
      </c>
      <c r="I3736" s="127" t="s">
        <v>6654</v>
      </c>
      <c r="J3736"/>
      <c r="K3736"/>
      <c r="L3736"/>
    </row>
    <row r="3737" spans="1:12">
      <c r="A3737" s="95" t="s">
        <v>2535</v>
      </c>
      <c r="B3737" t="s">
        <v>6617</v>
      </c>
      <c r="C3737" s="87" t="s">
        <v>2887</v>
      </c>
      <c r="D3737" s="88"/>
      <c r="E3737" s="89">
        <v>61636329</v>
      </c>
      <c r="F3737"/>
      <c r="G3737" s="17" t="s">
        <v>1</v>
      </c>
      <c r="H3737" s="132">
        <v>46084</v>
      </c>
      <c r="I3737" s="127" t="s">
        <v>6655</v>
      </c>
      <c r="J3737"/>
      <c r="K3737"/>
      <c r="L3737"/>
    </row>
    <row r="3738" spans="1:12">
      <c r="A3738" s="95" t="s">
        <v>2535</v>
      </c>
      <c r="B3738" t="s">
        <v>6617</v>
      </c>
      <c r="C3738" s="87" t="s">
        <v>2888</v>
      </c>
      <c r="D3738" s="88"/>
      <c r="E3738" s="89">
        <v>63772047</v>
      </c>
      <c r="F3738"/>
      <c r="G3738" s="17" t="s">
        <v>8</v>
      </c>
      <c r="H3738" s="132">
        <v>46084</v>
      </c>
      <c r="I3738" s="127" t="s">
        <v>6656</v>
      </c>
      <c r="J3738"/>
      <c r="K3738"/>
      <c r="L3738"/>
    </row>
    <row r="3739" spans="1:12">
      <c r="A3739" s="95" t="s">
        <v>2535</v>
      </c>
      <c r="B3739" t="s">
        <v>6617</v>
      </c>
      <c r="C3739" s="87" t="s">
        <v>2889</v>
      </c>
      <c r="D3739" s="88"/>
      <c r="E3739" s="89">
        <v>61885169</v>
      </c>
      <c r="F3739"/>
      <c r="G3739" s="17" t="s">
        <v>9</v>
      </c>
      <c r="H3739" s="132">
        <v>46084</v>
      </c>
      <c r="I3739" s="127" t="s">
        <v>6657</v>
      </c>
      <c r="J3739"/>
      <c r="K3739"/>
      <c r="L3739"/>
    </row>
    <row r="3740" spans="1:12">
      <c r="A3740" s="95" t="s">
        <v>2535</v>
      </c>
      <c r="B3740" t="s">
        <v>6617</v>
      </c>
      <c r="C3740" s="87" t="s">
        <v>2890</v>
      </c>
      <c r="D3740" s="88"/>
      <c r="E3740" s="89">
        <v>66008295</v>
      </c>
      <c r="F3740"/>
      <c r="G3740" s="17" t="s">
        <v>1</v>
      </c>
      <c r="H3740" s="132">
        <v>46084</v>
      </c>
      <c r="I3740" s="127" t="s">
        <v>6658</v>
      </c>
      <c r="J3740"/>
      <c r="K3740"/>
      <c r="L3740"/>
    </row>
    <row r="3741" spans="1:12">
      <c r="A3741" s="95" t="s">
        <v>2535</v>
      </c>
      <c r="B3741" t="s">
        <v>6617</v>
      </c>
      <c r="C3741" s="87" t="s">
        <v>2891</v>
      </c>
      <c r="D3741" s="88"/>
      <c r="E3741" s="89">
        <v>69496276</v>
      </c>
      <c r="F3741"/>
      <c r="G3741" s="17" t="s">
        <v>9</v>
      </c>
      <c r="H3741" s="132">
        <v>46084</v>
      </c>
      <c r="I3741" s="127" t="s">
        <v>6659</v>
      </c>
      <c r="J3741"/>
      <c r="K3741"/>
      <c r="L3741"/>
    </row>
    <row r="3742" spans="1:12">
      <c r="A3742" s="95" t="s">
        <v>2535</v>
      </c>
      <c r="B3742" t="s">
        <v>6617</v>
      </c>
      <c r="C3742" s="87" t="s">
        <v>2892</v>
      </c>
      <c r="D3742" s="88"/>
      <c r="E3742" s="89">
        <v>66310657</v>
      </c>
      <c r="F3742"/>
      <c r="G3742" s="17" t="s">
        <v>1</v>
      </c>
      <c r="H3742" s="132">
        <v>46084</v>
      </c>
      <c r="I3742" s="127" t="s">
        <v>6660</v>
      </c>
      <c r="J3742"/>
      <c r="K3742"/>
      <c r="L3742"/>
    </row>
    <row r="3743" spans="1:12">
      <c r="A3743" s="95" t="s">
        <v>2535</v>
      </c>
      <c r="B3743" t="s">
        <v>6617</v>
      </c>
      <c r="C3743" s="87" t="s">
        <v>2893</v>
      </c>
      <c r="D3743" s="88"/>
      <c r="E3743" s="89">
        <v>68121285</v>
      </c>
      <c r="F3743"/>
      <c r="G3743" s="17" t="s">
        <v>3</v>
      </c>
      <c r="H3743" s="132">
        <v>46084</v>
      </c>
      <c r="I3743" s="127" t="s">
        <v>6661</v>
      </c>
      <c r="J3743" s="22">
        <v>46086</v>
      </c>
      <c r="K3743" t="s">
        <v>6662</v>
      </c>
      <c r="L3743"/>
    </row>
    <row r="3744" spans="1:12">
      <c r="A3744" s="95" t="s">
        <v>2535</v>
      </c>
      <c r="B3744" t="s">
        <v>6617</v>
      </c>
      <c r="C3744" s="87" t="s">
        <v>2894</v>
      </c>
      <c r="D3744" s="88"/>
      <c r="E3744" s="89">
        <v>67162092</v>
      </c>
      <c r="F3744"/>
      <c r="G3744" s="17" t="s">
        <v>1</v>
      </c>
      <c r="H3744" s="132">
        <v>46084</v>
      </c>
      <c r="I3744" s="127" t="s">
        <v>6663</v>
      </c>
      <c r="J3744"/>
      <c r="K3744"/>
      <c r="L3744"/>
    </row>
    <row r="3745" spans="1:12">
      <c r="A3745" s="95" t="s">
        <v>2535</v>
      </c>
      <c r="B3745" t="s">
        <v>6617</v>
      </c>
      <c r="C3745" s="87" t="s">
        <v>2895</v>
      </c>
      <c r="D3745" s="88"/>
      <c r="E3745" s="89">
        <v>63667470</v>
      </c>
      <c r="F3745"/>
      <c r="G3745" s="17" t="s">
        <v>1</v>
      </c>
      <c r="H3745" s="132">
        <v>46084</v>
      </c>
      <c r="I3745" s="127" t="s">
        <v>6664</v>
      </c>
      <c r="J3745"/>
      <c r="K3745"/>
      <c r="L3745"/>
    </row>
    <row r="3746" spans="1:12">
      <c r="A3746" s="95" t="s">
        <v>2535</v>
      </c>
      <c r="B3746" t="s">
        <v>6617</v>
      </c>
      <c r="C3746" s="87" t="s">
        <v>2896</v>
      </c>
      <c r="D3746" s="88"/>
      <c r="E3746" s="89">
        <v>68156555</v>
      </c>
      <c r="F3746"/>
      <c r="G3746" s="17" t="s">
        <v>1</v>
      </c>
      <c r="H3746" s="132">
        <v>46084</v>
      </c>
      <c r="I3746" s="127" t="s">
        <v>6665</v>
      </c>
      <c r="J3746"/>
      <c r="K3746"/>
      <c r="L3746"/>
    </row>
    <row r="3747" spans="1:12">
      <c r="A3747" s="95" t="s">
        <v>2535</v>
      </c>
      <c r="B3747" t="s">
        <v>6617</v>
      </c>
      <c r="C3747" s="87" t="s">
        <v>2897</v>
      </c>
      <c r="D3747" s="88"/>
      <c r="E3747" s="89">
        <v>67379600</v>
      </c>
      <c r="F3747"/>
      <c r="G3747" s="17" t="s">
        <v>1</v>
      </c>
      <c r="H3747" s="132">
        <v>46085</v>
      </c>
      <c r="I3747" s="127" t="s">
        <v>6666</v>
      </c>
      <c r="J3747" s="22">
        <v>46086</v>
      </c>
      <c r="K3747" t="s">
        <v>6667</v>
      </c>
      <c r="L3747"/>
    </row>
    <row r="3748" spans="1:12">
      <c r="A3748" s="95" t="s">
        <v>2535</v>
      </c>
      <c r="B3748" t="s">
        <v>6617</v>
      </c>
      <c r="C3748" s="87" t="s">
        <v>2898</v>
      </c>
      <c r="D3748" s="88"/>
      <c r="E3748" s="89">
        <v>65439898</v>
      </c>
      <c r="F3748"/>
      <c r="G3748" s="17" t="s">
        <v>3</v>
      </c>
      <c r="H3748" s="132">
        <v>46085</v>
      </c>
      <c r="I3748" s="127" t="s">
        <v>6668</v>
      </c>
      <c r="J3748"/>
      <c r="K3748"/>
      <c r="L3748"/>
    </row>
    <row r="3749" spans="1:12">
      <c r="A3749" s="95" t="s">
        <v>2535</v>
      </c>
      <c r="B3749" t="s">
        <v>6617</v>
      </c>
      <c r="C3749" s="87" t="s">
        <v>2899</v>
      </c>
      <c r="D3749" s="88"/>
      <c r="E3749" s="89">
        <v>66976230</v>
      </c>
      <c r="F3749"/>
      <c r="G3749" s="17" t="s">
        <v>2</v>
      </c>
      <c r="H3749" s="132">
        <v>46085</v>
      </c>
      <c r="I3749" s="127" t="s">
        <v>6632</v>
      </c>
      <c r="J3749"/>
      <c r="K3749"/>
      <c r="L3749"/>
    </row>
    <row r="3750" spans="1:12">
      <c r="A3750" s="95" t="s">
        <v>2535</v>
      </c>
      <c r="B3750" t="s">
        <v>6617</v>
      </c>
      <c r="C3750" s="87" t="s">
        <v>1651</v>
      </c>
      <c r="D3750" s="88"/>
      <c r="E3750" s="89">
        <v>68739554</v>
      </c>
      <c r="F3750"/>
      <c r="G3750" s="17" t="s">
        <v>1</v>
      </c>
      <c r="H3750" s="132">
        <v>46085</v>
      </c>
      <c r="I3750" s="127" t="s">
        <v>6669</v>
      </c>
      <c r="J3750"/>
      <c r="K3750"/>
      <c r="L3750"/>
    </row>
    <row r="3751" spans="1:12">
      <c r="A3751" s="95" t="s">
        <v>2535</v>
      </c>
      <c r="B3751" t="s">
        <v>6617</v>
      </c>
      <c r="C3751" s="87" t="s">
        <v>2900</v>
      </c>
      <c r="D3751" s="88"/>
      <c r="E3751" s="89">
        <v>66969339</v>
      </c>
      <c r="F3751"/>
      <c r="G3751" s="17" t="s">
        <v>9</v>
      </c>
      <c r="H3751" s="132">
        <v>46085</v>
      </c>
      <c r="I3751" s="127" t="s">
        <v>6670</v>
      </c>
      <c r="J3751" s="22">
        <v>46086</v>
      </c>
      <c r="K3751" t="s">
        <v>6671</v>
      </c>
      <c r="L3751"/>
    </row>
    <row r="3752" spans="1:12">
      <c r="A3752" s="95" t="s">
        <v>2535</v>
      </c>
      <c r="B3752" t="s">
        <v>6617</v>
      </c>
      <c r="C3752" s="87" t="s">
        <v>2901</v>
      </c>
      <c r="D3752" s="88"/>
      <c r="E3752" s="89">
        <v>7201018</v>
      </c>
      <c r="F3752"/>
      <c r="G3752" s="17" t="s">
        <v>3</v>
      </c>
      <c r="H3752" s="132">
        <v>46085</v>
      </c>
      <c r="I3752" s="127" t="s">
        <v>6672</v>
      </c>
      <c r="J3752"/>
      <c r="K3752"/>
      <c r="L3752"/>
    </row>
    <row r="3753" spans="1:12">
      <c r="A3753" s="95" t="s">
        <v>2535</v>
      </c>
      <c r="B3753" t="s">
        <v>6617</v>
      </c>
      <c r="C3753" s="87" t="s">
        <v>2902</v>
      </c>
      <c r="D3753" s="88"/>
      <c r="E3753" s="89">
        <v>67442563</v>
      </c>
      <c r="F3753"/>
      <c r="G3753" s="17" t="s">
        <v>2</v>
      </c>
      <c r="H3753" s="132">
        <v>46085</v>
      </c>
      <c r="I3753" s="127" t="s">
        <v>6673</v>
      </c>
      <c r="J3753"/>
      <c r="K3753"/>
      <c r="L3753"/>
    </row>
    <row r="3754" spans="1:12">
      <c r="A3754" s="95" t="s">
        <v>2535</v>
      </c>
      <c r="B3754" t="s">
        <v>6617</v>
      </c>
      <c r="C3754" s="87" t="s">
        <v>2903</v>
      </c>
      <c r="D3754" s="88"/>
      <c r="E3754" s="89">
        <v>7756133</v>
      </c>
      <c r="F3754"/>
      <c r="G3754" s="17" t="s">
        <v>8</v>
      </c>
      <c r="H3754" s="132">
        <v>46085</v>
      </c>
      <c r="I3754" s="127" t="s">
        <v>6674</v>
      </c>
      <c r="J3754"/>
      <c r="K3754"/>
      <c r="L3754"/>
    </row>
    <row r="3755" spans="1:12">
      <c r="A3755" s="95" t="s">
        <v>2535</v>
      </c>
      <c r="B3755" t="s">
        <v>6617</v>
      </c>
      <c r="C3755" s="87" t="s">
        <v>2904</v>
      </c>
      <c r="D3755" s="88"/>
      <c r="E3755" s="89">
        <v>7751809</v>
      </c>
      <c r="F3755"/>
      <c r="G3755" s="17" t="s">
        <v>1</v>
      </c>
      <c r="H3755" s="132">
        <v>46085</v>
      </c>
      <c r="I3755" s="127" t="s">
        <v>6667</v>
      </c>
      <c r="J3755"/>
      <c r="K3755"/>
      <c r="L3755" t="s">
        <v>6675</v>
      </c>
    </row>
    <row r="3756" spans="1:12">
      <c r="A3756" s="95" t="s">
        <v>2535</v>
      </c>
      <c r="B3756" t="s">
        <v>6617</v>
      </c>
      <c r="C3756" s="87" t="s">
        <v>2905</v>
      </c>
      <c r="D3756" s="88"/>
      <c r="E3756" s="89">
        <v>64781639</v>
      </c>
      <c r="F3756"/>
      <c r="G3756" s="17" t="s">
        <v>3</v>
      </c>
      <c r="H3756" s="132">
        <v>46085</v>
      </c>
      <c r="I3756" s="127" t="s">
        <v>6676</v>
      </c>
      <c r="J3756" s="22">
        <v>46087</v>
      </c>
      <c r="K3756"/>
      <c r="L3756" t="s">
        <v>6677</v>
      </c>
    </row>
    <row r="3757" spans="1:12">
      <c r="A3757" s="95" t="s">
        <v>2535</v>
      </c>
      <c r="B3757" t="s">
        <v>6617</v>
      </c>
      <c r="C3757" s="87" t="s">
        <v>2906</v>
      </c>
      <c r="D3757" s="88"/>
      <c r="E3757" s="89">
        <v>65228255</v>
      </c>
      <c r="F3757"/>
      <c r="G3757" s="17" t="s">
        <v>9</v>
      </c>
      <c r="H3757" s="132">
        <v>46085</v>
      </c>
      <c r="I3757" s="127" t="s">
        <v>6678</v>
      </c>
      <c r="J3757"/>
      <c r="K3757"/>
      <c r="L3757"/>
    </row>
    <row r="3758" spans="1:12">
      <c r="A3758" s="95" t="s">
        <v>2535</v>
      </c>
      <c r="B3758" t="s">
        <v>6617</v>
      </c>
      <c r="C3758" s="87" t="s">
        <v>2907</v>
      </c>
      <c r="D3758" s="88"/>
      <c r="E3758" s="89">
        <v>66185272</v>
      </c>
      <c r="F3758"/>
      <c r="G3758" s="17" t="s">
        <v>2</v>
      </c>
      <c r="H3758" s="132">
        <v>46085</v>
      </c>
      <c r="I3758" s="127" t="s">
        <v>6679</v>
      </c>
      <c r="J3758"/>
      <c r="K3758"/>
      <c r="L3758"/>
    </row>
    <row r="3759" spans="1:12">
      <c r="A3759" s="95" t="s">
        <v>2535</v>
      </c>
      <c r="B3759" t="s">
        <v>6617</v>
      </c>
      <c r="C3759" s="87" t="s">
        <v>2908</v>
      </c>
      <c r="D3759" s="88"/>
      <c r="E3759" s="89">
        <v>62030265</v>
      </c>
      <c r="F3759"/>
      <c r="G3759" s="17" t="s">
        <v>3</v>
      </c>
      <c r="H3759" s="132">
        <v>46085</v>
      </c>
      <c r="I3759" s="127" t="s">
        <v>6680</v>
      </c>
      <c r="J3759"/>
      <c r="K3759"/>
      <c r="L3759"/>
    </row>
    <row r="3760" spans="1:12">
      <c r="A3760" s="95" t="s">
        <v>2535</v>
      </c>
      <c r="B3760" t="s">
        <v>6617</v>
      </c>
      <c r="C3760" s="87" t="s">
        <v>2909</v>
      </c>
      <c r="D3760" s="88"/>
      <c r="E3760" s="89">
        <v>65283087</v>
      </c>
      <c r="F3760"/>
      <c r="G3760" s="17" t="s">
        <v>1</v>
      </c>
      <c r="H3760" s="132">
        <v>46085</v>
      </c>
      <c r="I3760" s="127" t="s">
        <v>6681</v>
      </c>
      <c r="J3760"/>
      <c r="K3760"/>
      <c r="L3760"/>
    </row>
    <row r="3761" spans="1:12">
      <c r="A3761" s="95" t="s">
        <v>2535</v>
      </c>
      <c r="B3761" t="s">
        <v>6617</v>
      </c>
      <c r="C3761" s="87" t="s">
        <v>2910</v>
      </c>
      <c r="D3761" s="88"/>
      <c r="E3761" s="89">
        <v>64709854</v>
      </c>
      <c r="F3761"/>
      <c r="G3761" s="17" t="s">
        <v>1</v>
      </c>
      <c r="H3761" s="132">
        <v>46085</v>
      </c>
      <c r="I3761" s="127" t="s">
        <v>6682</v>
      </c>
      <c r="J3761"/>
      <c r="K3761"/>
      <c r="L3761"/>
    </row>
    <row r="3762" spans="1:12">
      <c r="A3762" s="95" t="s">
        <v>2535</v>
      </c>
      <c r="B3762" t="s">
        <v>6617</v>
      </c>
      <c r="C3762" s="87" t="s">
        <v>2911</v>
      </c>
      <c r="D3762" s="88"/>
      <c r="E3762" s="89">
        <v>7202670</v>
      </c>
      <c r="F3762"/>
      <c r="G3762" s="17" t="s">
        <v>3</v>
      </c>
      <c r="H3762" s="132">
        <v>46085</v>
      </c>
      <c r="I3762" s="127" t="s">
        <v>6683</v>
      </c>
      <c r="J3762"/>
      <c r="K3762"/>
      <c r="L3762"/>
    </row>
    <row r="3763" spans="1:12">
      <c r="A3763" s="95" t="s">
        <v>2535</v>
      </c>
      <c r="B3763" t="s">
        <v>6617</v>
      </c>
      <c r="C3763" s="87" t="s">
        <v>2912</v>
      </c>
      <c r="D3763" s="88"/>
      <c r="E3763" s="89">
        <v>68611927</v>
      </c>
      <c r="F3763"/>
      <c r="G3763" s="17" t="s">
        <v>2</v>
      </c>
      <c r="H3763" s="132">
        <v>46085</v>
      </c>
      <c r="I3763" s="127" t="s">
        <v>6684</v>
      </c>
      <c r="J3763"/>
      <c r="K3763"/>
      <c r="L3763"/>
    </row>
    <row r="3764" spans="1:12">
      <c r="A3764" s="95" t="s">
        <v>2535</v>
      </c>
      <c r="B3764" t="s">
        <v>6617</v>
      </c>
      <c r="C3764" s="87" t="s">
        <v>2913</v>
      </c>
      <c r="D3764" s="88"/>
      <c r="E3764" s="89">
        <v>62168793</v>
      </c>
      <c r="F3764"/>
      <c r="G3764" s="17" t="s">
        <v>8</v>
      </c>
      <c r="H3764" s="132">
        <v>46085</v>
      </c>
      <c r="I3764" s="127" t="s">
        <v>6685</v>
      </c>
      <c r="J3764"/>
      <c r="K3764"/>
      <c r="L3764"/>
    </row>
    <row r="3765" spans="1:12">
      <c r="A3765" s="95" t="s">
        <v>2535</v>
      </c>
      <c r="B3765" t="s">
        <v>6617</v>
      </c>
      <c r="C3765" s="87" t="s">
        <v>2914</v>
      </c>
      <c r="D3765" s="88"/>
      <c r="E3765" s="89">
        <v>7305139</v>
      </c>
      <c r="F3765"/>
      <c r="G3765" s="17" t="s">
        <v>1</v>
      </c>
      <c r="H3765" s="132">
        <v>46085</v>
      </c>
      <c r="I3765" s="127" t="s">
        <v>6686</v>
      </c>
      <c r="J3765"/>
      <c r="K3765"/>
      <c r="L3765"/>
    </row>
    <row r="3766" spans="1:12">
      <c r="A3766" s="95" t="s">
        <v>2535</v>
      </c>
      <c r="B3766" t="s">
        <v>6617</v>
      </c>
      <c r="C3766" s="87" t="s">
        <v>2915</v>
      </c>
      <c r="D3766" s="88"/>
      <c r="E3766" s="89">
        <v>7093086</v>
      </c>
      <c r="F3766"/>
      <c r="G3766" s="17" t="s">
        <v>3</v>
      </c>
      <c r="H3766" s="132">
        <v>46085</v>
      </c>
      <c r="I3766" s="127" t="s">
        <v>6687</v>
      </c>
      <c r="J3766"/>
      <c r="K3766"/>
      <c r="L3766"/>
    </row>
    <row r="3767" spans="1:12">
      <c r="A3767" s="95" t="s">
        <v>2535</v>
      </c>
      <c r="B3767" t="s">
        <v>6617</v>
      </c>
      <c r="C3767" s="87" t="s">
        <v>2916</v>
      </c>
      <c r="D3767" s="88"/>
      <c r="E3767" s="89">
        <v>7758962</v>
      </c>
      <c r="F3767"/>
      <c r="G3767" s="17" t="s">
        <v>8</v>
      </c>
      <c r="H3767" s="132">
        <v>46085</v>
      </c>
      <c r="I3767" s="127" t="s">
        <v>6638</v>
      </c>
      <c r="J3767"/>
      <c r="K3767"/>
      <c r="L3767"/>
    </row>
    <row r="3768" spans="1:12">
      <c r="A3768" s="95" t="s">
        <v>2535</v>
      </c>
      <c r="B3768" t="s">
        <v>6617</v>
      </c>
      <c r="C3768" s="87" t="s">
        <v>2917</v>
      </c>
      <c r="D3768" s="88"/>
      <c r="E3768" s="89">
        <v>7098228</v>
      </c>
      <c r="F3768"/>
      <c r="G3768" s="17" t="s">
        <v>2</v>
      </c>
      <c r="H3768" s="132">
        <v>46085</v>
      </c>
      <c r="I3768" s="127" t="s">
        <v>6688</v>
      </c>
      <c r="J3768"/>
      <c r="K3768"/>
      <c r="L3768"/>
    </row>
    <row r="3769" spans="1:12">
      <c r="A3769" s="95" t="s">
        <v>2535</v>
      </c>
      <c r="B3769" t="s">
        <v>6617</v>
      </c>
      <c r="C3769" s="87" t="s">
        <v>2918</v>
      </c>
      <c r="D3769" s="88"/>
      <c r="E3769" s="89">
        <v>66929729</v>
      </c>
      <c r="F3769"/>
      <c r="G3769" s="17" t="s">
        <v>5</v>
      </c>
      <c r="H3769" s="132">
        <v>46085</v>
      </c>
      <c r="I3769" s="127" t="s">
        <v>6689</v>
      </c>
      <c r="J3769"/>
      <c r="K3769"/>
      <c r="L3769"/>
    </row>
    <row r="3770" spans="1:12">
      <c r="A3770" s="95" t="s">
        <v>2535</v>
      </c>
      <c r="B3770" t="s">
        <v>6617</v>
      </c>
      <c r="C3770" s="87" t="s">
        <v>2919</v>
      </c>
      <c r="D3770" s="88"/>
      <c r="E3770" s="89">
        <v>65386106</v>
      </c>
      <c r="F3770"/>
      <c r="G3770" s="17" t="s">
        <v>1</v>
      </c>
      <c r="H3770" s="132">
        <v>46085</v>
      </c>
      <c r="I3770" s="127" t="s">
        <v>6690</v>
      </c>
      <c r="J3770"/>
      <c r="K3770"/>
      <c r="L3770"/>
    </row>
    <row r="3771" spans="1:12">
      <c r="A3771" s="95" t="s">
        <v>2535</v>
      </c>
      <c r="B3771" t="s">
        <v>6617</v>
      </c>
      <c r="C3771" s="87" t="s">
        <v>2920</v>
      </c>
      <c r="D3771" s="88"/>
      <c r="E3771" s="89">
        <v>69264227</v>
      </c>
      <c r="F3771"/>
      <c r="G3771" s="17" t="s">
        <v>2</v>
      </c>
      <c r="H3771" s="132">
        <v>46085</v>
      </c>
      <c r="I3771" s="127" t="s">
        <v>6691</v>
      </c>
      <c r="J3771"/>
      <c r="K3771"/>
      <c r="L3771"/>
    </row>
    <row r="3772" spans="1:12">
      <c r="A3772" s="95" t="s">
        <v>2535</v>
      </c>
      <c r="B3772" t="s">
        <v>6617</v>
      </c>
      <c r="C3772" s="87" t="s">
        <v>2921</v>
      </c>
      <c r="D3772" s="88"/>
      <c r="E3772" s="89">
        <v>67981249</v>
      </c>
      <c r="F3772"/>
      <c r="G3772" s="17" t="s">
        <v>1</v>
      </c>
      <c r="H3772" s="132">
        <v>46085</v>
      </c>
      <c r="I3772" s="127" t="s">
        <v>6692</v>
      </c>
      <c r="J3772"/>
      <c r="K3772"/>
      <c r="L3772"/>
    </row>
    <row r="3773" spans="1:12">
      <c r="A3773" s="95" t="s">
        <v>2535</v>
      </c>
      <c r="B3773" t="s">
        <v>6617</v>
      </c>
      <c r="C3773" s="87" t="s">
        <v>2922</v>
      </c>
      <c r="D3773" s="88"/>
      <c r="E3773" s="89">
        <v>69270731</v>
      </c>
      <c r="F3773"/>
      <c r="G3773" s="17" t="s">
        <v>1</v>
      </c>
      <c r="H3773" s="132">
        <v>46085</v>
      </c>
      <c r="I3773" s="127" t="s">
        <v>6693</v>
      </c>
      <c r="J3773"/>
      <c r="K3773"/>
      <c r="L3773"/>
    </row>
    <row r="3774" spans="1:12">
      <c r="A3774" s="95" t="s">
        <v>2535</v>
      </c>
      <c r="B3774" t="s">
        <v>6617</v>
      </c>
      <c r="C3774" s="87" t="s">
        <v>2923</v>
      </c>
      <c r="D3774" s="88"/>
      <c r="E3774" s="89">
        <v>65482000</v>
      </c>
      <c r="F3774"/>
      <c r="G3774" s="17" t="s">
        <v>4</v>
      </c>
      <c r="H3774" s="132">
        <v>46085</v>
      </c>
      <c r="I3774" s="127" t="s">
        <v>6694</v>
      </c>
      <c r="J3774"/>
      <c r="K3774"/>
      <c r="L3774"/>
    </row>
    <row r="3775" spans="1:12">
      <c r="A3775" s="95" t="s">
        <v>2535</v>
      </c>
      <c r="B3775" t="s">
        <v>6617</v>
      </c>
      <c r="C3775" s="87" t="s">
        <v>2924</v>
      </c>
      <c r="D3775" s="88"/>
      <c r="E3775" s="89">
        <v>65863203</v>
      </c>
      <c r="F3775"/>
      <c r="G3775" s="17" t="s">
        <v>3</v>
      </c>
      <c r="H3775" s="132">
        <v>46085</v>
      </c>
      <c r="I3775" s="127" t="s">
        <v>6695</v>
      </c>
      <c r="J3775"/>
      <c r="K3775"/>
      <c r="L3775"/>
    </row>
    <row r="3776" spans="1:12">
      <c r="A3776" s="95" t="s">
        <v>2535</v>
      </c>
      <c r="B3776" t="s">
        <v>6617</v>
      </c>
      <c r="C3776" s="87" t="s">
        <v>2925</v>
      </c>
      <c r="D3776" s="88"/>
      <c r="E3776" s="89">
        <v>7871095</v>
      </c>
      <c r="F3776"/>
      <c r="G3776" s="17" t="s">
        <v>9</v>
      </c>
      <c r="H3776" s="132">
        <v>46085</v>
      </c>
      <c r="I3776" s="127" t="s">
        <v>6696</v>
      </c>
      <c r="J3776"/>
      <c r="K3776"/>
      <c r="L3776"/>
    </row>
    <row r="3777" spans="1:12">
      <c r="A3777" s="95" t="s">
        <v>2535</v>
      </c>
      <c r="B3777" t="s">
        <v>6617</v>
      </c>
      <c r="C3777" s="87" t="s">
        <v>2926</v>
      </c>
      <c r="D3777" s="88"/>
      <c r="E3777" s="89">
        <v>62043125</v>
      </c>
      <c r="F3777"/>
      <c r="G3777" s="17" t="s">
        <v>2</v>
      </c>
      <c r="H3777" s="132">
        <v>46085</v>
      </c>
      <c r="I3777" s="127" t="s">
        <v>6697</v>
      </c>
      <c r="J3777"/>
      <c r="K3777"/>
      <c r="L3777"/>
    </row>
    <row r="3778" spans="1:12">
      <c r="A3778" s="95" t="s">
        <v>2535</v>
      </c>
      <c r="B3778" t="s">
        <v>6617</v>
      </c>
      <c r="C3778" s="87" t="s">
        <v>2927</v>
      </c>
      <c r="D3778" s="88"/>
      <c r="E3778" s="89">
        <v>7752434</v>
      </c>
      <c r="F3778"/>
      <c r="G3778" s="17" t="s">
        <v>9</v>
      </c>
      <c r="H3778" s="132">
        <v>46085</v>
      </c>
      <c r="I3778" s="127" t="s">
        <v>6698</v>
      </c>
      <c r="J3778"/>
      <c r="K3778"/>
      <c r="L3778"/>
    </row>
    <row r="3779" spans="1:12">
      <c r="A3779" s="95" t="s">
        <v>2535</v>
      </c>
      <c r="B3779" t="s">
        <v>6617</v>
      </c>
      <c r="C3779" s="87" t="s">
        <v>2928</v>
      </c>
      <c r="D3779" s="88"/>
      <c r="E3779" s="89">
        <v>67811530</v>
      </c>
      <c r="F3779"/>
      <c r="G3779" s="17" t="s">
        <v>1</v>
      </c>
      <c r="H3779" s="132">
        <v>46085</v>
      </c>
      <c r="I3779" s="127" t="s">
        <v>6699</v>
      </c>
      <c r="J3779"/>
      <c r="K3779"/>
      <c r="L3779"/>
    </row>
    <row r="3780" spans="1:12">
      <c r="A3780" s="95" t="s">
        <v>2535</v>
      </c>
      <c r="B3780" t="s">
        <v>6617</v>
      </c>
      <c r="C3780" s="87" t="s">
        <v>2929</v>
      </c>
      <c r="D3780" s="88"/>
      <c r="E3780" s="89">
        <v>63724707</v>
      </c>
      <c r="F3780"/>
      <c r="G3780" s="17" t="s">
        <v>1</v>
      </c>
      <c r="H3780" s="132">
        <v>46085</v>
      </c>
      <c r="I3780" s="127" t="s">
        <v>6700</v>
      </c>
      <c r="J3780"/>
      <c r="K3780"/>
      <c r="L3780"/>
    </row>
    <row r="3781" spans="1:12">
      <c r="A3781" s="95" t="s">
        <v>2535</v>
      </c>
      <c r="B3781" t="s">
        <v>6617</v>
      </c>
      <c r="C3781" s="87" t="s">
        <v>2930</v>
      </c>
      <c r="D3781" s="88"/>
      <c r="E3781" s="89">
        <v>65390032</v>
      </c>
      <c r="F3781"/>
      <c r="G3781" s="17" t="s">
        <v>9</v>
      </c>
      <c r="H3781" s="132">
        <v>46085</v>
      </c>
      <c r="I3781" s="127" t="s">
        <v>6701</v>
      </c>
      <c r="J3781"/>
      <c r="K3781"/>
      <c r="L3781"/>
    </row>
    <row r="3782" spans="1:12">
      <c r="A3782" s="95" t="s">
        <v>2535</v>
      </c>
      <c r="B3782" t="s">
        <v>6617</v>
      </c>
      <c r="C3782" s="87" t="s">
        <v>2931</v>
      </c>
      <c r="D3782" s="88"/>
      <c r="E3782" s="89">
        <v>7753905</v>
      </c>
      <c r="F3782"/>
      <c r="G3782" s="17" t="s">
        <v>2</v>
      </c>
      <c r="H3782" s="132">
        <v>46085</v>
      </c>
      <c r="I3782" s="127" t="s">
        <v>6702</v>
      </c>
      <c r="J3782"/>
      <c r="K3782"/>
      <c r="L3782"/>
    </row>
    <row r="3783" spans="1:12">
      <c r="A3783" s="95" t="s">
        <v>2535</v>
      </c>
      <c r="B3783" t="s">
        <v>6617</v>
      </c>
      <c r="C3783" s="87" t="s">
        <v>2932</v>
      </c>
      <c r="D3783" s="88"/>
      <c r="E3783" s="89">
        <v>7712193</v>
      </c>
      <c r="F3783"/>
      <c r="G3783" s="17" t="s">
        <v>6</v>
      </c>
      <c r="H3783" s="132">
        <v>46085</v>
      </c>
      <c r="I3783" s="127" t="s">
        <v>6623</v>
      </c>
      <c r="J3783" s="22">
        <v>46087</v>
      </c>
      <c r="K3783" t="s">
        <v>6703</v>
      </c>
      <c r="L3783"/>
    </row>
    <row r="3784" spans="1:12">
      <c r="A3784" s="95" t="s">
        <v>2535</v>
      </c>
      <c r="B3784" t="s">
        <v>6617</v>
      </c>
      <c r="C3784" s="87" t="s">
        <v>2933</v>
      </c>
      <c r="D3784" s="88"/>
      <c r="E3784" s="89">
        <v>66627886</v>
      </c>
      <c r="F3784"/>
      <c r="G3784" s="17" t="s">
        <v>1</v>
      </c>
      <c r="H3784" s="132">
        <v>46085</v>
      </c>
      <c r="I3784" s="127" t="s">
        <v>6704</v>
      </c>
      <c r="J3784"/>
      <c r="K3784"/>
      <c r="L3784"/>
    </row>
    <row r="3785" spans="1:12">
      <c r="A3785" s="95" t="s">
        <v>2535</v>
      </c>
      <c r="B3785" t="s">
        <v>6617</v>
      </c>
      <c r="C3785" s="87" t="s">
        <v>2934</v>
      </c>
      <c r="D3785" s="88"/>
      <c r="E3785" s="89">
        <v>64658053</v>
      </c>
      <c r="F3785"/>
      <c r="G3785" s="17" t="s">
        <v>3</v>
      </c>
      <c r="H3785" s="132">
        <v>46085</v>
      </c>
      <c r="I3785" s="127" t="s">
        <v>6705</v>
      </c>
      <c r="J3785"/>
      <c r="K3785"/>
      <c r="L3785"/>
    </row>
    <row r="3786" spans="1:12">
      <c r="A3786" s="95" t="s">
        <v>2535</v>
      </c>
      <c r="B3786" t="s">
        <v>6617</v>
      </c>
      <c r="C3786" s="87" t="s">
        <v>2935</v>
      </c>
      <c r="D3786" s="88"/>
      <c r="E3786" s="89">
        <v>65792299</v>
      </c>
      <c r="F3786"/>
      <c r="G3786" s="17" t="s">
        <v>4</v>
      </c>
      <c r="H3786" s="132">
        <v>46085</v>
      </c>
      <c r="I3786" s="127" t="s">
        <v>6630</v>
      </c>
      <c r="J3786"/>
      <c r="K3786"/>
      <c r="L3786"/>
    </row>
    <row r="3787" spans="1:12">
      <c r="A3787" s="95" t="s">
        <v>2535</v>
      </c>
      <c r="B3787" t="s">
        <v>6617</v>
      </c>
      <c r="C3787" s="87" t="s">
        <v>2936</v>
      </c>
      <c r="D3787" s="88"/>
      <c r="E3787" s="89">
        <v>61392614</v>
      </c>
      <c r="F3787"/>
      <c r="G3787" s="17" t="s">
        <v>2</v>
      </c>
      <c r="H3787" s="132">
        <v>46085</v>
      </c>
      <c r="I3787" s="127" t="s">
        <v>6706</v>
      </c>
      <c r="J3787"/>
      <c r="K3787"/>
      <c r="L3787"/>
    </row>
    <row r="3788" spans="1:12">
      <c r="A3788" s="95" t="s">
        <v>2535</v>
      </c>
      <c r="B3788" t="s">
        <v>6617</v>
      </c>
      <c r="C3788" s="87" t="s">
        <v>2937</v>
      </c>
      <c r="D3788" s="88"/>
      <c r="E3788" s="89">
        <v>7202154</v>
      </c>
      <c r="F3788"/>
      <c r="G3788" s="17" t="s">
        <v>1</v>
      </c>
      <c r="H3788" s="132">
        <v>46085</v>
      </c>
      <c r="I3788" s="127" t="s">
        <v>6707</v>
      </c>
      <c r="J3788"/>
      <c r="K3788"/>
      <c r="L3788"/>
    </row>
    <row r="3789" spans="1:12">
      <c r="A3789" s="95" t="s">
        <v>2535</v>
      </c>
      <c r="B3789" t="s">
        <v>6617</v>
      </c>
      <c r="C3789" s="87" t="s">
        <v>2938</v>
      </c>
      <c r="D3789" s="88"/>
      <c r="E3789" s="89">
        <v>65826200</v>
      </c>
      <c r="F3789"/>
      <c r="G3789" s="17" t="s">
        <v>1</v>
      </c>
      <c r="H3789" s="132">
        <v>46085</v>
      </c>
      <c r="I3789" s="127" t="s">
        <v>6708</v>
      </c>
      <c r="J3789"/>
      <c r="K3789"/>
      <c r="L3789"/>
    </row>
    <row r="3790" spans="1:12">
      <c r="A3790" s="95" t="s">
        <v>2535</v>
      </c>
      <c r="B3790" t="s">
        <v>6617</v>
      </c>
      <c r="C3790" s="87" t="s">
        <v>2939</v>
      </c>
      <c r="D3790" s="88"/>
      <c r="E3790" s="89">
        <v>65021662</v>
      </c>
      <c r="F3790"/>
      <c r="G3790" s="17" t="s">
        <v>9</v>
      </c>
      <c r="H3790" s="132">
        <v>46085</v>
      </c>
      <c r="I3790" s="127" t="s">
        <v>6709</v>
      </c>
      <c r="J3790"/>
      <c r="K3790"/>
      <c r="L3790"/>
    </row>
    <row r="3791" spans="1:12">
      <c r="A3791" s="95" t="s">
        <v>2535</v>
      </c>
      <c r="B3791" t="s">
        <v>6617</v>
      </c>
      <c r="C3791" s="87" t="s">
        <v>2940</v>
      </c>
      <c r="D3791" s="88"/>
      <c r="E3791" s="89">
        <v>65348126</v>
      </c>
      <c r="F3791"/>
      <c r="G3791" s="17" t="s">
        <v>6</v>
      </c>
      <c r="H3791" s="132">
        <v>46085</v>
      </c>
      <c r="I3791" s="127" t="s">
        <v>6634</v>
      </c>
      <c r="J3791"/>
      <c r="K3791"/>
      <c r="L3791"/>
    </row>
    <row r="3792" spans="1:12">
      <c r="A3792" s="95" t="s">
        <v>2535</v>
      </c>
      <c r="B3792" t="s">
        <v>6617</v>
      </c>
      <c r="C3792" s="87" t="s">
        <v>2941</v>
      </c>
      <c r="D3792" s="88"/>
      <c r="E3792" s="89">
        <v>67450443</v>
      </c>
      <c r="F3792"/>
      <c r="G3792" s="17" t="s">
        <v>9</v>
      </c>
      <c r="H3792" s="132">
        <v>46085</v>
      </c>
      <c r="I3792" s="127" t="s">
        <v>6710</v>
      </c>
      <c r="J3792"/>
      <c r="K3792"/>
      <c r="L3792"/>
    </row>
    <row r="3793" spans="1:12">
      <c r="A3793" s="95" t="s">
        <v>2535</v>
      </c>
      <c r="B3793" t="s">
        <v>6617</v>
      </c>
      <c r="C3793" s="87" t="s">
        <v>2942</v>
      </c>
      <c r="D3793" s="88"/>
      <c r="E3793" s="89">
        <v>64015407</v>
      </c>
      <c r="F3793"/>
      <c r="G3793" s="17" t="s">
        <v>2</v>
      </c>
      <c r="H3793" s="132">
        <v>46085</v>
      </c>
      <c r="I3793" s="127" t="s">
        <v>6711</v>
      </c>
      <c r="J3793"/>
      <c r="K3793"/>
      <c r="L3793"/>
    </row>
    <row r="3794" spans="1:12">
      <c r="A3794" s="95" t="s">
        <v>2535</v>
      </c>
      <c r="B3794" t="s">
        <v>6617</v>
      </c>
      <c r="C3794" s="87" t="s">
        <v>2943</v>
      </c>
      <c r="D3794" s="88"/>
      <c r="E3794" s="89">
        <v>65158647</v>
      </c>
      <c r="F3794"/>
      <c r="G3794" s="17" t="s">
        <v>3</v>
      </c>
      <c r="H3794" s="132">
        <v>46085</v>
      </c>
      <c r="I3794" s="127" t="s">
        <v>6712</v>
      </c>
      <c r="J3794"/>
      <c r="K3794"/>
      <c r="L3794"/>
    </row>
    <row r="3795" spans="1:12">
      <c r="A3795" s="95" t="s">
        <v>2535</v>
      </c>
      <c r="B3795" t="s">
        <v>6617</v>
      </c>
      <c r="C3795" s="87" t="s">
        <v>2944</v>
      </c>
      <c r="D3795" s="88"/>
      <c r="E3795" s="89">
        <v>66943358</v>
      </c>
      <c r="F3795"/>
      <c r="G3795" s="17" t="s">
        <v>1</v>
      </c>
      <c r="H3795" s="132">
        <v>46085</v>
      </c>
      <c r="I3795" s="127" t="s">
        <v>6640</v>
      </c>
      <c r="J3795"/>
      <c r="K3795"/>
      <c r="L3795"/>
    </row>
    <row r="3796" spans="1:12">
      <c r="A3796" s="95" t="s">
        <v>2535</v>
      </c>
      <c r="B3796" t="s">
        <v>6617</v>
      </c>
      <c r="C3796" s="87" t="s">
        <v>2945</v>
      </c>
      <c r="D3796" s="88"/>
      <c r="E3796" s="89">
        <v>66345237</v>
      </c>
      <c r="F3796"/>
      <c r="G3796" s="17" t="s">
        <v>1</v>
      </c>
      <c r="H3796" s="132">
        <v>46085</v>
      </c>
      <c r="I3796" s="127" t="s">
        <v>6713</v>
      </c>
      <c r="J3796"/>
      <c r="K3796"/>
      <c r="L3796"/>
    </row>
    <row r="3797" spans="1:12">
      <c r="A3797" s="95" t="s">
        <v>2535</v>
      </c>
      <c r="B3797" t="s">
        <v>6617</v>
      </c>
      <c r="C3797" s="87" t="s">
        <v>2946</v>
      </c>
      <c r="D3797" s="88"/>
      <c r="E3797" s="89">
        <v>7754166</v>
      </c>
      <c r="F3797"/>
      <c r="G3797" s="17" t="s">
        <v>2</v>
      </c>
      <c r="H3797" s="132">
        <v>46085</v>
      </c>
      <c r="I3797" s="127" t="s">
        <v>6643</v>
      </c>
      <c r="J3797"/>
      <c r="K3797"/>
      <c r="L3797"/>
    </row>
    <row r="3798" spans="1:12">
      <c r="A3798" s="95" t="s">
        <v>2535</v>
      </c>
      <c r="B3798" t="s">
        <v>6617</v>
      </c>
      <c r="C3798" s="87" t="s">
        <v>2947</v>
      </c>
      <c r="D3798" s="88"/>
      <c r="E3798" s="89">
        <v>69234955</v>
      </c>
      <c r="F3798"/>
      <c r="G3798" s="17" t="s">
        <v>6</v>
      </c>
      <c r="H3798" s="132">
        <v>46085</v>
      </c>
      <c r="I3798" s="127" t="s">
        <v>6714</v>
      </c>
      <c r="J3798" s="22">
        <v>46087</v>
      </c>
      <c r="K3798" t="s">
        <v>6715</v>
      </c>
      <c r="L3798"/>
    </row>
    <row r="3799" spans="1:12">
      <c r="A3799" s="95" t="s">
        <v>2535</v>
      </c>
      <c r="B3799" t="s">
        <v>6617</v>
      </c>
      <c r="C3799" s="87" t="s">
        <v>2948</v>
      </c>
      <c r="D3799" s="88"/>
      <c r="E3799" s="89">
        <v>64446830</v>
      </c>
      <c r="F3799"/>
      <c r="G3799" s="17" t="s">
        <v>2</v>
      </c>
      <c r="H3799" s="132">
        <v>46085</v>
      </c>
      <c r="I3799" s="127" t="s">
        <v>6716</v>
      </c>
      <c r="J3799"/>
      <c r="K3799"/>
      <c r="L3799"/>
    </row>
    <row r="3800" spans="1:12">
      <c r="A3800" s="95" t="s">
        <v>2535</v>
      </c>
      <c r="B3800" t="s">
        <v>6617</v>
      </c>
      <c r="C3800" s="87" t="s">
        <v>2949</v>
      </c>
      <c r="D3800" s="88"/>
      <c r="E3800" s="89">
        <v>66681376</v>
      </c>
      <c r="F3800"/>
      <c r="G3800" s="17" t="s">
        <v>3</v>
      </c>
      <c r="H3800" s="132">
        <v>46085</v>
      </c>
      <c r="I3800" s="127" t="s">
        <v>6717</v>
      </c>
      <c r="J3800"/>
      <c r="K3800"/>
      <c r="L3800"/>
    </row>
    <row r="3801" spans="1:12">
      <c r="A3801" s="95" t="s">
        <v>2535</v>
      </c>
      <c r="B3801" t="s">
        <v>6617</v>
      </c>
      <c r="C3801" s="87" t="s">
        <v>2950</v>
      </c>
      <c r="D3801" s="88"/>
      <c r="E3801" s="89">
        <v>67044233</v>
      </c>
      <c r="F3801"/>
      <c r="G3801" s="17" t="s">
        <v>2</v>
      </c>
      <c r="H3801" s="132">
        <v>46085</v>
      </c>
      <c r="I3801" s="127" t="s">
        <v>6718</v>
      </c>
      <c r="J3801"/>
      <c r="K3801"/>
      <c r="L3801"/>
    </row>
    <row r="3802" spans="1:12">
      <c r="A3802" s="95" t="s">
        <v>2535</v>
      </c>
      <c r="B3802" t="s">
        <v>6617</v>
      </c>
      <c r="C3802" s="87" t="s">
        <v>2951</v>
      </c>
      <c r="D3802" s="88"/>
      <c r="E3802" s="89">
        <v>64540541</v>
      </c>
      <c r="F3802"/>
      <c r="G3802" s="17" t="s">
        <v>1</v>
      </c>
      <c r="H3802" s="132">
        <v>46085</v>
      </c>
      <c r="I3802" s="127" t="s">
        <v>6719</v>
      </c>
      <c r="J3802"/>
      <c r="K3802"/>
      <c r="L3802"/>
    </row>
    <row r="3803" spans="1:12">
      <c r="A3803" s="95" t="s">
        <v>2535</v>
      </c>
      <c r="B3803" t="s">
        <v>6617</v>
      </c>
      <c r="C3803" s="87" t="s">
        <v>2952</v>
      </c>
      <c r="D3803" s="88"/>
      <c r="E3803" s="89">
        <v>67041251</v>
      </c>
      <c r="F3803"/>
      <c r="G3803" s="17" t="s">
        <v>1</v>
      </c>
      <c r="H3803" s="132">
        <v>46085</v>
      </c>
      <c r="I3803" s="127" t="s">
        <v>6719</v>
      </c>
      <c r="J3803"/>
      <c r="K3803"/>
      <c r="L3803"/>
    </row>
    <row r="3804" spans="1:12">
      <c r="A3804" s="95" t="s">
        <v>2535</v>
      </c>
      <c r="B3804" t="s">
        <v>6617</v>
      </c>
      <c r="C3804" s="87" t="s">
        <v>2953</v>
      </c>
      <c r="D3804" s="88"/>
      <c r="E3804" s="89">
        <v>69617625</v>
      </c>
      <c r="F3804"/>
      <c r="G3804" s="17" t="s">
        <v>1</v>
      </c>
      <c r="H3804" s="132">
        <v>46085</v>
      </c>
      <c r="I3804" s="127" t="s">
        <v>6720</v>
      </c>
      <c r="J3804"/>
      <c r="K3804"/>
      <c r="L3804"/>
    </row>
    <row r="3805" spans="1:12">
      <c r="A3805" s="95" t="s">
        <v>2535</v>
      </c>
      <c r="B3805" t="s">
        <v>6617</v>
      </c>
      <c r="C3805" s="87" t="s">
        <v>2954</v>
      </c>
      <c r="D3805" s="88"/>
      <c r="E3805" s="89">
        <v>65913997</v>
      </c>
      <c r="F3805"/>
      <c r="G3805" s="17" t="s">
        <v>3</v>
      </c>
      <c r="H3805" s="132">
        <v>46085</v>
      </c>
      <c r="I3805" s="127" t="s">
        <v>6721</v>
      </c>
      <c r="J3805"/>
      <c r="K3805"/>
      <c r="L3805"/>
    </row>
    <row r="3806" spans="1:12">
      <c r="A3806" s="95" t="s">
        <v>2535</v>
      </c>
      <c r="B3806" t="s">
        <v>6617</v>
      </c>
      <c r="C3806" s="87" t="s">
        <v>2955</v>
      </c>
      <c r="D3806" s="88"/>
      <c r="E3806" s="129">
        <v>67040599</v>
      </c>
      <c r="F3806"/>
      <c r="G3806" s="17" t="s">
        <v>1</v>
      </c>
      <c r="H3806" s="132">
        <v>46085</v>
      </c>
      <c r="I3806" s="127" t="s">
        <v>6722</v>
      </c>
      <c r="J3806"/>
      <c r="K3806"/>
      <c r="L3806"/>
    </row>
    <row r="3807" spans="1:12">
      <c r="A3807" s="95" t="s">
        <v>2535</v>
      </c>
      <c r="B3807" t="s">
        <v>6617</v>
      </c>
      <c r="C3807" s="87" t="s">
        <v>2956</v>
      </c>
      <c r="D3807" s="88"/>
      <c r="E3807" s="89">
        <v>66485389</v>
      </c>
      <c r="F3807"/>
      <c r="G3807" s="17" t="s">
        <v>1</v>
      </c>
      <c r="H3807" s="132">
        <v>46085</v>
      </c>
      <c r="I3807" s="127" t="s">
        <v>6660</v>
      </c>
      <c r="J3807" s="22">
        <v>46087</v>
      </c>
      <c r="K3807" t="s">
        <v>6723</v>
      </c>
      <c r="L3807"/>
    </row>
    <row r="3808" spans="1:12">
      <c r="A3808" s="95" t="s">
        <v>2535</v>
      </c>
      <c r="B3808" t="s">
        <v>6617</v>
      </c>
      <c r="C3808" s="87" t="s">
        <v>2957</v>
      </c>
      <c r="D3808" s="88"/>
      <c r="E3808" s="89">
        <v>66404070</v>
      </c>
      <c r="F3808"/>
      <c r="G3808" s="17" t="s">
        <v>1</v>
      </c>
      <c r="H3808" s="132">
        <v>46085</v>
      </c>
      <c r="I3808" s="127" t="s">
        <v>6724</v>
      </c>
      <c r="J3808"/>
      <c r="K3808"/>
      <c r="L3808"/>
    </row>
    <row r="3809" spans="1:12">
      <c r="A3809" s="95" t="s">
        <v>2535</v>
      </c>
      <c r="B3809" t="s">
        <v>6617</v>
      </c>
      <c r="C3809" s="87" t="s">
        <v>2958</v>
      </c>
      <c r="D3809" s="88"/>
      <c r="E3809" s="89">
        <v>68442370</v>
      </c>
      <c r="F3809"/>
      <c r="G3809" s="17" t="s">
        <v>2</v>
      </c>
      <c r="H3809" s="132">
        <v>46085</v>
      </c>
      <c r="I3809" s="127" t="s">
        <v>6725</v>
      </c>
      <c r="J3809"/>
      <c r="K3809"/>
      <c r="L3809"/>
    </row>
    <row r="3810" spans="1:12">
      <c r="A3810" s="95" t="s">
        <v>2535</v>
      </c>
      <c r="B3810" t="s">
        <v>6617</v>
      </c>
      <c r="C3810" s="87" t="s">
        <v>2959</v>
      </c>
      <c r="D3810" s="88"/>
      <c r="E3810" s="89">
        <v>65347312</v>
      </c>
      <c r="F3810"/>
      <c r="G3810" s="17" t="s">
        <v>2</v>
      </c>
      <c r="H3810" s="132">
        <v>46085</v>
      </c>
      <c r="I3810" s="127" t="s">
        <v>6726</v>
      </c>
      <c r="J3810" s="22">
        <v>46087</v>
      </c>
      <c r="K3810" t="s">
        <v>6727</v>
      </c>
      <c r="L3810"/>
    </row>
    <row r="3811" spans="1:12">
      <c r="A3811" s="95" t="s">
        <v>2535</v>
      </c>
      <c r="B3811" t="s">
        <v>6617</v>
      </c>
      <c r="C3811" s="87" t="s">
        <v>2960</v>
      </c>
      <c r="D3811" s="88"/>
      <c r="E3811" s="89">
        <v>67993743</v>
      </c>
      <c r="F3811"/>
      <c r="G3811" s="17" t="s">
        <v>6</v>
      </c>
      <c r="H3811" s="132">
        <v>46085</v>
      </c>
      <c r="I3811" s="127" t="s">
        <v>6728</v>
      </c>
      <c r="J3811"/>
      <c r="K3811"/>
      <c r="L3811"/>
    </row>
    <row r="3812" spans="1:12">
      <c r="A3812" s="95" t="s">
        <v>2535</v>
      </c>
      <c r="B3812" t="s">
        <v>6617</v>
      </c>
      <c r="C3812" s="87" t="s">
        <v>2961</v>
      </c>
      <c r="D3812" s="88"/>
      <c r="E3812" s="89">
        <v>68169265</v>
      </c>
      <c r="F3812"/>
      <c r="G3812" s="17" t="s">
        <v>3</v>
      </c>
      <c r="H3812" s="132">
        <v>46085</v>
      </c>
      <c r="I3812" s="127" t="s">
        <v>6729</v>
      </c>
      <c r="J3812"/>
      <c r="K3812"/>
      <c r="L3812"/>
    </row>
    <row r="3813" spans="1:12">
      <c r="A3813" s="95" t="s">
        <v>2535</v>
      </c>
      <c r="B3813" t="s">
        <v>6730</v>
      </c>
      <c r="C3813" s="87" t="s">
        <v>2962</v>
      </c>
      <c r="D3813" s="88"/>
      <c r="E3813" s="89">
        <v>66332409</v>
      </c>
      <c r="F3813"/>
      <c r="G3813" s="17" t="s">
        <v>4</v>
      </c>
      <c r="H3813" s="132">
        <v>46084</v>
      </c>
      <c r="J3813"/>
      <c r="K3813"/>
      <c r="L3813" t="s">
        <v>6731</v>
      </c>
    </row>
    <row r="3814" spans="1:12">
      <c r="A3814" s="95" t="s">
        <v>2535</v>
      </c>
      <c r="B3814" t="s">
        <v>6730</v>
      </c>
      <c r="C3814" s="87" t="s">
        <v>2963</v>
      </c>
      <c r="D3814" s="88"/>
      <c r="E3814" s="89">
        <v>65088441</v>
      </c>
      <c r="F3814"/>
      <c r="G3814" s="17" t="s">
        <v>9</v>
      </c>
      <c r="H3814" s="132">
        <v>46084</v>
      </c>
      <c r="J3814"/>
      <c r="K3814"/>
      <c r="L3814"/>
    </row>
    <row r="3815" spans="1:12">
      <c r="A3815" s="95" t="s">
        <v>2535</v>
      </c>
      <c r="B3815" t="s">
        <v>6730</v>
      </c>
      <c r="C3815" s="87" t="s">
        <v>2964</v>
      </c>
      <c r="D3815" s="88"/>
      <c r="E3815" s="89">
        <v>66012289</v>
      </c>
      <c r="F3815"/>
      <c r="G3815" s="17" t="s">
        <v>3</v>
      </c>
      <c r="H3815" s="132">
        <v>46084</v>
      </c>
      <c r="J3815"/>
      <c r="K3815"/>
      <c r="L3815" t="s">
        <v>6732</v>
      </c>
    </row>
    <row r="3816" spans="1:12">
      <c r="A3816" s="95" t="s">
        <v>2535</v>
      </c>
      <c r="B3816" t="s">
        <v>6730</v>
      </c>
      <c r="C3816" s="87" t="s">
        <v>2965</v>
      </c>
      <c r="D3816" s="88" t="s">
        <v>6733</v>
      </c>
      <c r="E3816" s="89">
        <v>68156126</v>
      </c>
      <c r="F3816"/>
      <c r="G3816" s="17" t="s">
        <v>1</v>
      </c>
      <c r="H3816" s="132">
        <v>46086</v>
      </c>
      <c r="I3816" s="127" t="s">
        <v>6734</v>
      </c>
      <c r="J3816" s="22">
        <v>46086</v>
      </c>
      <c r="K3816"/>
      <c r="L3816"/>
    </row>
    <row r="3817" spans="1:12">
      <c r="A3817" s="95" t="s">
        <v>2535</v>
      </c>
      <c r="B3817" t="s">
        <v>6730</v>
      </c>
      <c r="C3817" s="87" t="s">
        <v>2966</v>
      </c>
      <c r="D3817" s="88"/>
      <c r="E3817" s="89">
        <v>67140707</v>
      </c>
      <c r="F3817"/>
      <c r="G3817" s="17" t="s">
        <v>2</v>
      </c>
      <c r="H3817" s="132">
        <v>46084</v>
      </c>
      <c r="I3817" s="127" t="s">
        <v>6734</v>
      </c>
      <c r="J3817"/>
      <c r="K3817"/>
      <c r="L3817"/>
    </row>
    <row r="3818" spans="1:12">
      <c r="A3818" s="95" t="s">
        <v>2535</v>
      </c>
      <c r="B3818" t="s">
        <v>6730</v>
      </c>
      <c r="C3818" s="87" t="s">
        <v>2967</v>
      </c>
      <c r="D3818" s="88"/>
      <c r="E3818" s="89">
        <v>62525294</v>
      </c>
      <c r="F3818"/>
      <c r="G3818" s="17" t="s">
        <v>4</v>
      </c>
      <c r="H3818" s="132">
        <v>46084</v>
      </c>
      <c r="I3818" s="127" t="s">
        <v>6734</v>
      </c>
      <c r="J3818"/>
      <c r="K3818"/>
      <c r="L3818" t="s">
        <v>6731</v>
      </c>
    </row>
    <row r="3819" spans="1:12">
      <c r="A3819" s="95" t="s">
        <v>2535</v>
      </c>
      <c r="B3819" t="s">
        <v>6730</v>
      </c>
      <c r="C3819" s="87" t="s">
        <v>2968</v>
      </c>
      <c r="D3819" s="88"/>
      <c r="E3819" s="89">
        <v>64609825</v>
      </c>
      <c r="F3819"/>
      <c r="G3819" s="17" t="s">
        <v>6</v>
      </c>
      <c r="H3819" s="132">
        <v>46084</v>
      </c>
      <c r="I3819" s="127" t="s">
        <v>6734</v>
      </c>
      <c r="J3819" s="22">
        <v>46086</v>
      </c>
      <c r="K3819" t="s">
        <v>6735</v>
      </c>
      <c r="L3819"/>
    </row>
    <row r="3820" spans="1:12">
      <c r="A3820" s="95" t="s">
        <v>2535</v>
      </c>
      <c r="B3820" t="s">
        <v>6730</v>
      </c>
      <c r="C3820" s="87" t="s">
        <v>2969</v>
      </c>
      <c r="D3820" s="88"/>
      <c r="E3820" s="89">
        <v>68359567</v>
      </c>
      <c r="F3820"/>
      <c r="G3820" s="17" t="s">
        <v>4</v>
      </c>
      <c r="H3820" s="132">
        <v>46084</v>
      </c>
      <c r="I3820" s="127" t="s">
        <v>6734</v>
      </c>
      <c r="J3820"/>
      <c r="K3820"/>
      <c r="L3820" t="s">
        <v>6731</v>
      </c>
    </row>
    <row r="3821" spans="1:12">
      <c r="A3821" s="95" t="s">
        <v>2535</v>
      </c>
      <c r="B3821" t="s">
        <v>6730</v>
      </c>
      <c r="C3821" s="87" t="s">
        <v>2970</v>
      </c>
      <c r="D3821" s="88"/>
      <c r="E3821" s="89">
        <v>66734013</v>
      </c>
      <c r="F3821"/>
      <c r="G3821" s="17" t="s">
        <v>8</v>
      </c>
      <c r="H3821" s="132">
        <v>46084</v>
      </c>
      <c r="I3821" s="127" t="s">
        <v>6736</v>
      </c>
      <c r="J3821"/>
      <c r="K3821"/>
      <c r="L3821" t="s">
        <v>6737</v>
      </c>
    </row>
    <row r="3822" spans="1:12">
      <c r="A3822" s="95" t="s">
        <v>2535</v>
      </c>
      <c r="B3822" t="s">
        <v>6730</v>
      </c>
      <c r="C3822" s="87" t="s">
        <v>2971</v>
      </c>
      <c r="D3822" s="88"/>
      <c r="E3822" s="89">
        <v>7300278</v>
      </c>
      <c r="F3822"/>
      <c r="G3822" s="17" t="s">
        <v>1</v>
      </c>
      <c r="H3822" s="132">
        <v>46084</v>
      </c>
      <c r="I3822" s="127" t="s">
        <v>6736</v>
      </c>
      <c r="J3822"/>
      <c r="K3822"/>
      <c r="L3822"/>
    </row>
    <row r="3823" spans="1:12">
      <c r="A3823" s="95" t="s">
        <v>2535</v>
      </c>
      <c r="B3823" t="s">
        <v>6730</v>
      </c>
      <c r="C3823" s="87" t="s">
        <v>2972</v>
      </c>
      <c r="D3823" s="88"/>
      <c r="E3823" s="89">
        <v>7745521</v>
      </c>
      <c r="F3823"/>
      <c r="G3823" s="17" t="s">
        <v>9</v>
      </c>
      <c r="H3823" s="132">
        <v>46084</v>
      </c>
      <c r="I3823" s="127" t="s">
        <v>6736</v>
      </c>
      <c r="J3823"/>
      <c r="K3823"/>
      <c r="L3823"/>
    </row>
    <row r="3824" spans="1:12">
      <c r="A3824" s="95" t="s">
        <v>2535</v>
      </c>
      <c r="B3824" t="s">
        <v>6730</v>
      </c>
      <c r="C3824" s="87" t="s">
        <v>2973</v>
      </c>
      <c r="D3824" s="88"/>
      <c r="E3824" s="89">
        <v>67801730</v>
      </c>
      <c r="F3824"/>
      <c r="G3824" s="17" t="s">
        <v>2</v>
      </c>
      <c r="H3824" s="132">
        <v>46084</v>
      </c>
      <c r="I3824" s="127" t="s">
        <v>6734</v>
      </c>
      <c r="J3824" s="22">
        <v>46086</v>
      </c>
      <c r="K3824"/>
      <c r="L3824"/>
    </row>
    <row r="3825" spans="1:12">
      <c r="A3825" s="95" t="s">
        <v>2535</v>
      </c>
      <c r="B3825" t="s">
        <v>6730</v>
      </c>
      <c r="C3825" s="87" t="s">
        <v>2974</v>
      </c>
      <c r="D3825" s="88"/>
      <c r="E3825" s="89">
        <v>65411888</v>
      </c>
      <c r="F3825"/>
      <c r="G3825" s="17" t="s">
        <v>4</v>
      </c>
      <c r="H3825" s="132">
        <v>46084</v>
      </c>
      <c r="I3825" s="127" t="s">
        <v>6736</v>
      </c>
      <c r="J3825"/>
      <c r="K3825"/>
      <c r="L3825" t="s">
        <v>6731</v>
      </c>
    </row>
    <row r="3826" spans="1:12">
      <c r="A3826" s="95" t="s">
        <v>2535</v>
      </c>
      <c r="B3826" t="s">
        <v>6730</v>
      </c>
      <c r="C3826" s="87" t="s">
        <v>2975</v>
      </c>
      <c r="D3826" s="88"/>
      <c r="E3826" s="89">
        <v>68686758</v>
      </c>
      <c r="F3826"/>
      <c r="G3826" s="17" t="s">
        <v>1</v>
      </c>
      <c r="H3826" s="132">
        <v>46084</v>
      </c>
      <c r="I3826" s="127" t="s">
        <v>6738</v>
      </c>
      <c r="J3826" s="22">
        <v>46086</v>
      </c>
      <c r="K3826"/>
      <c r="L3826"/>
    </row>
    <row r="3827" spans="1:12">
      <c r="A3827" s="95" t="s">
        <v>2535</v>
      </c>
      <c r="B3827" t="s">
        <v>6730</v>
      </c>
      <c r="C3827" s="87" t="s">
        <v>2976</v>
      </c>
      <c r="D3827" s="88"/>
      <c r="E3827" s="89">
        <v>7705804</v>
      </c>
      <c r="F3827"/>
      <c r="G3827" s="17" t="s">
        <v>2</v>
      </c>
      <c r="H3827" s="132">
        <v>46084</v>
      </c>
      <c r="I3827" s="127" t="s">
        <v>6738</v>
      </c>
      <c r="J3827"/>
      <c r="K3827"/>
      <c r="L3827"/>
    </row>
    <row r="3828" spans="1:12">
      <c r="A3828" s="95" t="s">
        <v>2535</v>
      </c>
      <c r="B3828" t="s">
        <v>6730</v>
      </c>
      <c r="C3828" s="87" t="s">
        <v>2977</v>
      </c>
      <c r="D3828" s="89"/>
      <c r="E3828" s="89">
        <v>7770245</v>
      </c>
      <c r="F3828"/>
      <c r="G3828" s="17" t="s">
        <v>1</v>
      </c>
      <c r="H3828" s="132">
        <v>46084</v>
      </c>
      <c r="I3828" s="127" t="s">
        <v>6738</v>
      </c>
      <c r="J3828" s="22">
        <v>46087</v>
      </c>
      <c r="K3828" t="s">
        <v>6739</v>
      </c>
      <c r="L3828"/>
    </row>
    <row r="3829" spans="1:12">
      <c r="A3829" s="95" t="s">
        <v>2535</v>
      </c>
      <c r="B3829" t="s">
        <v>6730</v>
      </c>
      <c r="C3829" s="87" t="s">
        <v>2978</v>
      </c>
      <c r="D3829" s="88"/>
      <c r="E3829" s="89">
        <v>66499125</v>
      </c>
      <c r="F3829"/>
      <c r="G3829" s="17" t="s">
        <v>2</v>
      </c>
      <c r="H3829" s="132">
        <v>46084</v>
      </c>
      <c r="I3829" s="127" t="s">
        <v>6738</v>
      </c>
      <c r="J3829"/>
      <c r="K3829"/>
      <c r="L3829"/>
    </row>
    <row r="3830" spans="1:12">
      <c r="A3830" s="95" t="s">
        <v>2535</v>
      </c>
      <c r="B3830" t="s">
        <v>6730</v>
      </c>
      <c r="C3830" s="87" t="s">
        <v>2979</v>
      </c>
      <c r="D3830" s="88"/>
      <c r="E3830" s="89">
        <v>7755678</v>
      </c>
      <c r="F3830"/>
      <c r="G3830" s="17" t="s">
        <v>1</v>
      </c>
      <c r="H3830" s="132">
        <v>46084</v>
      </c>
      <c r="I3830" s="127" t="s">
        <v>6738</v>
      </c>
      <c r="J3830" s="22">
        <v>46086</v>
      </c>
      <c r="K3830"/>
      <c r="L3830"/>
    </row>
    <row r="3831" spans="1:12">
      <c r="A3831" s="95" t="s">
        <v>2535</v>
      </c>
      <c r="B3831" t="s">
        <v>6730</v>
      </c>
      <c r="C3831" s="87" t="s">
        <v>2980</v>
      </c>
      <c r="D3831" s="88"/>
      <c r="E3831" s="89">
        <v>65141594</v>
      </c>
      <c r="F3831"/>
      <c r="G3831" s="17" t="s">
        <v>1</v>
      </c>
      <c r="H3831" s="132">
        <v>46084</v>
      </c>
      <c r="I3831" s="127" t="s">
        <v>6740</v>
      </c>
      <c r="J3831"/>
      <c r="K3831"/>
      <c r="L3831"/>
    </row>
    <row r="3832" spans="1:12">
      <c r="A3832" s="95" t="s">
        <v>2535</v>
      </c>
      <c r="B3832" t="s">
        <v>6730</v>
      </c>
      <c r="C3832" s="87" t="s">
        <v>2981</v>
      </c>
      <c r="D3832" s="88"/>
      <c r="E3832" s="89">
        <v>7092331</v>
      </c>
      <c r="F3832"/>
      <c r="G3832" s="17" t="s">
        <v>6</v>
      </c>
      <c r="H3832" s="132">
        <v>46084</v>
      </c>
      <c r="I3832" s="127" t="s">
        <v>6741</v>
      </c>
      <c r="J3832" s="22">
        <v>46087</v>
      </c>
      <c r="K3832"/>
      <c r="L3832"/>
    </row>
    <row r="3833" spans="1:12">
      <c r="A3833" s="95" t="s">
        <v>2535</v>
      </c>
      <c r="B3833" t="s">
        <v>6730</v>
      </c>
      <c r="C3833" s="87" t="s">
        <v>2982</v>
      </c>
      <c r="D3833" s="88"/>
      <c r="E3833" s="89">
        <v>68931340</v>
      </c>
      <c r="F3833"/>
      <c r="G3833" s="17" t="s">
        <v>6</v>
      </c>
      <c r="H3833" s="132">
        <v>46084</v>
      </c>
      <c r="I3833" s="127" t="s">
        <v>6741</v>
      </c>
      <c r="J3833" s="22">
        <v>46087</v>
      </c>
      <c r="K3833"/>
      <c r="L3833"/>
    </row>
    <row r="3834" spans="1:12">
      <c r="A3834" s="95" t="s">
        <v>2535</v>
      </c>
      <c r="B3834" t="s">
        <v>6730</v>
      </c>
      <c r="C3834" s="87" t="s">
        <v>2983</v>
      </c>
      <c r="D3834" s="88"/>
      <c r="E3834" s="89">
        <v>7875773</v>
      </c>
      <c r="F3834"/>
      <c r="G3834" s="17" t="s">
        <v>6</v>
      </c>
      <c r="H3834" s="132">
        <v>46084</v>
      </c>
      <c r="I3834" s="127" t="s">
        <v>6741</v>
      </c>
      <c r="J3834" s="22">
        <v>46087</v>
      </c>
      <c r="K3834"/>
      <c r="L3834"/>
    </row>
    <row r="3835" spans="1:12">
      <c r="A3835" s="94" t="s">
        <v>2535</v>
      </c>
      <c r="B3835" t="s">
        <v>6730</v>
      </c>
      <c r="C3835" s="92"/>
      <c r="D3835" s="17" t="s">
        <v>6742</v>
      </c>
      <c r="E3835" s="93" t="s">
        <v>6743</v>
      </c>
      <c r="F3835"/>
      <c r="G3835" s="17" t="s">
        <v>6</v>
      </c>
      <c r="H3835" s="132">
        <v>46084</v>
      </c>
      <c r="I3835" s="127" t="s">
        <v>6744</v>
      </c>
      <c r="J3835" s="22">
        <v>46087</v>
      </c>
      <c r="K3835"/>
      <c r="L3835"/>
    </row>
    <row r="3836" spans="1:12">
      <c r="A3836" s="94" t="s">
        <v>2535</v>
      </c>
      <c r="B3836" t="s">
        <v>6730</v>
      </c>
      <c r="C3836" s="92" t="s">
        <v>6745</v>
      </c>
      <c r="D3836" s="17" t="s">
        <v>6746</v>
      </c>
      <c r="E3836" s="93" t="s">
        <v>6747</v>
      </c>
      <c r="F3836"/>
      <c r="G3836" s="17" t="s">
        <v>1</v>
      </c>
      <c r="H3836" s="132">
        <v>46084</v>
      </c>
      <c r="I3836" s="127" t="s">
        <v>6748</v>
      </c>
      <c r="J3836"/>
      <c r="K3836"/>
      <c r="L3836" t="s">
        <v>6749</v>
      </c>
    </row>
    <row r="3837" spans="1:12">
      <c r="A3837" s="94" t="s">
        <v>2535</v>
      </c>
      <c r="B3837" t="s">
        <v>6730</v>
      </c>
      <c r="C3837" s="92" t="s">
        <v>6750</v>
      </c>
      <c r="D3837" s="17" t="s">
        <v>6751</v>
      </c>
      <c r="E3837" s="93" t="s">
        <v>6752</v>
      </c>
      <c r="F3837"/>
      <c r="G3837" s="17" t="s">
        <v>1</v>
      </c>
      <c r="H3837" s="132">
        <v>46084</v>
      </c>
      <c r="I3837" s="127" t="s">
        <v>6753</v>
      </c>
      <c r="J3837"/>
      <c r="K3837"/>
      <c r="L3837" t="s">
        <v>6754</v>
      </c>
    </row>
    <row r="3838" spans="1:12">
      <c r="A3838" s="94" t="s">
        <v>2535</v>
      </c>
      <c r="B3838" t="s">
        <v>6730</v>
      </c>
      <c r="C3838" s="92"/>
      <c r="D3838" s="17" t="s">
        <v>6755</v>
      </c>
      <c r="E3838" s="93" t="s">
        <v>6756</v>
      </c>
      <c r="F3838"/>
      <c r="G3838" s="17" t="s">
        <v>6</v>
      </c>
      <c r="H3838" s="132">
        <v>46084</v>
      </c>
      <c r="I3838" s="127" t="s">
        <v>6753</v>
      </c>
      <c r="J3838" s="22">
        <v>46086</v>
      </c>
      <c r="K3838"/>
      <c r="L3838"/>
    </row>
    <row r="3839" spans="1:12">
      <c r="A3839" s="94" t="s">
        <v>2535</v>
      </c>
      <c r="B3839" t="s">
        <v>6730</v>
      </c>
      <c r="C3839" s="92"/>
      <c r="D3839" s="17" t="s">
        <v>6757</v>
      </c>
      <c r="E3839" s="93" t="s">
        <v>6758</v>
      </c>
      <c r="F3839"/>
      <c r="G3839" s="17" t="s">
        <v>1</v>
      </c>
      <c r="H3839" s="132">
        <v>46084</v>
      </c>
      <c r="I3839" s="127" t="s">
        <v>6759</v>
      </c>
      <c r="J3839"/>
      <c r="K3839"/>
      <c r="L3839"/>
    </row>
    <row r="3840" spans="1:12">
      <c r="A3840" s="94" t="s">
        <v>2535</v>
      </c>
      <c r="B3840" t="s">
        <v>6730</v>
      </c>
      <c r="C3840" s="92" t="s">
        <v>6760</v>
      </c>
      <c r="D3840" s="17" t="s">
        <v>6761</v>
      </c>
      <c r="E3840" s="93" t="s">
        <v>6762</v>
      </c>
      <c r="F3840"/>
      <c r="G3840" s="17" t="s">
        <v>1</v>
      </c>
      <c r="H3840" s="132">
        <v>46084</v>
      </c>
      <c r="I3840" s="127" t="s">
        <v>6763</v>
      </c>
      <c r="J3840"/>
      <c r="K3840"/>
      <c r="L3840"/>
    </row>
    <row r="3841" spans="1:12">
      <c r="A3841" s="94" t="s">
        <v>2535</v>
      </c>
      <c r="B3841" t="s">
        <v>6730</v>
      </c>
      <c r="C3841" s="92"/>
      <c r="D3841" s="17" t="s">
        <v>6764</v>
      </c>
      <c r="E3841" s="93" t="s">
        <v>6765</v>
      </c>
      <c r="F3841"/>
      <c r="G3841" s="17" t="s">
        <v>2</v>
      </c>
      <c r="H3841" s="132">
        <v>46084</v>
      </c>
      <c r="I3841" s="127" t="s">
        <v>6766</v>
      </c>
      <c r="J3841" s="127"/>
      <c r="K3841"/>
      <c r="L3841"/>
    </row>
    <row r="3842" spans="1:12">
      <c r="A3842" s="94" t="s">
        <v>2535</v>
      </c>
      <c r="B3842" t="s">
        <v>6730</v>
      </c>
      <c r="C3842" s="92"/>
      <c r="D3842" s="17" t="s">
        <v>6767</v>
      </c>
      <c r="E3842" s="93" t="s">
        <v>6768</v>
      </c>
      <c r="F3842"/>
      <c r="G3842" s="17" t="s">
        <v>1</v>
      </c>
      <c r="H3842" s="132">
        <v>46084</v>
      </c>
      <c r="I3842" s="127" t="s">
        <v>6766</v>
      </c>
      <c r="J3842"/>
      <c r="K3842"/>
      <c r="L3842"/>
    </row>
    <row r="3843" spans="1:12">
      <c r="A3843" s="94" t="s">
        <v>2535</v>
      </c>
      <c r="B3843" t="s">
        <v>6730</v>
      </c>
      <c r="C3843" s="92"/>
      <c r="D3843" s="17" t="s">
        <v>6769</v>
      </c>
      <c r="E3843" s="93" t="s">
        <v>6770</v>
      </c>
      <c r="F3843"/>
      <c r="G3843" s="17" t="s">
        <v>6</v>
      </c>
      <c r="H3843" s="132">
        <v>46084</v>
      </c>
      <c r="I3843" s="127" t="s">
        <v>6771</v>
      </c>
      <c r="J3843" s="22">
        <v>46086</v>
      </c>
      <c r="K3843"/>
      <c r="L3843"/>
    </row>
    <row r="3844" spans="1:12">
      <c r="A3844" s="94" t="s">
        <v>2535</v>
      </c>
      <c r="B3844" t="s">
        <v>6730</v>
      </c>
      <c r="C3844" s="92"/>
      <c r="D3844" s="17" t="s">
        <v>6772</v>
      </c>
      <c r="E3844" s="93" t="s">
        <v>6773</v>
      </c>
      <c r="F3844"/>
      <c r="G3844" s="17" t="s">
        <v>6</v>
      </c>
      <c r="H3844" s="132">
        <v>46084</v>
      </c>
      <c r="I3844" s="127" t="s">
        <v>6771</v>
      </c>
      <c r="J3844" s="22">
        <v>46086</v>
      </c>
      <c r="K3844"/>
      <c r="L3844"/>
    </row>
    <row r="3845" spans="1:12">
      <c r="A3845" s="94" t="s">
        <v>2535</v>
      </c>
      <c r="B3845" t="s">
        <v>6730</v>
      </c>
      <c r="C3845" s="92"/>
      <c r="D3845" s="17" t="s">
        <v>6774</v>
      </c>
      <c r="E3845" s="93" t="s">
        <v>6775</v>
      </c>
      <c r="F3845"/>
      <c r="G3845" s="17" t="s">
        <v>1</v>
      </c>
      <c r="H3845" s="132">
        <v>46084</v>
      </c>
      <c r="I3845" s="127" t="s">
        <v>6771</v>
      </c>
      <c r="J3845"/>
      <c r="K3845"/>
      <c r="L3845"/>
    </row>
    <row r="3846" spans="1:12">
      <c r="A3846" s="94" t="s">
        <v>2535</v>
      </c>
      <c r="B3846" t="s">
        <v>6730</v>
      </c>
      <c r="C3846" s="92"/>
      <c r="D3846" s="17" t="s">
        <v>6776</v>
      </c>
      <c r="E3846" s="93" t="s">
        <v>6777</v>
      </c>
      <c r="F3846"/>
      <c r="G3846" s="17" t="s">
        <v>9</v>
      </c>
      <c r="H3846" s="132">
        <v>46084</v>
      </c>
      <c r="I3846" s="127" t="s">
        <v>6778</v>
      </c>
      <c r="J3846"/>
      <c r="K3846"/>
      <c r="L3846"/>
    </row>
    <row r="3847" spans="1:12">
      <c r="A3847" s="94" t="s">
        <v>2535</v>
      </c>
      <c r="B3847" t="s">
        <v>6730</v>
      </c>
      <c r="C3847" s="92" t="s">
        <v>6779</v>
      </c>
      <c r="D3847" s="17" t="s">
        <v>6780</v>
      </c>
      <c r="E3847" s="93" t="s">
        <v>6781</v>
      </c>
      <c r="F3847"/>
      <c r="G3847" s="17" t="s">
        <v>1</v>
      </c>
      <c r="H3847" s="132">
        <v>46084</v>
      </c>
      <c r="I3847" s="127" t="s">
        <v>6782</v>
      </c>
      <c r="J3847"/>
      <c r="K3847"/>
      <c r="L3847"/>
    </row>
    <row r="3848" spans="1:12">
      <c r="A3848" s="94" t="s">
        <v>2535</v>
      </c>
      <c r="B3848" t="s">
        <v>6730</v>
      </c>
      <c r="C3848" s="92" t="s">
        <v>6750</v>
      </c>
      <c r="D3848" s="17" t="s">
        <v>6783</v>
      </c>
      <c r="E3848" s="93" t="s">
        <v>6784</v>
      </c>
      <c r="F3848"/>
      <c r="G3848" s="17" t="s">
        <v>1</v>
      </c>
      <c r="H3848" s="132">
        <v>46084</v>
      </c>
      <c r="I3848" s="127" t="s">
        <v>6785</v>
      </c>
      <c r="J3848"/>
      <c r="K3848"/>
      <c r="L3848" t="s">
        <v>6786</v>
      </c>
    </row>
    <row r="3849" spans="1:12">
      <c r="A3849" s="94" t="s">
        <v>2535</v>
      </c>
      <c r="B3849" t="s">
        <v>6730</v>
      </c>
      <c r="C3849" s="92" t="s">
        <v>6787</v>
      </c>
      <c r="D3849" s="17" t="s">
        <v>6788</v>
      </c>
      <c r="E3849" s="93" t="s">
        <v>6789</v>
      </c>
      <c r="F3849"/>
      <c r="G3849" s="17" t="s">
        <v>1</v>
      </c>
      <c r="H3849" s="132">
        <v>46084</v>
      </c>
      <c r="I3849" s="127" t="s">
        <v>6790</v>
      </c>
      <c r="J3849"/>
      <c r="K3849"/>
      <c r="L3849" t="s">
        <v>6791</v>
      </c>
    </row>
    <row r="3850" spans="1:12">
      <c r="A3850" s="94" t="s">
        <v>2535</v>
      </c>
      <c r="B3850" t="s">
        <v>6730</v>
      </c>
      <c r="C3850" s="92"/>
      <c r="D3850" s="17" t="s">
        <v>6792</v>
      </c>
      <c r="E3850" s="93" t="s">
        <v>6793</v>
      </c>
      <c r="F3850"/>
      <c r="G3850" s="17" t="s">
        <v>6</v>
      </c>
      <c r="H3850" s="132">
        <v>46085</v>
      </c>
      <c r="I3850" s="127" t="s">
        <v>6794</v>
      </c>
      <c r="J3850" s="22">
        <v>46086</v>
      </c>
      <c r="K3850"/>
      <c r="L3850"/>
    </row>
    <row r="3851" spans="1:12">
      <c r="A3851" s="94" t="s">
        <v>2535</v>
      </c>
      <c r="B3851" t="s">
        <v>6730</v>
      </c>
      <c r="C3851" s="92" t="s">
        <v>6795</v>
      </c>
      <c r="D3851" s="17" t="s">
        <v>6796</v>
      </c>
      <c r="E3851" s="93" t="s">
        <v>6797</v>
      </c>
      <c r="F3851"/>
      <c r="G3851" s="17" t="s">
        <v>1</v>
      </c>
      <c r="H3851" s="132">
        <v>46085</v>
      </c>
      <c r="I3851" s="127" t="s">
        <v>6798</v>
      </c>
      <c r="J3851"/>
      <c r="K3851"/>
      <c r="L3851" t="s">
        <v>6799</v>
      </c>
    </row>
    <row r="3852" spans="1:12">
      <c r="A3852" s="94" t="s">
        <v>2535</v>
      </c>
      <c r="B3852" t="s">
        <v>6730</v>
      </c>
      <c r="C3852" s="92"/>
      <c r="D3852" s="17" t="s">
        <v>6800</v>
      </c>
      <c r="E3852" s="93" t="s">
        <v>6801</v>
      </c>
      <c r="F3852"/>
      <c r="G3852" s="17" t="s">
        <v>6</v>
      </c>
      <c r="H3852" s="132">
        <v>46085</v>
      </c>
      <c r="I3852" s="127" t="s">
        <v>6802</v>
      </c>
      <c r="J3852" s="22">
        <v>46086</v>
      </c>
      <c r="K3852"/>
      <c r="L3852"/>
    </row>
    <row r="3853" spans="1:12">
      <c r="A3853" s="94" t="s">
        <v>2535</v>
      </c>
      <c r="B3853" t="s">
        <v>6730</v>
      </c>
      <c r="C3853" s="92"/>
      <c r="D3853" s="17" t="s">
        <v>6803</v>
      </c>
      <c r="E3853" s="93" t="s">
        <v>6804</v>
      </c>
      <c r="F3853" t="s">
        <v>11</v>
      </c>
      <c r="G3853" s="17" t="s">
        <v>2</v>
      </c>
      <c r="H3853" s="132">
        <v>46085</v>
      </c>
      <c r="I3853" s="127" t="s">
        <v>6802</v>
      </c>
      <c r="J3853"/>
      <c r="K3853"/>
      <c r="L3853"/>
    </row>
    <row r="3854" spans="1:12">
      <c r="A3854" s="94" t="s">
        <v>2535</v>
      </c>
      <c r="B3854" t="s">
        <v>6730</v>
      </c>
      <c r="C3854" s="92"/>
      <c r="D3854" s="17" t="s">
        <v>6805</v>
      </c>
      <c r="E3854" s="93" t="s">
        <v>6806</v>
      </c>
      <c r="F3854"/>
      <c r="G3854" s="17" t="s">
        <v>6</v>
      </c>
      <c r="H3854" s="132">
        <v>46085</v>
      </c>
      <c r="I3854" s="127" t="s">
        <v>6807</v>
      </c>
      <c r="J3854" s="22">
        <v>46086</v>
      </c>
      <c r="K3854"/>
      <c r="L3854"/>
    </row>
    <row r="3855" spans="1:12">
      <c r="A3855" s="94" t="s">
        <v>2535</v>
      </c>
      <c r="B3855" t="s">
        <v>6730</v>
      </c>
      <c r="C3855" s="92"/>
      <c r="D3855" s="17" t="s">
        <v>6808</v>
      </c>
      <c r="E3855" s="93" t="s">
        <v>6809</v>
      </c>
      <c r="F3855"/>
      <c r="G3855" s="17" t="s">
        <v>1</v>
      </c>
      <c r="H3855" s="132">
        <v>46085</v>
      </c>
      <c r="I3855" s="127" t="s">
        <v>6810</v>
      </c>
      <c r="J3855"/>
      <c r="K3855"/>
      <c r="L3855"/>
    </row>
    <row r="3856" spans="1:12">
      <c r="A3856" s="94" t="s">
        <v>2535</v>
      </c>
      <c r="B3856" t="s">
        <v>6730</v>
      </c>
      <c r="C3856" s="92"/>
      <c r="D3856" s="17" t="s">
        <v>6811</v>
      </c>
      <c r="E3856" s="93" t="s">
        <v>6812</v>
      </c>
      <c r="F3856"/>
      <c r="G3856" s="17" t="s">
        <v>6</v>
      </c>
      <c r="H3856" s="132">
        <v>46085</v>
      </c>
      <c r="I3856" s="127" t="s">
        <v>6810</v>
      </c>
      <c r="J3856" s="22">
        <v>46086</v>
      </c>
      <c r="K3856"/>
      <c r="L3856"/>
    </row>
    <row r="3857" spans="1:12">
      <c r="A3857" s="94" t="s">
        <v>2535</v>
      </c>
      <c r="B3857" t="s">
        <v>6730</v>
      </c>
      <c r="C3857" s="92"/>
      <c r="D3857" s="17" t="s">
        <v>6813</v>
      </c>
      <c r="E3857" s="93" t="s">
        <v>6814</v>
      </c>
      <c r="F3857"/>
      <c r="G3857" s="17" t="s">
        <v>4</v>
      </c>
      <c r="H3857" s="132">
        <v>46085</v>
      </c>
      <c r="I3857" s="127" t="s">
        <v>6810</v>
      </c>
      <c r="J3857"/>
      <c r="K3857"/>
      <c r="L3857" t="s">
        <v>6815</v>
      </c>
    </row>
    <row r="3858" spans="1:12">
      <c r="A3858" s="94" t="s">
        <v>2535</v>
      </c>
      <c r="B3858" t="s">
        <v>6730</v>
      </c>
      <c r="C3858" s="92"/>
      <c r="D3858" s="17" t="s">
        <v>6816</v>
      </c>
      <c r="E3858" s="93" t="s">
        <v>6817</v>
      </c>
      <c r="F3858"/>
      <c r="G3858" s="17" t="s">
        <v>6</v>
      </c>
      <c r="H3858" s="132">
        <v>46085</v>
      </c>
      <c r="I3858" s="127" t="s">
        <v>6818</v>
      </c>
      <c r="J3858" s="22">
        <v>46086</v>
      </c>
      <c r="K3858"/>
      <c r="L3858"/>
    </row>
    <row r="3859" spans="1:12">
      <c r="A3859" s="94" t="s">
        <v>2535</v>
      </c>
      <c r="B3859" t="s">
        <v>6730</v>
      </c>
      <c r="C3859" s="92"/>
      <c r="D3859" s="17" t="s">
        <v>6819</v>
      </c>
      <c r="E3859" s="93" t="s">
        <v>6820</v>
      </c>
      <c r="F3859"/>
      <c r="G3859" s="17" t="s">
        <v>1</v>
      </c>
      <c r="H3859" s="132">
        <v>46085</v>
      </c>
      <c r="I3859" s="127" t="s">
        <v>6821</v>
      </c>
      <c r="J3859"/>
      <c r="K3859"/>
      <c r="L3859" t="s">
        <v>6822</v>
      </c>
    </row>
    <row r="3860" spans="1:12">
      <c r="A3860" s="94" t="s">
        <v>2535</v>
      </c>
      <c r="B3860" t="s">
        <v>6730</v>
      </c>
      <c r="C3860" s="92" t="s">
        <v>6823</v>
      </c>
      <c r="D3860" s="17" t="s">
        <v>6824</v>
      </c>
      <c r="E3860" s="93" t="s">
        <v>6825</v>
      </c>
      <c r="F3860"/>
      <c r="G3860" s="17" t="s">
        <v>1</v>
      </c>
      <c r="H3860" s="132">
        <v>46085</v>
      </c>
      <c r="I3860" s="127" t="s">
        <v>6818</v>
      </c>
      <c r="J3860"/>
      <c r="K3860"/>
      <c r="L3860" t="s">
        <v>6826</v>
      </c>
    </row>
    <row r="3861" spans="1:12">
      <c r="A3861" s="94" t="s">
        <v>2535</v>
      </c>
      <c r="B3861" t="s">
        <v>6730</v>
      </c>
      <c r="C3861" s="92"/>
      <c r="D3861" s="17" t="s">
        <v>4771</v>
      </c>
      <c r="E3861" s="93" t="s">
        <v>4772</v>
      </c>
      <c r="F3861"/>
      <c r="G3861" s="17" t="s">
        <v>2</v>
      </c>
      <c r="H3861" s="132">
        <v>46085</v>
      </c>
      <c r="I3861" s="127" t="s">
        <v>6827</v>
      </c>
      <c r="J3861"/>
      <c r="K3861"/>
      <c r="L3861"/>
    </row>
    <row r="3862" spans="1:12">
      <c r="A3862" s="94" t="s">
        <v>2535</v>
      </c>
      <c r="B3862" t="s">
        <v>6730</v>
      </c>
      <c r="C3862" s="92"/>
      <c r="D3862" s="17" t="s">
        <v>6828</v>
      </c>
      <c r="E3862" s="93" t="s">
        <v>6829</v>
      </c>
      <c r="F3862"/>
      <c r="G3862" s="17" t="s">
        <v>6</v>
      </c>
      <c r="H3862" s="132">
        <v>46085</v>
      </c>
      <c r="I3862" s="127" t="s">
        <v>6830</v>
      </c>
      <c r="J3862" s="22">
        <v>46086</v>
      </c>
      <c r="K3862"/>
      <c r="L3862"/>
    </row>
    <row r="3863" spans="1:12">
      <c r="A3863" s="94" t="s">
        <v>2535</v>
      </c>
      <c r="B3863" t="s">
        <v>6730</v>
      </c>
      <c r="C3863" s="92" t="s">
        <v>6831</v>
      </c>
      <c r="D3863" s="17" t="s">
        <v>6832</v>
      </c>
      <c r="E3863" s="93" t="s">
        <v>6833</v>
      </c>
      <c r="F3863"/>
      <c r="G3863" s="17" t="s">
        <v>8</v>
      </c>
      <c r="H3863" s="132">
        <v>46085</v>
      </c>
      <c r="I3863" s="127" t="s">
        <v>6834</v>
      </c>
      <c r="J3863"/>
      <c r="K3863"/>
      <c r="L3863" t="s">
        <v>6835</v>
      </c>
    </row>
    <row r="3864" spans="1:12">
      <c r="A3864" s="94" t="s">
        <v>2535</v>
      </c>
      <c r="B3864" t="s">
        <v>6730</v>
      </c>
      <c r="C3864" s="92"/>
      <c r="D3864" s="17" t="s">
        <v>6836</v>
      </c>
      <c r="E3864" s="93" t="s">
        <v>6837</v>
      </c>
      <c r="F3864"/>
      <c r="G3864" s="17" t="s">
        <v>6</v>
      </c>
      <c r="H3864" s="132">
        <v>46085</v>
      </c>
      <c r="I3864" s="127" t="s">
        <v>6838</v>
      </c>
      <c r="J3864" s="22">
        <v>46086</v>
      </c>
      <c r="K3864"/>
      <c r="L3864"/>
    </row>
    <row r="3865" spans="1:12">
      <c r="A3865" s="94" t="s">
        <v>2535</v>
      </c>
      <c r="B3865" t="s">
        <v>6730</v>
      </c>
      <c r="C3865" s="92" t="s">
        <v>6839</v>
      </c>
      <c r="D3865" s="17" t="s">
        <v>6840</v>
      </c>
      <c r="E3865" s="93" t="s">
        <v>6841</v>
      </c>
      <c r="F3865"/>
      <c r="G3865" s="17" t="s">
        <v>4</v>
      </c>
      <c r="H3865" s="132">
        <v>46085</v>
      </c>
      <c r="I3865" s="127" t="s">
        <v>6842</v>
      </c>
      <c r="J3865" s="22">
        <v>46087</v>
      </c>
      <c r="K3865" t="s">
        <v>6843</v>
      </c>
      <c r="L3865" t="s">
        <v>6844</v>
      </c>
    </row>
    <row r="3866" spans="1:12">
      <c r="A3866" s="94" t="s">
        <v>2535</v>
      </c>
      <c r="B3866" t="s">
        <v>6730</v>
      </c>
      <c r="C3866" s="92" t="s">
        <v>6845</v>
      </c>
      <c r="D3866" s="17" t="s">
        <v>6846</v>
      </c>
      <c r="E3866" s="93" t="s">
        <v>6847</v>
      </c>
      <c r="F3866"/>
      <c r="G3866" s="17" t="s">
        <v>1</v>
      </c>
      <c r="H3866" s="132">
        <v>46085</v>
      </c>
      <c r="I3866" s="127" t="s">
        <v>6842</v>
      </c>
      <c r="J3866"/>
      <c r="K3866"/>
      <c r="L3866"/>
    </row>
    <row r="3867" spans="1:12">
      <c r="A3867" s="94" t="s">
        <v>2535</v>
      </c>
      <c r="B3867" t="s">
        <v>6730</v>
      </c>
      <c r="C3867" s="92"/>
      <c r="D3867" s="17" t="s">
        <v>6848</v>
      </c>
      <c r="E3867" s="93" t="s">
        <v>6849</v>
      </c>
      <c r="F3867"/>
      <c r="G3867" s="17" t="s">
        <v>6</v>
      </c>
      <c r="H3867" s="132">
        <v>46085</v>
      </c>
      <c r="I3867" s="127" t="s">
        <v>6850</v>
      </c>
      <c r="J3867" s="22">
        <v>46087</v>
      </c>
      <c r="K3867" t="s">
        <v>6851</v>
      </c>
      <c r="L3867"/>
    </row>
    <row r="3868" spans="1:12">
      <c r="A3868" s="94" t="s">
        <v>2535</v>
      </c>
      <c r="B3868" t="s">
        <v>6730</v>
      </c>
      <c r="C3868" s="92"/>
      <c r="D3868" s="17" t="s">
        <v>6852</v>
      </c>
      <c r="E3868" s="93" t="s">
        <v>6853</v>
      </c>
      <c r="F3868"/>
      <c r="G3868" s="17" t="s">
        <v>1</v>
      </c>
      <c r="H3868" s="132">
        <v>46085</v>
      </c>
      <c r="I3868" s="127" t="s">
        <v>6850</v>
      </c>
      <c r="J3868"/>
      <c r="K3868"/>
      <c r="L3868"/>
    </row>
    <row r="3869" spans="1:12">
      <c r="A3869" s="94" t="s">
        <v>2535</v>
      </c>
      <c r="B3869" t="s">
        <v>6730</v>
      </c>
      <c r="C3869" s="92"/>
      <c r="D3869" s="17" t="s">
        <v>6854</v>
      </c>
      <c r="E3869" s="93" t="s">
        <v>6855</v>
      </c>
      <c r="F3869"/>
      <c r="G3869" s="17" t="s">
        <v>4</v>
      </c>
      <c r="H3869" s="132">
        <v>46085</v>
      </c>
      <c r="I3869" s="127" t="s">
        <v>6856</v>
      </c>
      <c r="J3869"/>
      <c r="K3869"/>
      <c r="L3869" t="s">
        <v>6857</v>
      </c>
    </row>
    <row r="3870" spans="1:12">
      <c r="A3870" s="94" t="s">
        <v>2535</v>
      </c>
      <c r="B3870" t="s">
        <v>6730</v>
      </c>
      <c r="C3870" s="92"/>
      <c r="D3870" s="17" t="s">
        <v>6858</v>
      </c>
      <c r="E3870" s="93" t="s">
        <v>6762</v>
      </c>
      <c r="F3870"/>
      <c r="G3870" s="17" t="s">
        <v>6</v>
      </c>
      <c r="H3870" s="132">
        <v>46085</v>
      </c>
      <c r="I3870" s="127" t="s">
        <v>6859</v>
      </c>
      <c r="J3870" s="22">
        <v>46087</v>
      </c>
      <c r="K3870" t="s">
        <v>6860</v>
      </c>
      <c r="L3870"/>
    </row>
    <row r="3871" spans="1:12">
      <c r="A3871" s="94" t="s">
        <v>2535</v>
      </c>
      <c r="B3871" t="s">
        <v>6730</v>
      </c>
      <c r="C3871" s="92"/>
      <c r="D3871" s="17" t="s">
        <v>6861</v>
      </c>
      <c r="E3871" s="93" t="s">
        <v>6862</v>
      </c>
      <c r="F3871"/>
      <c r="G3871" s="17" t="s">
        <v>2</v>
      </c>
      <c r="H3871" s="132">
        <v>46085</v>
      </c>
      <c r="I3871" s="127" t="s">
        <v>6863</v>
      </c>
      <c r="J3871"/>
      <c r="K3871"/>
      <c r="L3871"/>
    </row>
    <row r="3872" spans="1:12">
      <c r="A3872" s="94" t="s">
        <v>2535</v>
      </c>
      <c r="B3872" t="s">
        <v>6730</v>
      </c>
      <c r="C3872" s="92"/>
      <c r="D3872" s="17" t="s">
        <v>6864</v>
      </c>
      <c r="E3872" s="93" t="s">
        <v>6865</v>
      </c>
      <c r="F3872"/>
      <c r="G3872" s="17" t="s">
        <v>2</v>
      </c>
      <c r="H3872" s="132">
        <v>46085</v>
      </c>
      <c r="I3872" s="127" t="s">
        <v>6863</v>
      </c>
      <c r="J3872"/>
      <c r="K3872"/>
      <c r="L3872"/>
    </row>
    <row r="3873" spans="1:12">
      <c r="A3873" s="94" t="s">
        <v>2535</v>
      </c>
      <c r="B3873" t="s">
        <v>6730</v>
      </c>
      <c r="C3873" s="92"/>
      <c r="D3873" s="17" t="s">
        <v>6866</v>
      </c>
      <c r="E3873" s="93" t="s">
        <v>6867</v>
      </c>
      <c r="F3873"/>
      <c r="G3873" s="17" t="s">
        <v>2</v>
      </c>
      <c r="H3873" s="132">
        <v>46085</v>
      </c>
      <c r="I3873" s="127" t="s">
        <v>6863</v>
      </c>
      <c r="J3873"/>
      <c r="K3873"/>
      <c r="L3873"/>
    </row>
    <row r="3874" spans="1:12">
      <c r="A3874" s="94" t="s">
        <v>2535</v>
      </c>
      <c r="B3874" t="s">
        <v>6730</v>
      </c>
      <c r="C3874" s="92"/>
      <c r="D3874" s="17" t="s">
        <v>6868</v>
      </c>
      <c r="E3874" s="93" t="s">
        <v>6869</v>
      </c>
      <c r="F3874"/>
      <c r="G3874" s="17" t="s">
        <v>1</v>
      </c>
      <c r="H3874" s="132">
        <v>46085</v>
      </c>
      <c r="I3874" s="127" t="s">
        <v>6870</v>
      </c>
      <c r="J3874" s="22">
        <v>46087</v>
      </c>
      <c r="K3874" t="s">
        <v>6871</v>
      </c>
      <c r="L3874"/>
    </row>
    <row r="3875" spans="1:12">
      <c r="A3875" s="94" t="s">
        <v>2535</v>
      </c>
      <c r="B3875" t="s">
        <v>6730</v>
      </c>
      <c r="C3875" s="92"/>
      <c r="D3875" s="17" t="s">
        <v>6872</v>
      </c>
      <c r="E3875" s="93" t="s">
        <v>6873</v>
      </c>
      <c r="F3875"/>
      <c r="G3875" s="17" t="s">
        <v>1</v>
      </c>
      <c r="H3875" s="132">
        <v>46085</v>
      </c>
      <c r="I3875" s="127" t="s">
        <v>6874</v>
      </c>
      <c r="J3875" s="22">
        <v>46087</v>
      </c>
      <c r="K3875" t="s">
        <v>6875</v>
      </c>
      <c r="L3875" t="s">
        <v>6876</v>
      </c>
    </row>
    <row r="3876" spans="1:12">
      <c r="A3876" s="94" t="s">
        <v>2535</v>
      </c>
      <c r="B3876" t="s">
        <v>6730</v>
      </c>
      <c r="C3876" s="92"/>
      <c r="D3876" s="17" t="s">
        <v>6877</v>
      </c>
      <c r="E3876" s="93" t="s">
        <v>6878</v>
      </c>
      <c r="F3876"/>
      <c r="G3876" s="17" t="s">
        <v>6</v>
      </c>
      <c r="H3876" s="132">
        <v>46086</v>
      </c>
      <c r="I3876" s="127" t="s">
        <v>6879</v>
      </c>
      <c r="J3876" s="22">
        <v>46087</v>
      </c>
      <c r="K3876" t="s">
        <v>6880</v>
      </c>
      <c r="L3876"/>
    </row>
    <row r="3877" spans="1:12">
      <c r="A3877" s="94" t="s">
        <v>2535</v>
      </c>
      <c r="B3877" t="s">
        <v>6730</v>
      </c>
      <c r="C3877" s="92"/>
      <c r="D3877" s="17" t="s">
        <v>6881</v>
      </c>
      <c r="E3877" s="93" t="s">
        <v>6882</v>
      </c>
      <c r="F3877"/>
      <c r="G3877" s="17" t="s">
        <v>6</v>
      </c>
      <c r="H3877" s="132">
        <v>46086</v>
      </c>
      <c r="I3877" s="127" t="s">
        <v>6879</v>
      </c>
      <c r="J3877" s="22">
        <v>46087</v>
      </c>
      <c r="K3877" t="s">
        <v>6883</v>
      </c>
      <c r="L3877"/>
    </row>
    <row r="3878" spans="1:12">
      <c r="A3878" s="94" t="s">
        <v>2535</v>
      </c>
      <c r="B3878" t="s">
        <v>6730</v>
      </c>
      <c r="C3878" s="92"/>
      <c r="D3878" s="17" t="s">
        <v>6884</v>
      </c>
      <c r="E3878" s="93" t="s">
        <v>6885</v>
      </c>
      <c r="F3878"/>
      <c r="G3878" s="17" t="s">
        <v>3</v>
      </c>
      <c r="H3878" s="132">
        <v>46086</v>
      </c>
      <c r="I3878" s="127" t="s">
        <v>6886</v>
      </c>
      <c r="J3878" s="22">
        <v>46087</v>
      </c>
      <c r="K3878" t="s">
        <v>6883</v>
      </c>
      <c r="L3878"/>
    </row>
    <row r="3879" spans="1:12">
      <c r="A3879" s="94" t="s">
        <v>2535</v>
      </c>
      <c r="B3879" t="s">
        <v>6730</v>
      </c>
      <c r="C3879" s="92"/>
      <c r="D3879" s="17" t="s">
        <v>6887</v>
      </c>
      <c r="E3879" s="93" t="s">
        <v>6888</v>
      </c>
      <c r="F3879"/>
      <c r="G3879" s="17" t="s">
        <v>4</v>
      </c>
      <c r="H3879" s="132">
        <v>46086</v>
      </c>
      <c r="I3879" s="127" t="s">
        <v>6886</v>
      </c>
      <c r="J3879"/>
      <c r="K3879"/>
      <c r="L3879" t="s">
        <v>6889</v>
      </c>
    </row>
    <row r="3880" spans="1:12">
      <c r="A3880" s="94" t="s">
        <v>2535</v>
      </c>
      <c r="B3880" t="s">
        <v>6730</v>
      </c>
      <c r="C3880" s="92"/>
      <c r="D3880" s="17" t="s">
        <v>6890</v>
      </c>
      <c r="E3880" s="93" t="s">
        <v>6891</v>
      </c>
      <c r="F3880"/>
      <c r="G3880" s="17" t="s">
        <v>4</v>
      </c>
      <c r="H3880" s="132">
        <v>46086</v>
      </c>
      <c r="I3880" s="127" t="s">
        <v>6892</v>
      </c>
      <c r="J3880"/>
      <c r="K3880"/>
      <c r="L3880" t="s">
        <v>6731</v>
      </c>
    </row>
    <row r="3881" spans="1:12">
      <c r="A3881" s="94" t="s">
        <v>2535</v>
      </c>
      <c r="B3881" t="s">
        <v>6730</v>
      </c>
      <c r="C3881" s="92"/>
      <c r="D3881" s="17" t="s">
        <v>6893</v>
      </c>
      <c r="E3881" s="93" t="s">
        <v>6894</v>
      </c>
      <c r="F3881"/>
      <c r="G3881" s="17" t="s">
        <v>4</v>
      </c>
      <c r="H3881" s="132">
        <v>46086</v>
      </c>
      <c r="I3881" s="127" t="s">
        <v>6895</v>
      </c>
      <c r="J3881" s="22">
        <v>46087</v>
      </c>
      <c r="K3881" t="s">
        <v>6896</v>
      </c>
      <c r="L3881" t="s">
        <v>6897</v>
      </c>
    </row>
    <row r="3882" spans="1:12">
      <c r="A3882" s="94" t="s">
        <v>2535</v>
      </c>
      <c r="B3882" t="s">
        <v>6730</v>
      </c>
      <c r="C3882" s="92"/>
      <c r="D3882" s="17" t="s">
        <v>6898</v>
      </c>
      <c r="E3882" s="93" t="s">
        <v>6899</v>
      </c>
      <c r="F3882"/>
      <c r="G3882" s="17" t="s">
        <v>6</v>
      </c>
      <c r="H3882" s="132">
        <v>46086</v>
      </c>
      <c r="I3882" s="127" t="s">
        <v>6895</v>
      </c>
      <c r="J3882" s="22">
        <v>46087</v>
      </c>
      <c r="K3882" t="s">
        <v>6900</v>
      </c>
      <c r="L3882"/>
    </row>
    <row r="3883" spans="1:12">
      <c r="A3883" s="94" t="s">
        <v>2535</v>
      </c>
      <c r="B3883" t="s">
        <v>6730</v>
      </c>
      <c r="C3883" s="92"/>
      <c r="D3883" s="17" t="s">
        <v>6901</v>
      </c>
      <c r="E3883" s="93" t="s">
        <v>6902</v>
      </c>
      <c r="F3883"/>
      <c r="G3883" s="17" t="s">
        <v>6</v>
      </c>
      <c r="H3883" s="132">
        <v>46086</v>
      </c>
      <c r="I3883" s="127" t="s">
        <v>6903</v>
      </c>
      <c r="J3883" s="22">
        <v>46087</v>
      </c>
      <c r="K3883" t="s">
        <v>6904</v>
      </c>
      <c r="L3883"/>
    </row>
    <row r="3884" spans="1:12">
      <c r="A3884" s="94" t="s">
        <v>2535</v>
      </c>
      <c r="B3884" t="s">
        <v>6730</v>
      </c>
      <c r="C3884" s="92"/>
      <c r="D3884" s="17" t="s">
        <v>6905</v>
      </c>
      <c r="E3884" s="93" t="s">
        <v>6906</v>
      </c>
      <c r="F3884"/>
      <c r="G3884" s="17" t="s">
        <v>1</v>
      </c>
      <c r="H3884" s="132">
        <v>46086</v>
      </c>
      <c r="I3884" s="127" t="s">
        <v>6907</v>
      </c>
      <c r="J3884" s="22">
        <v>46087</v>
      </c>
      <c r="K3884" t="s">
        <v>6904</v>
      </c>
      <c r="L3884"/>
    </row>
    <row r="3885" spans="1:12">
      <c r="A3885" s="94" t="s">
        <v>2535</v>
      </c>
      <c r="B3885" t="s">
        <v>6730</v>
      </c>
      <c r="C3885" s="92"/>
      <c r="D3885" s="17" t="s">
        <v>6908</v>
      </c>
      <c r="E3885" s="93" t="s">
        <v>6909</v>
      </c>
      <c r="F3885"/>
      <c r="G3885" s="17" t="s">
        <v>2</v>
      </c>
      <c r="H3885" s="132">
        <v>46086</v>
      </c>
      <c r="I3885" s="127" t="s">
        <v>6910</v>
      </c>
      <c r="J3885"/>
      <c r="K3885"/>
      <c r="L3885"/>
    </row>
    <row r="3886" spans="1:12">
      <c r="A3886" s="94" t="s">
        <v>2535</v>
      </c>
      <c r="B3886" t="s">
        <v>6730</v>
      </c>
      <c r="C3886" s="92"/>
      <c r="D3886" s="17" t="s">
        <v>6911</v>
      </c>
      <c r="E3886" s="93" t="s">
        <v>6912</v>
      </c>
      <c r="F3886"/>
      <c r="G3886" s="17" t="s">
        <v>6</v>
      </c>
      <c r="H3886" s="132">
        <v>46086</v>
      </c>
      <c r="I3886" s="127" t="s">
        <v>6913</v>
      </c>
      <c r="J3886" s="22">
        <v>46087</v>
      </c>
      <c r="K3886" t="s">
        <v>6904</v>
      </c>
      <c r="L3886"/>
    </row>
    <row r="3887" spans="1:12">
      <c r="A3887" s="94" t="s">
        <v>2535</v>
      </c>
      <c r="B3887" t="s">
        <v>6730</v>
      </c>
      <c r="C3887" s="92"/>
      <c r="D3887" s="17" t="s">
        <v>6914</v>
      </c>
      <c r="E3887" s="93" t="s">
        <v>6915</v>
      </c>
      <c r="F3887"/>
      <c r="G3887" s="17" t="s">
        <v>2</v>
      </c>
      <c r="H3887" s="132">
        <v>46086</v>
      </c>
      <c r="I3887" s="127" t="s">
        <v>6903</v>
      </c>
      <c r="J3887"/>
      <c r="K3887"/>
      <c r="L3887"/>
    </row>
    <row r="3888" spans="1:12">
      <c r="A3888" s="94" t="s">
        <v>2535</v>
      </c>
      <c r="B3888" t="s">
        <v>6730</v>
      </c>
      <c r="C3888" s="92"/>
      <c r="D3888" s="17" t="s">
        <v>6916</v>
      </c>
      <c r="E3888" s="93" t="s">
        <v>6917</v>
      </c>
      <c r="F3888"/>
      <c r="G3888" s="17" t="s">
        <v>2</v>
      </c>
      <c r="H3888" s="132">
        <v>46086</v>
      </c>
      <c r="I3888" s="127" t="s">
        <v>6918</v>
      </c>
      <c r="J3888"/>
      <c r="K3888"/>
      <c r="L3888"/>
    </row>
    <row r="3889" spans="1:12">
      <c r="A3889" s="94" t="s">
        <v>2535</v>
      </c>
      <c r="B3889" t="s">
        <v>6730</v>
      </c>
      <c r="C3889" s="92"/>
      <c r="D3889" s="17" t="s">
        <v>6919</v>
      </c>
      <c r="E3889" s="93" t="s">
        <v>6920</v>
      </c>
      <c r="F3889"/>
      <c r="G3889" s="17" t="s">
        <v>1</v>
      </c>
      <c r="H3889" s="132">
        <v>46086</v>
      </c>
      <c r="I3889" s="127" t="s">
        <v>6921</v>
      </c>
      <c r="J3889"/>
      <c r="K3889"/>
      <c r="L3889"/>
    </row>
    <row r="3890" spans="1:12">
      <c r="A3890" s="94" t="s">
        <v>2535</v>
      </c>
      <c r="B3890" t="s">
        <v>6730</v>
      </c>
      <c r="C3890" s="92"/>
      <c r="D3890" s="17" t="s">
        <v>6922</v>
      </c>
      <c r="E3890" s="93" t="s">
        <v>6923</v>
      </c>
      <c r="F3890"/>
      <c r="G3890" s="17" t="s">
        <v>1</v>
      </c>
      <c r="H3890" s="132">
        <v>46086</v>
      </c>
      <c r="I3890" s="127" t="s">
        <v>6924</v>
      </c>
      <c r="J3890" s="22">
        <v>46087</v>
      </c>
      <c r="K3890" t="s">
        <v>6904</v>
      </c>
      <c r="L3890"/>
    </row>
    <row r="3891" spans="1:12">
      <c r="A3891" s="94" t="s">
        <v>2535</v>
      </c>
      <c r="B3891" t="s">
        <v>6730</v>
      </c>
      <c r="C3891" s="92"/>
      <c r="D3891" s="17" t="s">
        <v>6925</v>
      </c>
      <c r="E3891" s="93" t="s">
        <v>6926</v>
      </c>
      <c r="F3891"/>
      <c r="G3891" s="17" t="s">
        <v>1</v>
      </c>
      <c r="H3891" s="132">
        <v>46086</v>
      </c>
      <c r="I3891" s="127" t="s">
        <v>6924</v>
      </c>
      <c r="J3891" s="22">
        <v>46087</v>
      </c>
      <c r="K3891" t="s">
        <v>6927</v>
      </c>
      <c r="L3891"/>
    </row>
    <row r="3892" spans="1:12">
      <c r="A3892" s="94" t="s">
        <v>2535</v>
      </c>
      <c r="B3892" t="s">
        <v>6730</v>
      </c>
      <c r="C3892" s="92"/>
      <c r="D3892" s="17" t="s">
        <v>6928</v>
      </c>
      <c r="E3892" s="93" t="s">
        <v>6929</v>
      </c>
      <c r="F3892"/>
      <c r="G3892" s="17" t="s">
        <v>6</v>
      </c>
      <c r="H3892" s="132">
        <v>46086</v>
      </c>
      <c r="I3892" s="127" t="s">
        <v>6930</v>
      </c>
      <c r="J3892" s="22">
        <v>46087</v>
      </c>
      <c r="K3892" t="s">
        <v>6931</v>
      </c>
      <c r="L3892"/>
    </row>
    <row r="3893" spans="1:12">
      <c r="A3893" s="94" t="s">
        <v>2535</v>
      </c>
      <c r="B3893" t="s">
        <v>6730</v>
      </c>
      <c r="C3893" s="92"/>
      <c r="D3893" s="17" t="s">
        <v>6932</v>
      </c>
      <c r="E3893" s="93" t="s">
        <v>6933</v>
      </c>
      <c r="F3893"/>
      <c r="G3893" s="17" t="s">
        <v>4</v>
      </c>
      <c r="H3893" s="132">
        <v>46086</v>
      </c>
      <c r="I3893" s="127" t="s">
        <v>6930</v>
      </c>
      <c r="J3893"/>
      <c r="K3893"/>
      <c r="L3893" t="s">
        <v>3660</v>
      </c>
    </row>
    <row r="3894" spans="1:12">
      <c r="A3894" s="94" t="s">
        <v>2535</v>
      </c>
      <c r="B3894" t="s">
        <v>6730</v>
      </c>
      <c r="C3894" s="92" t="s">
        <v>6934</v>
      </c>
      <c r="D3894" s="17" t="s">
        <v>6935</v>
      </c>
      <c r="E3894" s="93">
        <v>67046311</v>
      </c>
      <c r="F3894"/>
      <c r="G3894" s="17" t="s">
        <v>1</v>
      </c>
      <c r="H3894" s="132">
        <v>46086</v>
      </c>
      <c r="I3894" s="127" t="s">
        <v>6818</v>
      </c>
      <c r="J3894"/>
      <c r="K3894"/>
      <c r="L3894"/>
    </row>
    <row r="3895" spans="1:12">
      <c r="A3895" s="94" t="s">
        <v>2535</v>
      </c>
      <c r="B3895" t="s">
        <v>6730</v>
      </c>
      <c r="C3895" s="92"/>
      <c r="D3895" s="17" t="s">
        <v>6936</v>
      </c>
      <c r="E3895" s="93">
        <v>62451198</v>
      </c>
      <c r="F3895"/>
      <c r="G3895" s="17" t="s">
        <v>2</v>
      </c>
      <c r="H3895" s="132">
        <v>46086</v>
      </c>
      <c r="I3895" s="127" t="s">
        <v>6838</v>
      </c>
      <c r="J3895"/>
      <c r="K3895"/>
      <c r="L3895"/>
    </row>
    <row r="3896" spans="1:12">
      <c r="A3896" s="94" t="s">
        <v>2535</v>
      </c>
      <c r="B3896" t="s">
        <v>6730</v>
      </c>
      <c r="C3896" s="92"/>
      <c r="D3896" s="17" t="s">
        <v>6937</v>
      </c>
      <c r="E3896" s="93">
        <v>66219956</v>
      </c>
      <c r="F3896"/>
      <c r="G3896" s="17" t="s">
        <v>2</v>
      </c>
      <c r="H3896" s="132">
        <v>46086</v>
      </c>
      <c r="I3896" s="127" t="s">
        <v>6938</v>
      </c>
      <c r="J3896"/>
      <c r="K3896"/>
      <c r="L3896"/>
    </row>
    <row r="3897" spans="1:12">
      <c r="A3897" s="94" t="s">
        <v>2535</v>
      </c>
      <c r="B3897" t="s">
        <v>6730</v>
      </c>
      <c r="C3897" s="92"/>
      <c r="D3897" s="17" t="s">
        <v>6939</v>
      </c>
      <c r="E3897" s="93" t="s">
        <v>6940</v>
      </c>
      <c r="F3897"/>
      <c r="G3897" s="17" t="s">
        <v>2</v>
      </c>
      <c r="H3897" s="132">
        <v>46086</v>
      </c>
      <c r="I3897" s="127" t="s">
        <v>6938</v>
      </c>
      <c r="J3897"/>
      <c r="K3897"/>
      <c r="L3897"/>
    </row>
    <row r="3898" spans="1:12">
      <c r="A3898" s="94" t="s">
        <v>2535</v>
      </c>
      <c r="B3898" t="s">
        <v>6730</v>
      </c>
      <c r="C3898" s="92"/>
      <c r="D3898" s="17" t="s">
        <v>4546</v>
      </c>
      <c r="E3898" s="93" t="s">
        <v>4547</v>
      </c>
      <c r="F3898"/>
      <c r="G3898" s="17" t="s">
        <v>2</v>
      </c>
      <c r="H3898" s="132">
        <v>46086</v>
      </c>
      <c r="I3898" s="127" t="s">
        <v>6938</v>
      </c>
      <c r="J3898"/>
      <c r="K3898"/>
      <c r="L3898"/>
    </row>
    <row r="3899" spans="1:12">
      <c r="A3899" s="94" t="s">
        <v>2535</v>
      </c>
      <c r="B3899" t="s">
        <v>6730</v>
      </c>
      <c r="C3899" s="92"/>
      <c r="D3899" s="17" t="s">
        <v>6941</v>
      </c>
      <c r="E3899" s="93" t="s">
        <v>6942</v>
      </c>
      <c r="F3899"/>
      <c r="G3899" s="17" t="s">
        <v>3</v>
      </c>
      <c r="H3899" s="132">
        <v>46087</v>
      </c>
      <c r="I3899" s="127" t="s">
        <v>6943</v>
      </c>
      <c r="J3899"/>
      <c r="K3899"/>
      <c r="L3899"/>
    </row>
    <row r="3900" spans="1:12">
      <c r="A3900" s="94" t="s">
        <v>2535</v>
      </c>
      <c r="B3900" t="s">
        <v>6730</v>
      </c>
      <c r="C3900" s="92" t="s">
        <v>6944</v>
      </c>
      <c r="D3900" s="17" t="s">
        <v>6945</v>
      </c>
      <c r="E3900" s="93" t="s">
        <v>6946</v>
      </c>
      <c r="F3900"/>
      <c r="G3900" s="17" t="s">
        <v>1</v>
      </c>
      <c r="H3900" s="132">
        <v>46086</v>
      </c>
      <c r="I3900" s="127" t="s">
        <v>6842</v>
      </c>
      <c r="J3900"/>
      <c r="K3900"/>
      <c r="L3900"/>
    </row>
    <row r="3901" spans="1:12">
      <c r="A3901" s="94" t="s">
        <v>2535</v>
      </c>
      <c r="B3901" t="s">
        <v>6730</v>
      </c>
      <c r="C3901" s="92"/>
      <c r="D3901" s="17" t="s">
        <v>6947</v>
      </c>
      <c r="E3901" s="93" t="s">
        <v>6948</v>
      </c>
      <c r="F3901"/>
      <c r="G3901" s="17" t="s">
        <v>1</v>
      </c>
      <c r="H3901" s="132">
        <v>46086</v>
      </c>
      <c r="I3901" s="127" t="s">
        <v>6949</v>
      </c>
      <c r="J3901"/>
      <c r="K3901"/>
      <c r="L3901"/>
    </row>
    <row r="3902" spans="1:12">
      <c r="A3902" s="94" t="s">
        <v>2535</v>
      </c>
      <c r="B3902" t="s">
        <v>6730</v>
      </c>
      <c r="C3902" s="92" t="s">
        <v>6950</v>
      </c>
      <c r="D3902" s="17" t="s">
        <v>6951</v>
      </c>
      <c r="E3902" s="93" t="s">
        <v>6952</v>
      </c>
      <c r="F3902"/>
      <c r="G3902" s="17" t="s">
        <v>1</v>
      </c>
      <c r="H3902" s="132">
        <v>46086</v>
      </c>
      <c r="I3902" s="127" t="s">
        <v>6953</v>
      </c>
      <c r="J3902"/>
      <c r="K3902"/>
      <c r="L3902" t="s">
        <v>6954</v>
      </c>
    </row>
    <row r="3903" spans="1:12">
      <c r="A3903" s="94" t="s">
        <v>2535</v>
      </c>
      <c r="B3903" t="s">
        <v>6730</v>
      </c>
      <c r="C3903" s="92"/>
      <c r="D3903" s="17" t="s">
        <v>6955</v>
      </c>
      <c r="E3903" s="93" t="s">
        <v>6956</v>
      </c>
      <c r="F3903"/>
      <c r="G3903" s="17" t="s">
        <v>6</v>
      </c>
      <c r="H3903" s="132">
        <v>46086</v>
      </c>
      <c r="I3903" s="127" t="s">
        <v>6957</v>
      </c>
      <c r="J3903" s="22">
        <v>46087</v>
      </c>
      <c r="K3903" t="s">
        <v>6958</v>
      </c>
      <c r="L3903"/>
    </row>
    <row r="3904" spans="1:12">
      <c r="A3904" s="94" t="s">
        <v>2535</v>
      </c>
      <c r="B3904" t="s">
        <v>6730</v>
      </c>
      <c r="C3904" s="92"/>
      <c r="D3904" s="17" t="s">
        <v>6959</v>
      </c>
      <c r="E3904" s="93" t="s">
        <v>6960</v>
      </c>
      <c r="F3904"/>
      <c r="G3904" s="17" t="s">
        <v>2</v>
      </c>
      <c r="H3904" s="132">
        <v>46086</v>
      </c>
      <c r="I3904" s="127" t="s">
        <v>6943</v>
      </c>
      <c r="J3904"/>
      <c r="K3904"/>
      <c r="L3904"/>
    </row>
    <row r="3905" spans="1:12">
      <c r="A3905" s="94" t="s">
        <v>2535</v>
      </c>
      <c r="B3905" t="s">
        <v>6730</v>
      </c>
      <c r="C3905" s="92" t="s">
        <v>6961</v>
      </c>
      <c r="D3905" s="17" t="s">
        <v>6962</v>
      </c>
      <c r="E3905" s="93" t="s">
        <v>6963</v>
      </c>
      <c r="F3905"/>
      <c r="G3905" s="17" t="s">
        <v>1</v>
      </c>
      <c r="H3905" s="132">
        <v>46086</v>
      </c>
      <c r="I3905" s="127" t="s">
        <v>6964</v>
      </c>
      <c r="J3905"/>
      <c r="K3905"/>
      <c r="L3905"/>
    </row>
    <row r="3906" spans="1:12">
      <c r="A3906" s="94" t="s">
        <v>2535</v>
      </c>
      <c r="B3906" t="s">
        <v>6730</v>
      </c>
      <c r="C3906" s="92" t="s">
        <v>6965</v>
      </c>
      <c r="D3906" s="17" t="s">
        <v>6966</v>
      </c>
      <c r="E3906" s="93" t="s">
        <v>6967</v>
      </c>
      <c r="F3906"/>
      <c r="G3906" s="17" t="s">
        <v>1</v>
      </c>
      <c r="H3906" s="132">
        <v>46086</v>
      </c>
      <c r="I3906" s="127" t="s">
        <v>6968</v>
      </c>
      <c r="J3906"/>
      <c r="K3906"/>
      <c r="L3906"/>
    </row>
    <row r="3907" spans="1:12">
      <c r="A3907" s="94" t="s">
        <v>2535</v>
      </c>
      <c r="B3907" t="s">
        <v>6730</v>
      </c>
      <c r="C3907" s="92"/>
      <c r="D3907" s="17" t="s">
        <v>6969</v>
      </c>
      <c r="E3907" s="93" t="s">
        <v>6970</v>
      </c>
      <c r="F3907"/>
      <c r="G3907" s="17" t="s">
        <v>1</v>
      </c>
      <c r="H3907" s="132">
        <v>46086</v>
      </c>
      <c r="I3907" s="127" t="s">
        <v>6971</v>
      </c>
      <c r="J3907"/>
      <c r="K3907"/>
      <c r="L3907"/>
    </row>
    <row r="3908" spans="1:12">
      <c r="A3908" s="94" t="s">
        <v>2535</v>
      </c>
      <c r="B3908" t="s">
        <v>6730</v>
      </c>
      <c r="C3908" s="92"/>
      <c r="D3908" s="17" t="s">
        <v>6972</v>
      </c>
      <c r="E3908" s="93" t="s">
        <v>6973</v>
      </c>
      <c r="F3908"/>
      <c r="G3908" s="17" t="s">
        <v>6</v>
      </c>
      <c r="H3908" s="132">
        <v>46086</v>
      </c>
      <c r="I3908" s="127" t="s">
        <v>6974</v>
      </c>
      <c r="J3908" s="22">
        <v>46087</v>
      </c>
      <c r="K3908" t="s">
        <v>6975</v>
      </c>
      <c r="L3908"/>
    </row>
    <row r="3909" spans="1:12">
      <c r="A3909" s="94" t="s">
        <v>2535</v>
      </c>
      <c r="B3909" t="s">
        <v>6730</v>
      </c>
      <c r="C3909" s="92"/>
      <c r="D3909" s="17" t="s">
        <v>3576</v>
      </c>
      <c r="E3909" s="93" t="s">
        <v>3577</v>
      </c>
      <c r="F3909"/>
      <c r="G3909" s="17" t="s">
        <v>6</v>
      </c>
      <c r="H3909" s="132">
        <v>46086</v>
      </c>
      <c r="I3909" s="127" t="s">
        <v>6976</v>
      </c>
      <c r="J3909" s="22">
        <v>46087</v>
      </c>
      <c r="K3909" t="s">
        <v>6977</v>
      </c>
      <c r="L3909"/>
    </row>
    <row r="3910" spans="1:12">
      <c r="A3910" s="94" t="s">
        <v>2535</v>
      </c>
      <c r="B3910" t="s">
        <v>6730</v>
      </c>
      <c r="C3910" s="92"/>
      <c r="D3910" s="17" t="s">
        <v>6978</v>
      </c>
      <c r="E3910" s="93" t="s">
        <v>6979</v>
      </c>
      <c r="F3910"/>
      <c r="G3910" s="17" t="s">
        <v>2</v>
      </c>
      <c r="H3910" s="132">
        <v>46086</v>
      </c>
      <c r="I3910" s="127" t="s">
        <v>6976</v>
      </c>
      <c r="J3910"/>
      <c r="K3910"/>
      <c r="L3910"/>
    </row>
    <row r="3911" spans="1:12">
      <c r="A3911" s="94" t="s">
        <v>2535</v>
      </c>
      <c r="B3911" t="s">
        <v>6730</v>
      </c>
      <c r="C3911" s="92"/>
      <c r="D3911" s="17" t="s">
        <v>6980</v>
      </c>
      <c r="E3911" s="93" t="s">
        <v>6981</v>
      </c>
      <c r="F3911"/>
      <c r="G3911" s="17" t="s">
        <v>2</v>
      </c>
      <c r="H3911" s="132">
        <v>46086</v>
      </c>
      <c r="I3911" s="127" t="s">
        <v>6982</v>
      </c>
      <c r="J3911"/>
      <c r="K3911"/>
      <c r="L3911"/>
    </row>
    <row r="3912" spans="1:12">
      <c r="A3912" s="94" t="s">
        <v>2535</v>
      </c>
      <c r="B3912" t="s">
        <v>6730</v>
      </c>
      <c r="C3912" s="92"/>
      <c r="D3912" s="17" t="s">
        <v>6983</v>
      </c>
      <c r="E3912" s="93" t="s">
        <v>6984</v>
      </c>
      <c r="F3912"/>
      <c r="G3912" s="17" t="s">
        <v>1</v>
      </c>
      <c r="H3912" s="132">
        <v>46086</v>
      </c>
      <c r="I3912" s="127" t="s">
        <v>6982</v>
      </c>
      <c r="J3912" s="22">
        <v>46087</v>
      </c>
      <c r="K3912" t="s">
        <v>6977</v>
      </c>
      <c r="L3912"/>
    </row>
    <row r="3913" spans="1:12">
      <c r="A3913" s="94" t="s">
        <v>2535</v>
      </c>
      <c r="B3913" t="s">
        <v>6730</v>
      </c>
      <c r="C3913" s="92"/>
      <c r="D3913" s="17" t="s">
        <v>6985</v>
      </c>
      <c r="E3913" s="93" t="s">
        <v>6986</v>
      </c>
      <c r="F3913"/>
      <c r="G3913" s="17" t="s">
        <v>6</v>
      </c>
      <c r="H3913" s="132">
        <v>46086</v>
      </c>
      <c r="I3913" s="127" t="s">
        <v>6987</v>
      </c>
      <c r="J3913" s="22">
        <v>46087</v>
      </c>
      <c r="K3913" t="s">
        <v>6988</v>
      </c>
      <c r="L3913"/>
    </row>
    <row r="3914" spans="1:12">
      <c r="A3914" s="94" t="s">
        <v>2535</v>
      </c>
      <c r="B3914" t="s">
        <v>6730</v>
      </c>
      <c r="C3914" s="92"/>
      <c r="D3914" s="17" t="s">
        <v>6989</v>
      </c>
      <c r="E3914" s="93" t="s">
        <v>6990</v>
      </c>
      <c r="F3914"/>
      <c r="G3914" s="17" t="s">
        <v>3</v>
      </c>
      <c r="H3914" s="132">
        <v>46085</v>
      </c>
      <c r="I3914" s="127" t="s">
        <v>6991</v>
      </c>
      <c r="J3914"/>
      <c r="K3914"/>
      <c r="L3914"/>
    </row>
    <row r="3915" spans="1:12">
      <c r="A3915" s="94" t="s">
        <v>2535</v>
      </c>
      <c r="B3915" t="s">
        <v>6730</v>
      </c>
      <c r="C3915" s="92"/>
      <c r="D3915" s="17" t="s">
        <v>6992</v>
      </c>
      <c r="E3915" s="93" t="s">
        <v>6993</v>
      </c>
      <c r="F3915"/>
      <c r="G3915" s="17" t="s">
        <v>6</v>
      </c>
      <c r="H3915" s="132">
        <v>46085</v>
      </c>
      <c r="I3915" s="127" t="s">
        <v>6994</v>
      </c>
      <c r="J3915" s="22">
        <v>46087</v>
      </c>
      <c r="K3915" t="s">
        <v>6988</v>
      </c>
      <c r="L3915"/>
    </row>
    <row r="3916" spans="1:12">
      <c r="A3916" s="94" t="s">
        <v>2535</v>
      </c>
      <c r="B3916" t="s">
        <v>6730</v>
      </c>
      <c r="C3916" s="92"/>
      <c r="D3916" s="17" t="s">
        <v>6995</v>
      </c>
      <c r="E3916" s="93" t="s">
        <v>5578</v>
      </c>
      <c r="F3916"/>
      <c r="G3916" s="17" t="s">
        <v>6</v>
      </c>
      <c r="H3916" s="132">
        <v>46085</v>
      </c>
      <c r="I3916" s="127" t="s">
        <v>6996</v>
      </c>
      <c r="J3916" s="22">
        <v>46087</v>
      </c>
      <c r="K3916" t="s">
        <v>6988</v>
      </c>
      <c r="L3916"/>
    </row>
    <row r="3917" spans="1:12">
      <c r="A3917" s="94" t="s">
        <v>2535</v>
      </c>
      <c r="B3917" t="s">
        <v>6730</v>
      </c>
      <c r="C3917" s="92"/>
      <c r="D3917" s="17" t="s">
        <v>6997</v>
      </c>
      <c r="E3917" s="93" t="s">
        <v>6998</v>
      </c>
      <c r="F3917"/>
      <c r="G3917" s="17" t="s">
        <v>2</v>
      </c>
      <c r="H3917" s="132">
        <v>46085</v>
      </c>
      <c r="I3917" s="127" t="s">
        <v>6999</v>
      </c>
      <c r="J3917"/>
      <c r="K3917"/>
      <c r="L3917"/>
    </row>
    <row r="3918" spans="1:12">
      <c r="A3918" s="94" t="s">
        <v>2535</v>
      </c>
      <c r="B3918" t="s">
        <v>6730</v>
      </c>
      <c r="C3918" s="92"/>
      <c r="D3918" s="17" t="s">
        <v>7000</v>
      </c>
      <c r="E3918" s="93" t="s">
        <v>4660</v>
      </c>
      <c r="F3918"/>
      <c r="G3918" s="17" t="s">
        <v>1</v>
      </c>
      <c r="H3918" s="132">
        <v>46085</v>
      </c>
      <c r="I3918" s="127" t="s">
        <v>7001</v>
      </c>
      <c r="J3918"/>
      <c r="K3918"/>
      <c r="L3918"/>
    </row>
    <row r="3919" spans="1:12">
      <c r="A3919" s="94" t="s">
        <v>2535</v>
      </c>
      <c r="B3919" t="s">
        <v>6730</v>
      </c>
      <c r="C3919" s="92"/>
      <c r="D3919" s="17" t="s">
        <v>7002</v>
      </c>
      <c r="E3919" s="93" t="s">
        <v>7003</v>
      </c>
      <c r="F3919"/>
      <c r="G3919" s="17" t="s">
        <v>2</v>
      </c>
      <c r="H3919" s="132">
        <v>46085</v>
      </c>
      <c r="I3919" s="127" t="s">
        <v>7001</v>
      </c>
      <c r="J3919"/>
      <c r="K3919"/>
      <c r="L3919"/>
    </row>
    <row r="3920" spans="1:12">
      <c r="A3920" s="94" t="s">
        <v>2535</v>
      </c>
      <c r="B3920" t="s">
        <v>6730</v>
      </c>
      <c r="C3920" s="92"/>
      <c r="D3920" s="17" t="s">
        <v>7004</v>
      </c>
      <c r="E3920" s="93" t="s">
        <v>7005</v>
      </c>
      <c r="F3920"/>
      <c r="G3920" s="17" t="s">
        <v>2</v>
      </c>
      <c r="H3920" s="132">
        <v>46085</v>
      </c>
      <c r="I3920" s="127" t="s">
        <v>7001</v>
      </c>
      <c r="J3920" s="22">
        <v>46087</v>
      </c>
      <c r="K3920" t="s">
        <v>6988</v>
      </c>
      <c r="L3920"/>
    </row>
  </sheetData>
  <mergeCells count="6">
    <mergeCell ref="I2:J2"/>
    <mergeCell ref="E1:F1"/>
    <mergeCell ref="B1:C1"/>
    <mergeCell ref="A3:L3"/>
    <mergeCell ref="L1:L2"/>
    <mergeCell ref="K1:K2"/>
  </mergeCells>
  <conditionalFormatting sqref="L1:L2">
    <cfRule type="cellIs" dxfId="156" priority="51" operator="between">
      <formula>0</formula>
      <formula>49</formula>
    </cfRule>
    <cfRule type="cellIs" dxfId="155" priority="52" operator="equal">
      <formula>0</formula>
    </cfRule>
  </conditionalFormatting>
  <conditionalFormatting sqref="K1:K2">
    <cfRule type="cellIs" dxfId="154" priority="48" operator="between">
      <formula>0.71</formula>
      <formula>1</formula>
    </cfRule>
    <cfRule type="cellIs" dxfId="153" priority="49" operator="between">
      <formula>0.5</formula>
      <formula>0.79</formula>
    </cfRule>
    <cfRule type="cellIs" dxfId="152" priority="50" operator="between">
      <formula>0</formula>
      <formula>0.4999</formula>
    </cfRule>
  </conditionalFormatting>
  <conditionalFormatting sqref="C2851:L2965 G3521:L3521 D3708:H3708 J3708:L3708 D3709:L3716 D3717:G3721 I3717:L3721 D3722:E3722 G3722:L3722 A2079:G2080 A2067:H2068 J2067:L2068 A2069:L2078 I2079:L2080 H167:L167 H169:L169 G167:G169 A3523:B3920 D3523:L3707 A2081:L2131 G2133:L2133 A1299:L2066 C1296:L1298 A1296:A1298 A1033:G1034 I1033:L1034 A1035:L1295 G2735:L2735 A2735:E2735 A2736:L2736 A2740:L2850 A2739:C2739 A2738:L2738 A2737:C2737 E2737:L2737 G2739:L2739 E2739 A3315:B3520 A358:L1032 A2851:B3313 D3303:G3313 I3303:L3313 D3315:G3325 I3315:L3325 H3303:H3341 G3522:H3522 D3723:L3920 A2134:L2734 D3326:L3520 C5:L166 A5:A166 D2966:L3302 A170:A357 C170:L357">
    <cfRule type="expression" dxfId="151" priority="68">
      <formula>$G5="ASISTIRA"</formula>
    </cfRule>
  </conditionalFormatting>
  <conditionalFormatting sqref="C2851:L2965 G3521:L3521 D3708:H3708 J3708:L3708 D3709:L3716 D3717:G3721 I3717:L3721 D3722:E3722 G3722:L3722 A2079:G2080 A2067:H2068 J2067:L2068 A2069:L2078 I2079:L2080 H167:L167 H169:L169 G167:G169 A3523:B3920 D3523:L3707 A2081:L2131 G2133:L2133 A1299:L2066 C1296:L1298 A1296:A1298 A1033:G1034 I1033:L1034 A1035:L1295 G2735:L2735 A2735:E2735 A2736:L2736 A2740:L2850 A2739:C2739 A2738:L2738 A2737:C2737 E2737:L2737 G2739:L2739 E2739 A3315:B3520 A358:L1032 A2851:B3313 D3303:G3313 I3303:L3313 D3315:G3325 I3315:L3325 H3303:H3341 G3522:H3522 D3723:L3920 A2134:L2734 D3326:L3520 C5:L166 A5:A166 D2966:L3302 A170:A357 C170:L357">
    <cfRule type="expression" dxfId="150" priority="59">
      <formula>$G5="FUERA DE SERVICIO"</formula>
    </cfRule>
  </conditionalFormatting>
  <conditionalFormatting sqref="C2851:L2965 G3521:L3521 D3708:H3708 J3708:L3708 D3709:L3716 D3717:G3721 I3717:L3721 D3722:E3722 G3722:L3722 A2079:G2080 A2067:H2068 J2067:L2068 A2069:L2078 I2079:L2080 H167:L167 H169:L169 G167:G169 A3523:B3920 D3523:L3707 A2081:L2131 G2133:L2133 A1299:L2066 C1296:L1298 A1296:A1298 A1033:G1034 I1033:L1034 A1035:L1295 G2735:L2735 A2735:E2735 A2736:L2736 A2740:L2850 A2739:C2739 A2738:L2738 A2737:C2737 E2737:L2737 G2739:L2739 E2739 A3315:B3520 A358:L1032 A2851:B3313 D3303:G3313 I3303:L3313 D3315:G3325 I3315:L3325 H3303:H3341 G3522:H3522 D3723:L3920 A2134:L2734 D3326:L3520 C5:L166 A5:A166 D2966:L3302 A170:A357 C170:L357">
    <cfRule type="expression" dxfId="149" priority="61">
      <formula>$G5="ENVIAR AL CORREO"</formula>
    </cfRule>
  </conditionalFormatting>
  <conditionalFormatting sqref="C2851:L2965 G3521:L3521 D3708:H3708 J3708:L3708 D3709:L3716 D3717:G3721 I3717:L3721 D3722:E3722 G3722:L3722 A2079:G2080 A2067:H2068 J2067:L2068 A2069:L2078 I2079:L2080 H167:L167 H169:L169 G167:G169 A3523:B3920 D3523:L3707 A2081:L2131 G2133:L2133 A1299:L2066 C1296:L1298 A1296:A1298 A1033:G1034 I1033:L1034 A1035:L1295 G2735:L2735 A2735:E2735 A2736:L2736 A2740:L2850 A2739:C2739 A2738:L2738 A2737:C2737 E2737:L2737 G2739:L2739 E2739 A3315:B3520 A358:L1032 A2851:B3313 D3303:G3313 I3303:L3313 D3315:G3325 I3315:L3325 H3303:H3341 G3522:H3522 D3723:L3920 A2134:L2734 D3326:L3520 C5:L166 A5:A166 D2966:L3302 A170:A357 C170:L357">
    <cfRule type="expression" dxfId="148" priority="62">
      <formula>$G5="VOLVER A LLAMAR"</formula>
    </cfRule>
  </conditionalFormatting>
  <conditionalFormatting sqref="C2851:L2965 G3521:L3521 D3708:H3708 J3708:L3708 D3709:L3716 D3717:G3721 I3717:L3721 D3722:E3722 G3722:L3722 A2079:G2080 A2067:H2068 J2067:L2068 A2069:L2078 I2079:L2080 H167:L167 H169:L169 G167:G169 A3523:B3920 D3523:L3707 A2081:L2131 G2133:L2133 A1299:L2066 C1296:L1298 A1296:A1298 A1033:G1034 I1033:L1034 A1035:L1295 G2735:L2735 A2735:E2735 A2736:L2736 A2740:L2850 A2739:C2739 A2738:L2738 A2737:C2737 E2737:L2737 G2739:L2739 E2739 A3315:B3520 A358:L1032 A2851:B3313 D3303:G3313 I3303:L3313 D3315:G3325 I3315:L3325 H3303:H3341 G3522:H3522 D3723:L3920 A2134:L2734 D3326:L3520 C5:L166 A5:A166 D2966:L3302 A170:A357 C170:L357">
    <cfRule type="expression" dxfId="147" priority="63">
      <formula>$G5="NO LLAMAR"</formula>
    </cfRule>
  </conditionalFormatting>
  <conditionalFormatting sqref="C2851:L2965 G3521:L3521 D3708:H3708 J3708:L3708 D3709:L3716 D3717:G3721 I3717:L3721 D3722:E3722 G3722:L3722 A2079:G2080 A2067:H2068 J2067:L2068 A2069:L2078 I2079:L2080 H167:L167 H169:L169 G167:G169 A3523:B3920 D3523:L3707 A2081:L2131 G2133:L2133 A1299:L2066 C1296:L1298 A1296:A1298 A1033:G1034 I1033:L1034 A1035:L1295 G2735:L2735 A2735:E2735 A2736:L2736 A2740:L2850 A2739:C2739 A2738:L2738 A2737:C2737 E2737:L2737 G2739:L2739 E2739 A3315:B3520 A358:L1032 A2851:B3313 D3303:G3313 I3303:L3313 D3315:G3325 I3315:L3325 H3303:H3341 G3522:H3522 D3723:L3920 A2134:L2734 D3326:L3520 C5:L166 A5:A166 D2966:L3302 A170:A357 C170:L357">
    <cfRule type="expression" dxfId="146" priority="64">
      <formula>$G5="NO CONTESTA"</formula>
    </cfRule>
  </conditionalFormatting>
  <conditionalFormatting sqref="C2851:L2965 G3521:L3521 D3708:H3708 J3708:L3708 D3709:L3716 D3717:G3721 I3717:L3721 D3722:E3722 G3722:L3722 A2079:G2080 A2067:H2068 J2067:L2068 A2069:L2078 I2079:L2080 H167:L167 H169:L169 G167:G169 A3523:B3920 D3523:L3707 A2081:L2131 G2133:L2133 A1299:L2066 C1296:L1298 A1296:A1298 A1033:G1034 I1033:L1034 A1035:L1295 G2735:L2735 A2735:E2735 A2736:L2736 A2740:L2850 A2739:C2739 A2738:L2738 A2737:C2737 E2737:L2737 G2739:L2739 E2739 A3315:B3520 A358:L1032 A2851:B3313 D3303:G3313 I3303:L3313 D3315:G3325 I3315:L3325 H3303:H3341 G3522:H3522 D3723:L3920 A2134:L2734 D3326:L3520 C5:L166 A5:A166 D2966:L3302 A170:A357 C170:L357">
    <cfRule type="expression" dxfId="145" priority="65">
      <formula>$G5="NO PUEDE CONFIRMAR"</formula>
    </cfRule>
  </conditionalFormatting>
  <conditionalFormatting sqref="C2851:L2965 G3521:L3521 D3708:H3708 J3708:L3708 D3709:L3716 D3717:G3721 I3717:L3721 D3722:E3722 G3722:L3722 A2079:G2080 A2067:H2068 J2067:L2068 A2069:L2078 I2079:L2080 H167:L167 H169:L169 G167:G169 A3523:B3920 D3523:L3707 A2081:L2131 G2133:L2133 A1299:L2066 C1296:L1298 A1296:A1298 A1033:G1034 I1033:L1034 A1035:L1295 G2735:L2735 A2735:E2735 A2736:L2736 A2740:L2850 A2739:C2739 A2738:L2738 A2737:C2737 E2737:L2737 G2739:L2739 E2739 A3315:B3520 A358:L1032 A2851:B3313 D3303:G3313 I3303:L3313 D3315:G3325 I3315:L3325 H3303:H3341 G3522:H3522 D3723:L3920 A2134:L2734 D3326:L3520 C5:L166 A5:A166 D2966:L3302 A170:A357 C170:L357">
    <cfRule type="expression" dxfId="144" priority="66">
      <formula>$G5="APAGADO"</formula>
    </cfRule>
  </conditionalFormatting>
  <conditionalFormatting sqref="C2851:L2965 G3521:L3521 D3708:H3708 J3708:L3708 D3709:L3716 D3717:G3721 I3717:L3721 D3722:E3722 G3722:L3722 A2079:G2080 A2067:H2068 J2067:L2068 A2069:L2078 I2079:L2080 H167:L167 H169:L169 G167:G169 A3523:B3920 D3523:L3707 A2081:L2131 G2133:L2133 A1299:L2066 C1296:L1298 A1296:A1298 A1033:G1034 I1033:L1034 A1035:L1295 G2735:L2735 A2735:E2735 A2736:L2736 A2740:L2850 A2739:C2739 A2738:L2738 A2737:C2737 E2737:L2737 G2739:L2739 E2739 A3315:B3520 A358:L1032 A2851:B3313 D3303:G3313 I3303:L3313 D3315:G3325 I3315:L3325 H3303:H3341 G3522:H3522 D3723:L3920 A2134:L2734 D3326:L3520 C5:L166 A5:A166 D2966:L3302 A170:A357 C170:L357">
    <cfRule type="expression" dxfId="143" priority="67">
      <formula>$G5="NO PODRA ASISTIR"</formula>
    </cfRule>
  </conditionalFormatting>
  <conditionalFormatting sqref="I3522:L3522 D3522:F3522 G3521 A3522:B3522 A168 H168:L168 C168:F168 H1034 I3314:L3314">
    <cfRule type="expression" dxfId="142" priority="71">
      <formula>$G167="ASISTIRA"</formula>
    </cfRule>
  </conditionalFormatting>
  <conditionalFormatting sqref="D3521:F3521 A3521:B3521">
    <cfRule type="expression" dxfId="141" priority="72">
      <formula>#REF!="ASISTIRA"</formula>
    </cfRule>
  </conditionalFormatting>
  <conditionalFormatting sqref="I3522:L3522 D3522:F3522 G3521 A3522:B3522 A168 H168:L168 C168:F168 H1034 I3314:L3314">
    <cfRule type="expression" dxfId="140" priority="79">
      <formula>$G167="FUERA DE SERVICIO"</formula>
    </cfRule>
  </conditionalFormatting>
  <conditionalFormatting sqref="D3521:F3521 A3521:B3521">
    <cfRule type="expression" dxfId="139" priority="80">
      <formula>#REF!="FUERA DE SERVICIO"</formula>
    </cfRule>
  </conditionalFormatting>
  <conditionalFormatting sqref="I3522:L3522 D3522:F3522 G3521 A3522:B3522 A168 H168:L168 C168:F168 H1034 I3314:L3314">
    <cfRule type="expression" dxfId="138" priority="87">
      <formula>$G167="ENVIAR AL CORREO"</formula>
    </cfRule>
  </conditionalFormatting>
  <conditionalFormatting sqref="D3521:F3521 A3521:B3521">
    <cfRule type="expression" dxfId="137" priority="88">
      <formula>#REF!="ENVIAR AL CORREO"</formula>
    </cfRule>
  </conditionalFormatting>
  <conditionalFormatting sqref="I3522:L3522 D3522:F3522 G3521 A3522:B3522 A168 H168:L168 C168:F168 H1034 I3314:L3314">
    <cfRule type="expression" dxfId="136" priority="95">
      <formula>$G167="VOLVER A LLAMAR"</formula>
    </cfRule>
  </conditionalFormatting>
  <conditionalFormatting sqref="D3521:F3521 A3521:B3521">
    <cfRule type="expression" dxfId="135" priority="96">
      <formula>#REF!="VOLVER A LLAMAR"</formula>
    </cfRule>
  </conditionalFormatting>
  <conditionalFormatting sqref="I3522:L3522 D3522:F3522 G3521 A3522:B3522 A168 H168:L168 C168:F168 H1034 I3314:L3314">
    <cfRule type="expression" dxfId="134" priority="103">
      <formula>$G167="NO LLAMAR"</formula>
    </cfRule>
  </conditionalFormatting>
  <conditionalFormatting sqref="D3521:F3521 A3521:B3521">
    <cfRule type="expression" dxfId="133" priority="104">
      <formula>#REF!="NO LLAMAR"</formula>
    </cfRule>
  </conditionalFormatting>
  <conditionalFormatting sqref="I3522:L3522 D3522:F3522 G3521 A3522:B3522 A168 H168:L168 C168:F168 H1034 I3314:L3314">
    <cfRule type="expression" dxfId="132" priority="111">
      <formula>$G167="NO CONTESTA"</formula>
    </cfRule>
  </conditionalFormatting>
  <conditionalFormatting sqref="D3521:F3521 A3521:B3521">
    <cfRule type="expression" dxfId="131" priority="112">
      <formula>#REF!="NO CONTESTA"</formula>
    </cfRule>
  </conditionalFormatting>
  <conditionalFormatting sqref="I3522:L3522 D3522:F3522 G3521 A3522:B3522 A168 H168:L168 C168:F168 H1034 I3314:L3314">
    <cfRule type="expression" dxfId="130" priority="119">
      <formula>$G167="NO PUEDE CONFIRMAR"</formula>
    </cfRule>
  </conditionalFormatting>
  <conditionalFormatting sqref="D3521:F3521 A3521:B3521">
    <cfRule type="expression" dxfId="129" priority="120">
      <formula>#REF!="NO PUEDE CONFIRMAR"</formula>
    </cfRule>
  </conditionalFormatting>
  <conditionalFormatting sqref="I3522:L3522 D3522:F3522 G3521 A3522:B3522 A168 H168:L168 C168:F168 H1034 I3314:L3314">
    <cfRule type="expression" dxfId="128" priority="127">
      <formula>$G167="APAGADO"</formula>
    </cfRule>
  </conditionalFormatting>
  <conditionalFormatting sqref="D3521:F3521 A3521:B3521">
    <cfRule type="expression" dxfId="127" priority="128">
      <formula>#REF!="APAGADO"</formula>
    </cfRule>
  </conditionalFormatting>
  <conditionalFormatting sqref="I3522:L3522 D3522:F3522 G3521 A3522:B3522 A168 H168:L168 C168:F168 H1034 I3314:L3314">
    <cfRule type="expression" dxfId="126" priority="135">
      <formula>$G167="NO PODRA ASISTIR"</formula>
    </cfRule>
  </conditionalFormatting>
  <conditionalFormatting sqref="D3521:F3521 A3521:B3521">
    <cfRule type="expression" dxfId="125" priority="136">
      <formula>#REF!="NO PODRA ASISTIR"</formula>
    </cfRule>
  </conditionalFormatting>
  <conditionalFormatting sqref="H3719:H3721">
    <cfRule type="expression" dxfId="124" priority="138">
      <formula>$G3717="ASISTIRA"</formula>
    </cfRule>
  </conditionalFormatting>
  <conditionalFormatting sqref="H3719:H3721">
    <cfRule type="expression" dxfId="123" priority="141">
      <formula>$G3717="FUERA DE SERVICIO"</formula>
    </cfRule>
  </conditionalFormatting>
  <conditionalFormatting sqref="H3719:H3721">
    <cfRule type="expression" dxfId="122" priority="144">
      <formula>$G3717="ENVIAR AL CORREO"</formula>
    </cfRule>
  </conditionalFormatting>
  <conditionalFormatting sqref="H3719:H3721">
    <cfRule type="expression" dxfId="121" priority="147">
      <formula>$G3717="VOLVER A LLAMAR"</formula>
    </cfRule>
  </conditionalFormatting>
  <conditionalFormatting sqref="H3719:H3721">
    <cfRule type="expression" dxfId="120" priority="150">
      <formula>$G3717="NO LLAMAR"</formula>
    </cfRule>
  </conditionalFormatting>
  <conditionalFormatting sqref="H3719:H3721">
    <cfRule type="expression" dxfId="119" priority="153">
      <formula>$G3717="NO CONTESTA"</formula>
    </cfRule>
  </conditionalFormatting>
  <conditionalFormatting sqref="H3719:H3721">
    <cfRule type="expression" dxfId="118" priority="156">
      <formula>$G3717="NO PUEDE CONFIRMAR"</formula>
    </cfRule>
  </conditionalFormatting>
  <conditionalFormatting sqref="H3719:H3721">
    <cfRule type="expression" dxfId="117" priority="159">
      <formula>$G3717="APAGADO"</formula>
    </cfRule>
  </conditionalFormatting>
  <conditionalFormatting sqref="H3719:H3721">
    <cfRule type="expression" dxfId="116" priority="162">
      <formula>$G3717="NO PODRA ASISTIR"</formula>
    </cfRule>
  </conditionalFormatting>
  <conditionalFormatting sqref="F3721 H2132:L2132 A2132:F2132 G2133 B1296:B1297">
    <cfRule type="expression" dxfId="115" priority="164">
      <formula>$G1297="ASISTIRA"</formula>
    </cfRule>
  </conditionalFormatting>
  <conditionalFormatting sqref="F3721 H2132:L2132 A2132:F2132 G2133 B1296:B1297">
    <cfRule type="expression" dxfId="114" priority="166">
      <formula>$G1297="FUERA DE SERVICIO"</formula>
    </cfRule>
  </conditionalFormatting>
  <conditionalFormatting sqref="F3721 H2132:L2132 A2132:F2132 G2133 B1296:B1297">
    <cfRule type="expression" dxfId="113" priority="168">
      <formula>$G1297="ENVIAR AL CORREO"</formula>
    </cfRule>
  </conditionalFormatting>
  <conditionalFormatting sqref="F3721 H2132:L2132 A2132:F2132 G2133 B1296:B1297">
    <cfRule type="expression" dxfId="112" priority="170">
      <formula>$G1297="VOLVER A LLAMAR"</formula>
    </cfRule>
  </conditionalFormatting>
  <conditionalFormatting sqref="F3721 H2132:L2132 A2132:F2132 G2133 B1296:B1297">
    <cfRule type="expression" dxfId="111" priority="172">
      <formula>$G1297="NO LLAMAR"</formula>
    </cfRule>
  </conditionalFormatting>
  <conditionalFormatting sqref="F3721 H2132:L2132 A2132:F2132 G2133 B1296:B1297">
    <cfRule type="expression" dxfId="110" priority="174">
      <formula>$G1297="NO CONTESTA"</formula>
    </cfRule>
  </conditionalFormatting>
  <conditionalFormatting sqref="F3721 H2132:L2132 A2132:F2132 G2133 B1296:B1297">
    <cfRule type="expression" dxfId="109" priority="176">
      <formula>$G1297="NO PUEDE CONFIRMAR"</formula>
    </cfRule>
  </conditionalFormatting>
  <conditionalFormatting sqref="F3721 H2132:L2132 A2132:F2132 G2133 B1296:B1297">
    <cfRule type="expression" dxfId="108" priority="178">
      <formula>$G1297="APAGADO"</formula>
    </cfRule>
  </conditionalFormatting>
  <conditionalFormatting sqref="F3721 H2132:L2132 A2132:F2132 G2133 B1296:B1297">
    <cfRule type="expression" dxfId="107" priority="180">
      <formula>$G1297="NO PODRA ASISTIR"</formula>
    </cfRule>
  </conditionalFormatting>
  <conditionalFormatting sqref="H2080">
    <cfRule type="expression" dxfId="106" priority="45">
      <formula>$G2080="ASISTIRA"</formula>
    </cfRule>
  </conditionalFormatting>
  <conditionalFormatting sqref="H2080">
    <cfRule type="expression" dxfId="105" priority="37">
      <formula>$G2080="FUERA DE SERVICIO"</formula>
    </cfRule>
  </conditionalFormatting>
  <conditionalFormatting sqref="H2080">
    <cfRule type="expression" dxfId="104" priority="38">
      <formula>$G2080="ENVIAR AL CORREO"</formula>
    </cfRule>
  </conditionalFormatting>
  <conditionalFormatting sqref="H2080">
    <cfRule type="expression" dxfId="103" priority="39">
      <formula>$G2080="VOLVER A LLAMAR"</formula>
    </cfRule>
  </conditionalFormatting>
  <conditionalFormatting sqref="H2080">
    <cfRule type="expression" dxfId="102" priority="40">
      <formula>$G2080="NO LLAMAR"</formula>
    </cfRule>
  </conditionalFormatting>
  <conditionalFormatting sqref="H2080">
    <cfRule type="expression" dxfId="101" priority="41">
      <formula>$G2080="NO CONTESTA"</formula>
    </cfRule>
  </conditionalFormatting>
  <conditionalFormatting sqref="H2080">
    <cfRule type="expression" dxfId="100" priority="42">
      <formula>$G2080="NO PUEDE CONFIRMAR"</formula>
    </cfRule>
  </conditionalFormatting>
  <conditionalFormatting sqref="H2080">
    <cfRule type="expression" dxfId="99" priority="43">
      <formula>$G2080="APAGADO"</formula>
    </cfRule>
  </conditionalFormatting>
  <conditionalFormatting sqref="H2080">
    <cfRule type="expression" dxfId="98" priority="44">
      <formula>$G2080="NO PODRA ASISTIR"</formula>
    </cfRule>
  </conditionalFormatting>
  <conditionalFormatting sqref="H2079">
    <cfRule type="expression" dxfId="97" priority="36">
      <formula>$G2079="ASISTIRA"</formula>
    </cfRule>
  </conditionalFormatting>
  <conditionalFormatting sqref="H2079">
    <cfRule type="expression" dxfId="96" priority="28">
      <formula>$G2079="FUERA DE SERVICIO"</formula>
    </cfRule>
  </conditionalFormatting>
  <conditionalFormatting sqref="H2079">
    <cfRule type="expression" dxfId="95" priority="29">
      <formula>$G2079="ENVIAR AL CORREO"</formula>
    </cfRule>
  </conditionalFormatting>
  <conditionalFormatting sqref="H2079">
    <cfRule type="expression" dxfId="94" priority="30">
      <formula>$G2079="VOLVER A LLAMAR"</formula>
    </cfRule>
  </conditionalFormatting>
  <conditionalFormatting sqref="H2079">
    <cfRule type="expression" dxfId="93" priority="31">
      <formula>$G2079="NO LLAMAR"</formula>
    </cfRule>
  </conditionalFormatting>
  <conditionalFormatting sqref="H2079">
    <cfRule type="expression" dxfId="92" priority="32">
      <formula>$G2079="NO CONTESTA"</formula>
    </cfRule>
  </conditionalFormatting>
  <conditionalFormatting sqref="H2079">
    <cfRule type="expression" dxfId="91" priority="33">
      <formula>$G2079="NO PUEDE CONFIRMAR"</formula>
    </cfRule>
  </conditionalFormatting>
  <conditionalFormatting sqref="H2079">
    <cfRule type="expression" dxfId="90" priority="34">
      <formula>$G2079="APAGADO"</formula>
    </cfRule>
  </conditionalFormatting>
  <conditionalFormatting sqref="H2079">
    <cfRule type="expression" dxfId="89" priority="35">
      <formula>$G2079="NO PODRA ASISTIR"</formula>
    </cfRule>
  </conditionalFormatting>
  <conditionalFormatting sqref="I2068">
    <cfRule type="expression" dxfId="88" priority="27">
      <formula>$G2068="ASISTIRA"</formula>
    </cfRule>
  </conditionalFormatting>
  <conditionalFormatting sqref="I2068">
    <cfRule type="expression" dxfId="87" priority="19">
      <formula>$G2068="FUERA DE SERVICIO"</formula>
    </cfRule>
  </conditionalFormatting>
  <conditionalFormatting sqref="I2068">
    <cfRule type="expression" dxfId="86" priority="20">
      <formula>$G2068="ENVIAR AL CORREO"</formula>
    </cfRule>
  </conditionalFormatting>
  <conditionalFormatting sqref="I2068">
    <cfRule type="expression" dxfId="85" priority="21">
      <formula>$G2068="VOLVER A LLAMAR"</formula>
    </cfRule>
  </conditionalFormatting>
  <conditionalFormatting sqref="I2068">
    <cfRule type="expression" dxfId="84" priority="22">
      <formula>$G2068="NO LLAMAR"</formula>
    </cfRule>
  </conditionalFormatting>
  <conditionalFormatting sqref="I2068">
    <cfRule type="expression" dxfId="83" priority="23">
      <formula>$G2068="NO CONTESTA"</formula>
    </cfRule>
  </conditionalFormatting>
  <conditionalFormatting sqref="I2068">
    <cfRule type="expression" dxfId="82" priority="24">
      <formula>$G2068="NO PUEDE CONFIRMAR"</formula>
    </cfRule>
  </conditionalFormatting>
  <conditionalFormatting sqref="I2068">
    <cfRule type="expression" dxfId="81" priority="25">
      <formula>$G2068="APAGADO"</formula>
    </cfRule>
  </conditionalFormatting>
  <conditionalFormatting sqref="I2068">
    <cfRule type="expression" dxfId="80" priority="26">
      <formula>$G2068="NO PODRA ASISTIR"</formula>
    </cfRule>
  </conditionalFormatting>
  <conditionalFormatting sqref="I2067">
    <cfRule type="expression" dxfId="79" priority="18">
      <formula>$G2067="ASISTIRA"</formula>
    </cfRule>
  </conditionalFormatting>
  <conditionalFormatting sqref="I2067">
    <cfRule type="expression" dxfId="78" priority="10">
      <formula>$G2067="FUERA DE SERVICIO"</formula>
    </cfRule>
  </conditionalFormatting>
  <conditionalFormatting sqref="I2067">
    <cfRule type="expression" dxfId="77" priority="11">
      <formula>$G2067="ENVIAR AL CORREO"</formula>
    </cfRule>
  </conditionalFormatting>
  <conditionalFormatting sqref="I2067">
    <cfRule type="expression" dxfId="76" priority="12">
      <formula>$G2067="VOLVER A LLAMAR"</formula>
    </cfRule>
  </conditionalFormatting>
  <conditionalFormatting sqref="I2067">
    <cfRule type="expression" dxfId="75" priority="13">
      <formula>$G2067="NO LLAMAR"</formula>
    </cfRule>
  </conditionalFormatting>
  <conditionalFormatting sqref="I2067">
    <cfRule type="expression" dxfId="74" priority="14">
      <formula>$G2067="NO CONTESTA"</formula>
    </cfRule>
  </conditionalFormatting>
  <conditionalFormatting sqref="I2067">
    <cfRule type="expression" dxfId="73" priority="15">
      <formula>$G2067="NO PUEDE CONFIRMAR"</formula>
    </cfRule>
  </conditionalFormatting>
  <conditionalFormatting sqref="I2067">
    <cfRule type="expression" dxfId="72" priority="16">
      <formula>$G2067="APAGADO"</formula>
    </cfRule>
  </conditionalFormatting>
  <conditionalFormatting sqref="I2067">
    <cfRule type="expression" dxfId="71" priority="17">
      <formula>$G2067="NO PODRA ASISTIR"</formula>
    </cfRule>
  </conditionalFormatting>
  <conditionalFormatting sqref="A167 C167:F167">
    <cfRule type="expression" dxfId="70" priority="183">
      <formula>#REF!="ASISTIRA"</formula>
    </cfRule>
  </conditionalFormatting>
  <conditionalFormatting sqref="A167 C167:F167">
    <cfRule type="expression" dxfId="69" priority="191">
      <formula>#REF!="FUERA DE SERVICIO"</formula>
    </cfRule>
  </conditionalFormatting>
  <conditionalFormatting sqref="A167 C167:F167">
    <cfRule type="expression" dxfId="68" priority="199">
      <formula>#REF!="ENVIAR AL CORREO"</formula>
    </cfRule>
  </conditionalFormatting>
  <conditionalFormatting sqref="A167 C167:F167">
    <cfRule type="expression" dxfId="67" priority="207">
      <formula>#REF!="VOLVER A LLAMAR"</formula>
    </cfRule>
  </conditionalFormatting>
  <conditionalFormatting sqref="A167 C167:F167">
    <cfRule type="expression" dxfId="66" priority="215">
      <formula>#REF!="NO LLAMAR"</formula>
    </cfRule>
  </conditionalFormatting>
  <conditionalFormatting sqref="A167 C167:F167">
    <cfRule type="expression" dxfId="65" priority="223">
      <formula>#REF!="NO CONTESTA"</formula>
    </cfRule>
  </conditionalFormatting>
  <conditionalFormatting sqref="A167 C167:F167">
    <cfRule type="expression" dxfId="64" priority="231">
      <formula>#REF!="NO PUEDE CONFIRMAR"</formula>
    </cfRule>
  </conditionalFormatting>
  <conditionalFormatting sqref="A167 C167:F167">
    <cfRule type="expression" dxfId="63" priority="239">
      <formula>#REF!="APAGADO"</formula>
    </cfRule>
  </conditionalFormatting>
  <conditionalFormatting sqref="A167 C167:F167">
    <cfRule type="expression" dxfId="62" priority="247">
      <formula>#REF!="NO PODRA ASISTIR"</formula>
    </cfRule>
  </conditionalFormatting>
  <conditionalFormatting sqref="A169 C169:F169">
    <cfRule type="expression" dxfId="61" priority="249">
      <formula>#REF!="ASISTIRA"</formula>
    </cfRule>
  </conditionalFormatting>
  <conditionalFormatting sqref="A169 C169:F169">
    <cfRule type="expression" dxfId="60" priority="253">
      <formula>#REF!="FUERA DE SERVICIO"</formula>
    </cfRule>
  </conditionalFormatting>
  <conditionalFormatting sqref="A169 C169:F169">
    <cfRule type="expression" dxfId="59" priority="257">
      <formula>#REF!="ENVIAR AL CORREO"</formula>
    </cfRule>
  </conditionalFormatting>
  <conditionalFormatting sqref="A169 C169:F169">
    <cfRule type="expression" dxfId="58" priority="261">
      <formula>#REF!="VOLVER A LLAMAR"</formula>
    </cfRule>
  </conditionalFormatting>
  <conditionalFormatting sqref="A169 C169:F169">
    <cfRule type="expression" dxfId="57" priority="265">
      <formula>#REF!="NO LLAMAR"</formula>
    </cfRule>
  </conditionalFormatting>
  <conditionalFormatting sqref="A169 C169:F169">
    <cfRule type="expression" dxfId="56" priority="269">
      <formula>#REF!="NO CONTESTA"</formula>
    </cfRule>
  </conditionalFormatting>
  <conditionalFormatting sqref="A169 C169:F169">
    <cfRule type="expression" dxfId="55" priority="273">
      <formula>#REF!="NO PUEDE CONFIRMAR"</formula>
    </cfRule>
  </conditionalFormatting>
  <conditionalFormatting sqref="A169 C169:F169">
    <cfRule type="expression" dxfId="54" priority="277">
      <formula>#REF!="APAGADO"</formula>
    </cfRule>
  </conditionalFormatting>
  <conditionalFormatting sqref="A169 C169:F169">
    <cfRule type="expression" dxfId="53" priority="281">
      <formula>#REF!="NO PODRA ASISTIR"</formula>
    </cfRule>
  </conditionalFormatting>
  <conditionalFormatting sqref="A2133:F2133">
    <cfRule type="expression" dxfId="52" priority="285">
      <formula>#REF!="ASISTIRA"</formula>
    </cfRule>
  </conditionalFormatting>
  <conditionalFormatting sqref="A2133:F2133">
    <cfRule type="expression" dxfId="51" priority="290">
      <formula>#REF!="FUERA DE SERVICIO"</formula>
    </cfRule>
  </conditionalFormatting>
  <conditionalFormatting sqref="A2133:F2133">
    <cfRule type="expression" dxfId="50" priority="295">
      <formula>#REF!="ENVIAR AL CORREO"</formula>
    </cfRule>
  </conditionalFormatting>
  <conditionalFormatting sqref="A2133:F2133">
    <cfRule type="expression" dxfId="49" priority="300">
      <formula>#REF!="VOLVER A LLAMAR"</formula>
    </cfRule>
  </conditionalFormatting>
  <conditionalFormatting sqref="A2133:F2133">
    <cfRule type="expression" dxfId="48" priority="305">
      <formula>#REF!="NO LLAMAR"</formula>
    </cfRule>
  </conditionalFormatting>
  <conditionalFormatting sqref="A2133:F2133">
    <cfRule type="expression" dxfId="47" priority="310">
      <formula>#REF!="NO CONTESTA"</formula>
    </cfRule>
  </conditionalFormatting>
  <conditionalFormatting sqref="A2133:F2133">
    <cfRule type="expression" dxfId="46" priority="315">
      <formula>#REF!="NO PUEDE CONFIRMAR"</formula>
    </cfRule>
  </conditionalFormatting>
  <conditionalFormatting sqref="A2133:F2133">
    <cfRule type="expression" dxfId="45" priority="320">
      <formula>#REF!="APAGADO"</formula>
    </cfRule>
  </conditionalFormatting>
  <conditionalFormatting sqref="A2133:F2133">
    <cfRule type="expression" dxfId="44" priority="325">
      <formula>#REF!="NO PODRA ASISTIR"</formula>
    </cfRule>
  </conditionalFormatting>
  <conditionalFormatting sqref="G2132">
    <cfRule type="expression" dxfId="43" priority="9">
      <formula>$G2132="ASISTIRA"</formula>
    </cfRule>
  </conditionalFormatting>
  <conditionalFormatting sqref="G2132">
    <cfRule type="expression" dxfId="42" priority="1">
      <formula>$G2132="FUERA DE SERVICIO"</formula>
    </cfRule>
  </conditionalFormatting>
  <conditionalFormatting sqref="G2132">
    <cfRule type="expression" dxfId="41" priority="2">
      <formula>$G2132="ENVIAR AL CORREO"</formula>
    </cfRule>
  </conditionalFormatting>
  <conditionalFormatting sqref="G2132">
    <cfRule type="expression" dxfId="40" priority="3">
      <formula>$G2132="VOLVER A LLAMAR"</formula>
    </cfRule>
  </conditionalFormatting>
  <conditionalFormatting sqref="G2132">
    <cfRule type="expression" dxfId="39" priority="4">
      <formula>$G2132="NO LLAMAR"</formula>
    </cfRule>
  </conditionalFormatting>
  <conditionalFormatting sqref="G2132">
    <cfRule type="expression" dxfId="38" priority="5">
      <formula>$G2132="NO CONTESTA"</formula>
    </cfRule>
  </conditionalFormatting>
  <conditionalFormatting sqref="G2132">
    <cfRule type="expression" dxfId="37" priority="6">
      <formula>$G2132="NO PUEDE CONFIRMAR"</formula>
    </cfRule>
  </conditionalFormatting>
  <conditionalFormatting sqref="G2132">
    <cfRule type="expression" dxfId="36" priority="7">
      <formula>$G2132="APAGADO"</formula>
    </cfRule>
  </conditionalFormatting>
  <conditionalFormatting sqref="G2132">
    <cfRule type="expression" dxfId="35" priority="8">
      <formula>$G2132="NO PODRA ASISTIR"</formula>
    </cfRule>
  </conditionalFormatting>
  <conditionalFormatting sqref="D2737 F2737 G3313">
    <cfRule type="expression" dxfId="34" priority="327">
      <formula>$G2739="ASISTIRA"</formula>
    </cfRule>
  </conditionalFormatting>
  <conditionalFormatting sqref="D2737 F2737 G3313">
    <cfRule type="expression" dxfId="33" priority="329">
      <formula>$G2739="FUERA DE SERVICIO"</formula>
    </cfRule>
  </conditionalFormatting>
  <conditionalFormatting sqref="D2737 F2737 G3313">
    <cfRule type="expression" dxfId="32" priority="331">
      <formula>$G2739="ENVIAR AL CORREO"</formula>
    </cfRule>
  </conditionalFormatting>
  <conditionalFormatting sqref="D2737 F2737 G3313">
    <cfRule type="expression" dxfId="31" priority="333">
      <formula>$G2739="VOLVER A LLAMAR"</formula>
    </cfRule>
  </conditionalFormatting>
  <conditionalFormatting sqref="D2737 F2737 G3313">
    <cfRule type="expression" dxfId="30" priority="335">
      <formula>$G2739="NO LLAMAR"</formula>
    </cfRule>
  </conditionalFormatting>
  <conditionalFormatting sqref="D2737 F2737 G3313">
    <cfRule type="expression" dxfId="29" priority="337">
      <formula>$G2739="NO CONTESTA"</formula>
    </cfRule>
  </conditionalFormatting>
  <conditionalFormatting sqref="D2737 F2737 G3313">
    <cfRule type="expression" dxfId="28" priority="339">
      <formula>$G2739="NO PUEDE CONFIRMAR"</formula>
    </cfRule>
  </conditionalFormatting>
  <conditionalFormatting sqref="D2737 F2737 G3313">
    <cfRule type="expression" dxfId="27" priority="341">
      <formula>$G2739="APAGADO"</formula>
    </cfRule>
  </conditionalFormatting>
  <conditionalFormatting sqref="D2737 F2737 G3313">
    <cfRule type="expression" dxfId="26" priority="343">
      <formula>$G2739="NO PODRA ASISTIR"</formula>
    </cfRule>
  </conditionalFormatting>
  <conditionalFormatting sqref="A3314:B3314 D3314:F3314">
    <cfRule type="expression" dxfId="25" priority="346">
      <formula>#REF!="ASISTIRA"</formula>
    </cfRule>
  </conditionalFormatting>
  <conditionalFormatting sqref="A3314:B3314 D3314:F3314">
    <cfRule type="expression" dxfId="24" priority="354">
      <formula>#REF!="FUERA DE SERVICIO"</formula>
    </cfRule>
  </conditionalFormatting>
  <conditionalFormatting sqref="A3314:B3314 D3314:F3314">
    <cfRule type="expression" dxfId="23" priority="362">
      <formula>#REF!="ENVIAR AL CORREO"</formula>
    </cfRule>
  </conditionalFormatting>
  <conditionalFormatting sqref="A3314:B3314 D3314:F3314">
    <cfRule type="expression" dxfId="22" priority="370">
      <formula>#REF!="VOLVER A LLAMAR"</formula>
    </cfRule>
  </conditionalFormatting>
  <conditionalFormatting sqref="A3314:B3314 D3314:F3314">
    <cfRule type="expression" dxfId="21" priority="378">
      <formula>#REF!="NO LLAMAR"</formula>
    </cfRule>
  </conditionalFormatting>
  <conditionalFormatting sqref="A3314:B3314 D3314:F3314">
    <cfRule type="expression" dxfId="20" priority="386">
      <formula>#REF!="NO CONTESTA"</formula>
    </cfRule>
  </conditionalFormatting>
  <conditionalFormatting sqref="A3314:B3314 D3314:F3314">
    <cfRule type="expression" dxfId="19" priority="394">
      <formula>#REF!="NO PUEDE CONFIRMAR"</formula>
    </cfRule>
  </conditionalFormatting>
  <conditionalFormatting sqref="A3314:B3314 D3314:F3314">
    <cfRule type="expression" dxfId="18" priority="402">
      <formula>#REF!="APAGADO"</formula>
    </cfRule>
  </conditionalFormatting>
  <conditionalFormatting sqref="A3314:B3314 D3314:F3314">
    <cfRule type="expression" dxfId="17" priority="410">
      <formula>#REF!="NO PODRA ASISTIR"</formula>
    </cfRule>
  </conditionalFormatting>
  <hyperlinks>
    <hyperlink ref="F2791" r:id="rId1" xr:uid="{9A3AADAF-EABF-4B74-9A98-9C1519FEAF42}"/>
    <hyperlink ref="F3009" r:id="rId2" xr:uid="{D8345470-F974-468E-BD8C-51A508D05552}"/>
    <hyperlink ref="F2795" r:id="rId3" xr:uid="{835B421D-76BC-4380-98BA-457EF5CCF9BB}"/>
    <hyperlink ref="F3010" r:id="rId4" xr:uid="{9438D787-0CE6-40BC-A179-1349896AC658}"/>
    <hyperlink ref="F2796" r:id="rId5" xr:uid="{F3FD8C03-3747-44EB-A4EE-C3A3C9E37EDC}"/>
    <hyperlink ref="F2688" r:id="rId6" xr:uid="{6291B8D5-83FE-4A22-AC9C-E5C96DF03422}"/>
    <hyperlink ref="F2804" r:id="rId7" xr:uid="{9CEC317D-53FE-49DA-8D46-9168C0F2E923}"/>
    <hyperlink ref="F2692" r:id="rId8" xr:uid="{9167F3C9-9F20-48DB-BCF4-1E6A22F2BF15}"/>
    <hyperlink ref="F2695" r:id="rId9" xr:uid="{696C9D14-6507-485E-AEC0-0F761A5C5CC6}"/>
    <hyperlink ref="F3014" r:id="rId10" xr:uid="{C46F67EB-FE9C-4BEC-A20E-07F685EAFD36}"/>
    <hyperlink ref="F243" r:id="rId11" xr:uid="{F23CAB6A-B8C2-4F01-8B0B-7BB4738051BC}"/>
    <hyperlink ref="F3119" r:id="rId12" xr:uid="{8C51BEE2-216B-4592-9764-A8F66E1B5D44}"/>
    <hyperlink ref="F3029" r:id="rId13" xr:uid="{1E253176-DA4A-4E3A-86B0-2C7242E11D7E}"/>
    <hyperlink ref="F3125" r:id="rId14" xr:uid="{7D4B208D-5FB0-4419-88CA-A8DCBAADF951}"/>
    <hyperlink ref="F2696" r:id="rId15" xr:uid="{B1C6BA07-9E2B-4674-AC25-3B61697FCBD1}"/>
    <hyperlink ref="F2807" r:id="rId16" xr:uid="{059E5C35-3568-47F1-AEAA-2B116E6693A7}"/>
    <hyperlink ref="F3133" r:id="rId17" xr:uid="{2CD1B299-EE6E-4313-9608-418663B5D1E7}"/>
    <hyperlink ref="F3136" r:id="rId18" xr:uid="{D7F3D9E8-12C6-4F2B-9EF8-30E92CA32AC6}"/>
    <hyperlink ref="F3138" r:id="rId19" xr:uid="{4781768A-53C6-46BD-9E63-D88857E7B143}"/>
    <hyperlink ref="F3140" r:id="rId20" xr:uid="{9262FF37-D5BA-4E1D-8634-EAF4F7683633}"/>
    <hyperlink ref="F783" r:id="rId21" xr:uid="{A270ED2D-F5A8-453C-935A-C7AB46303922}"/>
    <hyperlink ref="F3146" r:id="rId22" xr:uid="{23DE3E74-43C3-4A72-AE6E-E978FA8DD806}"/>
    <hyperlink ref="F2920" r:id="rId23" xr:uid="{B655F97D-FF6D-4CA5-A83B-0B8E1B2B9602}"/>
    <hyperlink ref="F3148" r:id="rId24" xr:uid="{5A8B3AFB-E072-4842-B15D-842AB4E1110D}"/>
    <hyperlink ref="F3151" r:id="rId25" xr:uid="{DAF8C878-A221-45B9-B3FE-BFD68A8ED4B3}"/>
    <hyperlink ref="F2708" r:id="rId26" xr:uid="{4762B152-EDF5-43F3-A886-D72C2FA112F3}"/>
    <hyperlink ref="F2820" r:id="rId27" xr:uid="{2B4F0833-6BF0-464B-B871-62F0F31EC216}"/>
    <hyperlink ref="F2071" r:id="rId28" xr:uid="{C508723A-94C7-48AB-A2E6-E9531D1D5563}"/>
    <hyperlink ref="F2575" r:id="rId29" xr:uid="{D8ED131D-9256-4D30-9F2B-4AE3046B4F85}"/>
    <hyperlink ref="F2578" r:id="rId30" xr:uid="{C7227FEA-FFD2-424F-B530-331A09527047}"/>
    <hyperlink ref="F3625" r:id="rId31" xr:uid="{2FD023A0-29CB-4E8D-A4A1-2E12D2B19F2B}"/>
    <hyperlink ref="F1974" r:id="rId32" xr:uid="{7D1B3001-8E78-4E70-B903-23F95723BF89}"/>
    <hyperlink ref="F807" r:id="rId33" xr:uid="{103AFF57-73C3-4F68-AFA7-21D748ACFA84}"/>
    <hyperlink ref="F2151" r:id="rId34" xr:uid="{39194D96-E6F1-439D-8FE0-CA2B9C0B2F97}"/>
    <hyperlink ref="F2156" r:id="rId35" xr:uid="{6E19C4D6-1593-4794-BAB8-B753B59B8766}"/>
    <hyperlink ref="F2159" r:id="rId36" xr:uid="{94145652-5DFD-4659-8056-648682E47276}"/>
    <hyperlink ref="F2598" r:id="rId37" xr:uid="{7E66499F-4B54-4178-A7DD-A1D5A60C73EB}"/>
    <hyperlink ref="F2161" r:id="rId38" xr:uid="{0A880CA9-8FDA-489D-8275-398D569E0B4A}"/>
    <hyperlink ref="F835" r:id="rId39" xr:uid="{711DBA3A-F035-4E35-A97B-D5899AC92B46}"/>
    <hyperlink ref="F2023" r:id="rId40" xr:uid="{8825DF51-C8BE-4C00-9641-F19183368F07}"/>
    <hyperlink ref="F2031" r:id="rId41" xr:uid="{1B6F2461-0D3F-4F5F-9335-5A30AF9C3FC2}"/>
    <hyperlink ref="F3656" r:id="rId42" xr:uid="{CFAF3BF4-FF19-4228-BEBF-D9286D358E5C}"/>
    <hyperlink ref="F855" r:id="rId43" xr:uid="{1E89759A-398F-4FFE-B26B-6671B892A4F5}"/>
    <hyperlink ref="F2600" r:id="rId44" xr:uid="{1E2B7F0C-95DB-4775-BADB-CABDB0BD69EB}"/>
    <hyperlink ref="F2603" r:id="rId45" xr:uid="{17231B98-57E3-447D-8226-2429C6DABD5D}"/>
    <hyperlink ref="F3574" r:id="rId46" xr:uid="{DD9BE33C-3402-4094-A67B-B1D09FB57870}"/>
    <hyperlink ref="F3157" r:id="rId47" xr:uid="{E3AAFCE2-F34A-4DFF-9DBE-79534F794EF4}"/>
    <hyperlink ref="F3159" r:id="rId48" xr:uid="{CFF3E3D1-7FE5-4BBA-A576-1955773C3C58}"/>
    <hyperlink ref="F2929" r:id="rId49" xr:uid="{DFD24483-C497-4B72-802D-1D4F7233EE0B}"/>
    <hyperlink ref="F3164" r:id="rId50" xr:uid="{5F58E800-5EFA-4CAB-850B-AB6F6730FF58}"/>
    <hyperlink ref="F3585" r:id="rId51" xr:uid="{51647F37-6FEE-4585-BF45-DD24F8F2F769}"/>
    <hyperlink ref="F2178" r:id="rId52" xr:uid="{E2645B80-93DF-4771-8ABB-C873115A1A30}"/>
    <hyperlink ref="F2712" r:id="rId53" xr:uid="{25FBD45C-A716-4F2E-A0EF-DA13F2ACEE9F}"/>
    <hyperlink ref="F2714" r:id="rId54" xr:uid="{8D4CF606-31C4-4373-A6E8-54ACF43A76EB}"/>
    <hyperlink ref="F3165" r:id="rId55" xr:uid="{282E1F07-45A4-48C0-98CC-31B499DFE53D}"/>
    <hyperlink ref="F2610" r:id="rId56" xr:uid="{E0A4C1B9-8D4A-44D8-98BD-75D0AF37CBD0}"/>
    <hyperlink ref="F273" r:id="rId57" xr:uid="{469C717E-006B-49C5-8EE3-13F0141D0F73}"/>
    <hyperlink ref="F2611" r:id="rId58" xr:uid="{23F12378-1BC3-4872-9BC4-8419DBABC789}"/>
    <hyperlink ref="F2613" r:id="rId59" xr:uid="{64171BE3-E495-445E-BE55-3CB426F8ABFD}"/>
    <hyperlink ref="F2615" r:id="rId60" xr:uid="{01CA7C5F-27F0-4569-9D5F-81DB5231841E}"/>
    <hyperlink ref="F196" r:id="rId61" xr:uid="{C53728CD-2A51-4CAE-9BF0-D4EE560951AF}"/>
    <hyperlink ref="F2619" r:id="rId62" xr:uid="{4469DFE3-D247-460C-8518-F9F65B6DE641}"/>
    <hyperlink ref="F276" r:id="rId63" xr:uid="{90FAFD0D-D699-423B-8F1E-88F3040ECB41}"/>
    <hyperlink ref="F2621" r:id="rId64" xr:uid="{3BFCEE06-32F4-4F4E-BA9A-1CA370429B0D}"/>
    <hyperlink ref="F2622" r:id="rId65" xr:uid="{B1D1E83F-04A9-4AEA-AF5D-B775BA762448}"/>
    <hyperlink ref="F2625" r:id="rId66" xr:uid="{5366E8B7-4121-43F2-96A8-84A43BE06500}"/>
    <hyperlink ref="F2626" r:id="rId67" xr:uid="{5058A1BD-D783-4D60-ABF9-6AB7928D952D}"/>
    <hyperlink ref="F281" r:id="rId68" xr:uid="{F376D48E-7058-4AC1-AF74-D0FACA5F720B}"/>
    <hyperlink ref="F2726" r:id="rId69" xr:uid="{EE73DD67-7CD6-461C-9AFE-507A98ED346F}"/>
    <hyperlink ref="F2727" r:id="rId70" xr:uid="{BB9DFB1D-63E9-4B4C-A5F3-0EB00DB27B2A}"/>
    <hyperlink ref="F2632" r:id="rId71" xr:uid="{77ED9D89-E2C9-4F37-B87C-0B372CEF0B3E}"/>
    <hyperlink ref="F2637" r:id="rId72" xr:uid="{62388404-9177-489C-AAB5-685F1DD02F96}"/>
    <hyperlink ref="F2638" r:id="rId73" xr:uid="{611233BE-7595-45BC-A8FB-B3DDC53E8DB6}"/>
    <hyperlink ref="F2963" r:id="rId74" xr:uid="{D886D20F-D106-46F1-B76C-1E6AA2156DED}"/>
    <hyperlink ref="F2641" r:id="rId75" xr:uid="{9829F8DF-1999-430D-9EA3-734D2D667390}"/>
    <hyperlink ref="F1155" r:id="rId76" xr:uid="{B7C2CE86-9E74-40C8-AC61-EC59F07EC104}"/>
    <hyperlink ref="F2729" r:id="rId77" xr:uid="{D4071FCD-168D-4BE5-8D8C-B60460728EBE}"/>
    <hyperlink ref="F2213" r:id="rId78" xr:uid="{8D53FCA7-433C-410D-8DAB-B98CA18E12F5}"/>
    <hyperlink ref="F2215" r:id="rId79" xr:uid="{1237AE95-6533-4A34-9DEC-8E2DB1394A20}"/>
    <hyperlink ref="F3097" r:id="rId80" xr:uid="{AE048C03-C738-41C0-9142-FF0AD8AD7A9E}"/>
    <hyperlink ref="F2735" r:id="rId81" xr:uid="{CCB20083-D731-4C74-B066-E8B243C8E6EF}"/>
    <hyperlink ref="F2736" r:id="rId82" xr:uid="{00C0A616-FF3F-44E4-B362-C542E9744B56}"/>
    <hyperlink ref="F2737" r:id="rId83" xr:uid="{ACCE5481-6AFC-45F2-9439-F91E5734F520}"/>
    <hyperlink ref="F3262" r:id="rId84" xr:uid="{7FF24857-D111-4D92-989E-8FBCC1964FC7}"/>
    <hyperlink ref="F2967" r:id="rId85" xr:uid="{D4AC637C-6BDE-4A37-BCB9-E254770FBE1D}"/>
    <hyperlink ref="F3166" r:id="rId86" xr:uid="{9CD3A6FC-3FB2-4599-9A48-E1B86B991C5E}"/>
    <hyperlink ref="F2228" r:id="rId87" xr:uid="{C68E01FD-AF15-4103-AA9E-CEEF4BBC58A1}"/>
    <hyperlink ref="F3267" r:id="rId88" xr:uid="{15D1C71F-5C95-4AC5-9587-52D9E9F52210}"/>
    <hyperlink ref="F3170" r:id="rId89" xr:uid="{4C1FF110-715A-451B-B322-04812008AC0C}"/>
    <hyperlink ref="F3173" r:id="rId90" xr:uid="{AF2BB85E-32B7-4A46-A7F1-AB0759A219B7}"/>
    <hyperlink ref="F3324" r:id="rId91" xr:uid="{763858E0-9F73-497D-AA5C-84C4699E919C}"/>
    <hyperlink ref="F2234" r:id="rId92" xr:uid="{80C14174-859A-4A8A-830E-5A69CAEE3B84}"/>
    <hyperlink ref="F2236" r:id="rId93" xr:uid="{7894FD62-02E1-4AC6-BAC0-C660B0AD17D2}"/>
    <hyperlink ref="F2247" r:id="rId94" xr:uid="{424CE263-27F8-4F78-918F-C5DF176CEF23}"/>
    <hyperlink ref="F2256" r:id="rId95" xr:uid="{AE757BBD-84A9-4AEA-B5A5-E112862E4B11}"/>
    <hyperlink ref="F2646" r:id="rId96" xr:uid="{061A29C4-8967-4704-9BDB-865989E1E748}"/>
    <hyperlink ref="F2751" r:id="rId97" xr:uid="{09B15256-2110-4C9D-91ED-2766176BFC5B}"/>
    <hyperlink ref="F2649" r:id="rId98" xr:uid="{2E5362BC-ADD3-4254-A982-37F679D91242}"/>
    <hyperlink ref="F2261" r:id="rId99" xr:uid="{3365302D-1CEC-4969-8FB3-A86C495EAD16}"/>
    <hyperlink ref="F2410" r:id="rId100" xr:uid="{0EBB24F7-D9C6-4AA3-8FE0-3538224ADA45}"/>
    <hyperlink ref="F2650" r:id="rId101" xr:uid="{0DC2A570-CB88-4687-B6CE-79EF9B245564}"/>
    <hyperlink ref="F2653" r:id="rId102" xr:uid="{8543E0ED-DB6A-46D2-A653-D4C738FF53DE}"/>
    <hyperlink ref="F2657" r:id="rId103" xr:uid="{5D325DFC-96D8-405F-9A9D-CDDF1CEE5098}"/>
    <hyperlink ref="F2664" r:id="rId104" xr:uid="{D73AA585-4703-4278-9E01-9DFAAD4C1BCD}"/>
    <hyperlink ref="F2674" r:id="rId105" xr:uid="{6C770D5D-823E-4A5D-B01B-85EA8324DC19}"/>
    <hyperlink ref="F2675" r:id="rId106" xr:uid="{BF4C4836-BB8A-4F8C-B6A9-BAE089A14B4E}"/>
    <hyperlink ref="F3174" r:id="rId107" xr:uid="{6739F976-7E7E-4E75-AA60-B2D0557CBA8A}"/>
    <hyperlink ref="F2756" r:id="rId108" xr:uid="{44EE0413-54A3-42A4-BDFB-1B3E3D97C460}"/>
    <hyperlink ref="F2757" r:id="rId109" xr:uid="{4519E9CC-43BA-40BB-9C93-3C9E9E549E3D}"/>
    <hyperlink ref="F2769" r:id="rId110" xr:uid="{80405E86-6402-4966-9B33-4CFBFFCB6912}"/>
    <hyperlink ref="F301" r:id="rId111" xr:uid="{D80A1902-92D8-4FEE-8DE9-49C29547EAC2}"/>
    <hyperlink ref="F302" r:id="rId112" xr:uid="{365C8AAB-566C-46C1-92CF-68C0EA73E486}"/>
    <hyperlink ref="F2554" r:id="rId113" xr:uid="{6E577D25-E823-48E7-A718-7C79A14DA042}"/>
    <hyperlink ref="F2568" r:id="rId114" xr:uid="{E5D8DC70-EE63-4B29-B827-3E178730C2C2}"/>
    <hyperlink ref="F2590" r:id="rId115" xr:uid="{CF77CB20-475D-4817-8F50-22AB739FEC75}"/>
    <hyperlink ref="F2644" r:id="rId116" xr:uid="{826EA99E-83F2-4272-9E00-71B4FCA8E644}"/>
    <hyperlink ref="F2655" r:id="rId117" xr:uid="{BA283A67-41F9-4851-9125-06E80C7538CC}"/>
    <hyperlink ref="F2658" r:id="rId118" xr:uid="{323E89D4-2698-4B60-B690-ABCDC2358AB3}"/>
    <hyperlink ref="F2667" r:id="rId119" xr:uid="{2EBDBF63-5083-4EAE-A193-43DE52CE0ED9}"/>
    <hyperlink ref="F2670" r:id="rId120" xr:uid="{179BA814-CF04-49D7-B5BC-F1941B4DE4D3}"/>
    <hyperlink ref="F2671" r:id="rId121" xr:uid="{5AA36CA2-9876-41D0-A3BA-8DF0C1804496}"/>
    <hyperlink ref="F2684" r:id="rId122" xr:uid="{59155400-D688-4956-8A81-1F8CC8287D96}"/>
  </hyperlinks>
  <pageMargins left="0.7" right="0.7" top="0.75" bottom="0.75" header="0.3" footer="0.3"/>
  <pageSetup fitToWidth="0" fitToHeight="0" orientation="landscape" horizontalDpi="4294967293" r:id="rId123"/>
  <tableParts count="1">
    <tablePart r:id="rId12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Hoja2!$A$2:$A$10</xm:f>
          </x14:formula1>
          <xm:sqref>G3315:G3920 G5:G3313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JOSIAS</dc:creator>
  <cp:keywords/>
  <dc:description/>
  <cp:lastModifiedBy/>
  <cp:revision/>
  <dcterms:created xsi:type="dcterms:W3CDTF">2025-08-13T15:21:47Z</dcterms:created>
  <dcterms:modified xsi:type="dcterms:W3CDTF">2026-03-09T19:37:35Z</dcterms:modified>
  <cp:category/>
  <cp:contentStatus/>
</cp:coreProperties>
</file>